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ropbox\0.전자책 자료\"/>
    </mc:Choice>
  </mc:AlternateContent>
  <xr:revisionPtr revIDLastSave="0" documentId="13_ncr:1_{063D008B-C086-43F3-8BD7-A896EDBEB936}" xr6:coauthVersionLast="47" xr6:coauthVersionMax="47" xr10:uidLastSave="{00000000-0000-0000-0000-000000000000}"/>
  <bookViews>
    <workbookView xWindow="-120" yWindow="-120" windowWidth="29040" windowHeight="15720" xr2:uid="{2F88F3F4-369B-4A0E-8CF9-82E4B2C4B7A6}"/>
  </bookViews>
  <sheets>
    <sheet name="1개월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M17" i="1"/>
  <c r="J20" i="1"/>
  <c r="J25" i="1"/>
  <c r="I25" i="1"/>
  <c r="J21" i="1"/>
  <c r="J22" i="1"/>
  <c r="J23" i="1"/>
  <c r="I22" i="1"/>
  <c r="J24" i="1"/>
  <c r="I24" i="1"/>
  <c r="I23" i="1"/>
  <c r="I21" i="1"/>
  <c r="I20" i="1"/>
  <c r="K12" i="1"/>
  <c r="D12" i="1"/>
  <c r="M15" i="1"/>
  <c r="L15" i="1"/>
  <c r="K15" i="1"/>
  <c r="J15" i="1"/>
  <c r="I15" i="1"/>
  <c r="H15" i="1"/>
  <c r="F15" i="1"/>
  <c r="E15" i="1"/>
  <c r="D15" i="1"/>
  <c r="C15" i="1"/>
  <c r="B15" i="1"/>
  <c r="A15" i="1"/>
</calcChain>
</file>

<file path=xl/sharedStrings.xml><?xml version="1.0" encoding="utf-8"?>
<sst xmlns="http://schemas.openxmlformats.org/spreadsheetml/2006/main" count="41" uniqueCount="22">
  <si>
    <t>총 광고 노출 수</t>
    <phoneticPr fontId="3" type="noConversion"/>
  </si>
  <si>
    <t>클릭율</t>
    <phoneticPr fontId="3" type="noConversion"/>
  </si>
  <si>
    <t>구매전환율</t>
    <phoneticPr fontId="3" type="noConversion"/>
  </si>
  <si>
    <t>재구매율</t>
    <phoneticPr fontId="3" type="noConversion"/>
  </si>
  <si>
    <t>총 광고비</t>
    <phoneticPr fontId="3" type="noConversion"/>
  </si>
  <si>
    <t>마진율</t>
    <phoneticPr fontId="3" type="noConversion"/>
  </si>
  <si>
    <t>클릭 수</t>
    <phoneticPr fontId="3" type="noConversion"/>
  </si>
  <si>
    <t>구매 수</t>
    <phoneticPr fontId="3" type="noConversion"/>
  </si>
  <si>
    <t>제품 원가</t>
    <phoneticPr fontId="3" type="noConversion"/>
  </si>
  <si>
    <t>평균 객단가</t>
    <phoneticPr fontId="3" type="noConversion"/>
  </si>
  <si>
    <t>총 매출</t>
    <phoneticPr fontId="3" type="noConversion"/>
  </si>
  <si>
    <t>소비자가</t>
    <phoneticPr fontId="3" type="noConversion"/>
  </si>
  <si>
    <t>CPM</t>
    <phoneticPr fontId="3" type="noConversion"/>
  </si>
  <si>
    <t>CPC</t>
    <phoneticPr fontId="3" type="noConversion"/>
  </si>
  <si>
    <t>ROAS</t>
    <phoneticPr fontId="3" type="noConversion"/>
  </si>
  <si>
    <t>지난 달</t>
    <phoneticPr fontId="3" type="noConversion"/>
  </si>
  <si>
    <t>이번 달</t>
    <phoneticPr fontId="3" type="noConversion"/>
  </si>
  <si>
    <t>평가</t>
    <phoneticPr fontId="3" type="noConversion"/>
  </si>
  <si>
    <t>객단가</t>
    <phoneticPr fontId="3" type="noConversion"/>
  </si>
  <si>
    <t>광고단가</t>
    <phoneticPr fontId="3" type="noConversion"/>
  </si>
  <si>
    <t>광고 효율</t>
    <phoneticPr fontId="3" type="noConversion"/>
  </si>
  <si>
    <t>원가반영 진짜 ROAS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</si>
</sst>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_-&quot;₩&quot;* #,##0_-;\-&quot;₩&quot;* #,##0_-;_-&quot;₩&quot;* &quot;-&quot;??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2" fontId="0" fillId="0" borderId="0" xfId="0" applyNumberFormat="1">
      <alignment vertical="center"/>
    </xf>
    <xf numFmtId="9" fontId="0" fillId="0" borderId="0" xfId="2" applyFont="1">
      <alignment vertical="center"/>
    </xf>
    <xf numFmtId="176" fontId="0" fillId="0" borderId="0" xfId="0" applyNumberFormat="1">
      <alignment vertical="center"/>
    </xf>
    <xf numFmtId="42" fontId="0" fillId="2" borderId="0" xfId="1" applyFont="1" applyFill="1">
      <alignment vertical="center"/>
    </xf>
    <xf numFmtId="0" fontId="0" fillId="2" borderId="0" xfId="0" applyFill="1">
      <alignment vertical="center"/>
    </xf>
    <xf numFmtId="9" fontId="0" fillId="2" borderId="0" xfId="0" applyNumberFormat="1" applyFill="1">
      <alignment vertical="center"/>
    </xf>
    <xf numFmtId="9" fontId="2" fillId="0" borderId="0" xfId="0" applyNumberFormat="1" applyFont="1">
      <alignment vertical="center"/>
    </xf>
    <xf numFmtId="42" fontId="4" fillId="0" borderId="0" xfId="0" applyNumberFormat="1" applyFont="1">
      <alignment vertical="center"/>
    </xf>
    <xf numFmtId="9" fontId="4" fillId="0" borderId="0" xfId="0" applyNumberFormat="1" applyFont="1">
      <alignment vertical="center"/>
    </xf>
    <xf numFmtId="9" fontId="4" fillId="0" borderId="0" xfId="2" applyFont="1">
      <alignment vertical="center"/>
    </xf>
    <xf numFmtId="0" fontId="0" fillId="0" borderId="1" xfId="0" applyBorder="1" applyAlignment="1">
      <alignment horizontal="center" vertical="center"/>
    </xf>
  </cellXfs>
  <cellStyles count="3">
    <cellStyle name="백분율" xfId="2" builtinId="5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7773-F795-4E7E-B9F4-56C58056486F}">
  <dimension ref="A7:M25"/>
  <sheetViews>
    <sheetView tabSelected="1" workbookViewId="0">
      <selection activeCell="O23" sqref="O23"/>
    </sheetView>
  </sheetViews>
  <sheetFormatPr defaultRowHeight="16.5" x14ac:dyDescent="0.3"/>
  <cols>
    <col min="1" max="1" width="11.625" bestFit="1" customWidth="1"/>
    <col min="2" max="2" width="15.125" bestFit="1" customWidth="1"/>
    <col min="3" max="3" width="11" bestFit="1" customWidth="1"/>
    <col min="4" max="4" width="9.75" bestFit="1" customWidth="1"/>
    <col min="5" max="5" width="9" bestFit="1" customWidth="1"/>
    <col min="6" max="6" width="19.875" bestFit="1" customWidth="1"/>
    <col min="7" max="8" width="11.625" bestFit="1" customWidth="1"/>
    <col min="9" max="9" width="15.125" bestFit="1" customWidth="1"/>
    <col min="10" max="10" width="11" bestFit="1" customWidth="1"/>
    <col min="11" max="11" width="9.75" bestFit="1" customWidth="1"/>
    <col min="13" max="13" width="19.875" bestFit="1" customWidth="1"/>
  </cols>
  <sheetData>
    <row r="7" spans="1:13" x14ac:dyDescent="0.3">
      <c r="A7" s="11" t="s">
        <v>15</v>
      </c>
      <c r="B7" s="11"/>
      <c r="C7" s="11"/>
      <c r="D7" s="11"/>
      <c r="E7" s="11"/>
      <c r="F7" s="11"/>
      <c r="H7" s="11" t="s">
        <v>16</v>
      </c>
      <c r="I7" s="11"/>
      <c r="J7" s="11"/>
      <c r="K7" s="11"/>
      <c r="L7" s="11"/>
      <c r="M7" s="11"/>
    </row>
    <row r="9" spans="1:13" x14ac:dyDescent="0.3">
      <c r="A9" t="s">
        <v>4</v>
      </c>
      <c r="B9" t="s">
        <v>0</v>
      </c>
      <c r="C9" t="s">
        <v>6</v>
      </c>
      <c r="D9" t="s">
        <v>7</v>
      </c>
      <c r="E9" t="s">
        <v>3</v>
      </c>
      <c r="F9" t="s">
        <v>10</v>
      </c>
      <c r="H9" t="s">
        <v>4</v>
      </c>
      <c r="I9" t="s">
        <v>0</v>
      </c>
      <c r="J9" t="s">
        <v>6</v>
      </c>
      <c r="K9" t="s">
        <v>7</v>
      </c>
      <c r="L9" t="s">
        <v>3</v>
      </c>
      <c r="M9" t="s">
        <v>10</v>
      </c>
    </row>
    <row r="10" spans="1:13" x14ac:dyDescent="0.3">
      <c r="A10" s="4">
        <v>120000</v>
      </c>
      <c r="B10" s="5">
        <v>5360</v>
      </c>
      <c r="C10" s="5">
        <v>680</v>
      </c>
      <c r="D10" s="5">
        <v>42</v>
      </c>
      <c r="E10" s="6">
        <v>0.12</v>
      </c>
      <c r="F10" s="4">
        <v>330000</v>
      </c>
      <c r="H10" s="4">
        <v>320000</v>
      </c>
      <c r="I10" s="5">
        <v>18450</v>
      </c>
      <c r="J10" s="5">
        <v>2840</v>
      </c>
      <c r="K10" s="5">
        <v>234</v>
      </c>
      <c r="L10" s="6">
        <v>0.11</v>
      </c>
      <c r="M10" s="4">
        <v>2030000</v>
      </c>
    </row>
    <row r="11" spans="1:13" x14ac:dyDescent="0.3">
      <c r="B11" t="s">
        <v>8</v>
      </c>
      <c r="C11" t="s">
        <v>11</v>
      </c>
      <c r="D11" t="s">
        <v>5</v>
      </c>
      <c r="I11" t="s">
        <v>8</v>
      </c>
      <c r="J11" t="s">
        <v>11</v>
      </c>
      <c r="K11" t="s">
        <v>5</v>
      </c>
    </row>
    <row r="12" spans="1:13" x14ac:dyDescent="0.3">
      <c r="B12" s="5">
        <v>3000</v>
      </c>
      <c r="C12" s="5">
        <v>7300</v>
      </c>
      <c r="D12" s="2">
        <f>(C12-B12)/C12</f>
        <v>0.58904109589041098</v>
      </c>
      <c r="I12" s="5">
        <v>3000</v>
      </c>
      <c r="J12" s="5">
        <v>7300</v>
      </c>
      <c r="K12" s="2">
        <f>(J12-I12)/J12</f>
        <v>0.58904109589041098</v>
      </c>
    </row>
    <row r="14" spans="1:13" x14ac:dyDescent="0.3">
      <c r="A14" t="s">
        <v>9</v>
      </c>
      <c r="B14" t="s">
        <v>1</v>
      </c>
      <c r="C14" t="s">
        <v>2</v>
      </c>
      <c r="D14" t="s">
        <v>12</v>
      </c>
      <c r="E14" t="s">
        <v>13</v>
      </c>
      <c r="F14" t="s">
        <v>14</v>
      </c>
      <c r="H14" t="s">
        <v>9</v>
      </c>
      <c r="I14" t="s">
        <v>1</v>
      </c>
      <c r="J14" t="s">
        <v>2</v>
      </c>
      <c r="K14" t="s">
        <v>12</v>
      </c>
      <c r="L14" t="s">
        <v>13</v>
      </c>
      <c r="M14" t="s">
        <v>14</v>
      </c>
    </row>
    <row r="15" spans="1:13" x14ac:dyDescent="0.3">
      <c r="A15" s="1">
        <f>F10/D10</f>
        <v>7857.1428571428569</v>
      </c>
      <c r="B15" s="2">
        <f>C10/B10</f>
        <v>0.12686567164179105</v>
      </c>
      <c r="C15" s="2">
        <f>D10/C10</f>
        <v>6.1764705882352944E-2</v>
      </c>
      <c r="D15" s="3">
        <f>A10/B10*1000</f>
        <v>22388.059701492537</v>
      </c>
      <c r="E15" s="3">
        <f>A10/C10</f>
        <v>176.47058823529412</v>
      </c>
      <c r="F15" s="2">
        <f>F10/A10</f>
        <v>2.75</v>
      </c>
      <c r="H15" s="1">
        <f>M10/K10</f>
        <v>8675.2136752136757</v>
      </c>
      <c r="I15" s="2">
        <f>J10/I10</f>
        <v>0.15392953929539296</v>
      </c>
      <c r="J15" s="2">
        <f>K10/J10</f>
        <v>8.23943661971831E-2</v>
      </c>
      <c r="K15" s="3">
        <f>H10/I10*1000</f>
        <v>17344.173441734416</v>
      </c>
      <c r="L15" s="3">
        <f>H10/J10</f>
        <v>112.67605633802818</v>
      </c>
      <c r="M15" s="2">
        <f>M10/H10</f>
        <v>6.34375</v>
      </c>
    </row>
    <row r="16" spans="1:13" x14ac:dyDescent="0.3">
      <c r="F16" t="s">
        <v>21</v>
      </c>
      <c r="M16" t="s">
        <v>21</v>
      </c>
    </row>
    <row r="17" spans="6:13" x14ac:dyDescent="0.3">
      <c r="F17" s="2">
        <f>F10*D12/A10</f>
        <v>1.6198630136986303</v>
      </c>
      <c r="M17" s="2">
        <f>M10*K12/H10</f>
        <v>3.7367294520547949</v>
      </c>
    </row>
    <row r="18" spans="6:13" x14ac:dyDescent="0.3">
      <c r="H18" t="s">
        <v>17</v>
      </c>
    </row>
    <row r="20" spans="6:13" x14ac:dyDescent="0.3">
      <c r="H20" t="s">
        <v>18</v>
      </c>
      <c r="I20" s="8">
        <f>H15-A15</f>
        <v>818.07081807081886</v>
      </c>
      <c r="J20" t="str">
        <f>IF(I20&gt;0,"개선됨","낮아짐")</f>
        <v>개선됨</v>
      </c>
    </row>
    <row r="21" spans="6:13" x14ac:dyDescent="0.3">
      <c r="H21" t="s">
        <v>1</v>
      </c>
      <c r="I21" s="9">
        <f>I15-B15</f>
        <v>2.7063867653601914E-2</v>
      </c>
      <c r="J21" t="str">
        <f>IF(I21&gt;0,"높아짐","낮아짐")</f>
        <v>높아짐</v>
      </c>
    </row>
    <row r="22" spans="6:13" x14ac:dyDescent="0.3">
      <c r="H22" t="s">
        <v>2</v>
      </c>
      <c r="I22" s="9">
        <f>J15-C15</f>
        <v>2.0629660314830156E-2</v>
      </c>
      <c r="J22" t="str">
        <f>IF(I22&gt;0,"좋아짐","나빠짐")</f>
        <v>좋아짐</v>
      </c>
    </row>
    <row r="23" spans="6:13" x14ac:dyDescent="0.3">
      <c r="H23" t="s">
        <v>19</v>
      </c>
      <c r="I23" s="10">
        <f>K15/D15</f>
        <v>0.77470641373080396</v>
      </c>
      <c r="J23" t="str">
        <f>IF(I23&lt;100%,"저렴해짐","비싸짐")</f>
        <v>저렴해짐</v>
      </c>
    </row>
    <row r="24" spans="6:13" x14ac:dyDescent="0.3">
      <c r="H24" t="s">
        <v>3</v>
      </c>
      <c r="I24" s="7">
        <f>L10-E10</f>
        <v>-9.999999999999995E-3</v>
      </c>
      <c r="J24" t="str">
        <f>IF(I24&lt;0%,"낮아짐","높아짐")</f>
        <v>낮아짐</v>
      </c>
    </row>
    <row r="25" spans="6:13" x14ac:dyDescent="0.3">
      <c r="H25" t="s">
        <v>20</v>
      </c>
      <c r="I25" s="9">
        <f>M15-F15</f>
        <v>3.59375</v>
      </c>
      <c r="J25" t="str">
        <f>IF(I25&gt;100%,"개선됨","안 좋아짐")</f>
        <v>개선됨</v>
      </c>
    </row>
  </sheetData>
  <mergeCells count="2">
    <mergeCell ref="A7:F7"/>
    <mergeCell ref="H7:M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1개월차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2023-02-25T08:16:01Z</dcterms:created>
  <dcterms:modified xsi:type="dcterms:W3CDTF">2023-02-25T09:16:51Z</dcterms:modified>
</cp:coreProperties>
</file>