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5.10 MSC (도쿄 출발) 1항차" sheetId="1" r:id="rId5"/>
    <sheet state="visible" name="26.05.14 MSC (부산 출발) 2항차" sheetId="2" r:id="rId6"/>
    <sheet state="visible" name="26.05.22 COSTA 나가지륭" sheetId="3" r:id="rId7"/>
    <sheet state="visible" name="26.05.27 COSTA 구마지륭" sheetId="4" r:id="rId8"/>
    <sheet state="visible" name="26.06.11  동부지중해 로얄 익스플러로호" sheetId="5" r:id="rId9"/>
    <sheet state="visible" name="26.08.07 MSC 1항차 (상해)" sheetId="6" r:id="rId10"/>
    <sheet state="visible" name="26.08.11 MSC 2항차 (후쿠오카,상해,제주)" sheetId="7" r:id="rId11"/>
    <sheet state="visible" name="26.08.28 COSTA 나가지륭" sheetId="8" r:id="rId12"/>
    <sheet state="visible" name="26. 10.23 서부지중해 MSC 씨뷰" sheetId="9" r:id="rId13"/>
    <sheet state="visible" name="지난 여행 (삭제 금지) ▶" sheetId="10" r:id="rId14"/>
    <sheet state="visible" name="25.10.24 피아노랜드 크루즈" sheetId="11" r:id="rId15"/>
    <sheet state="visible" name="25.11.12 코스타세레나(홍콩,대만)" sheetId="12" r:id="rId16"/>
    <sheet state="visible" name="00.00.00  이 외 상품의 사본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N4">
      <text>
        <t xml:space="preserve">(.)쩜 이나 (/)슬레시 말고
(-) 로 통일 하기</t>
      </text>
    </comment>
    <comment authorId="0" ref="O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N4">
      <text>
        <t xml:space="preserve">(.)쩜 이나 (/)슬레시 말고
(-) 로 통일 하기</t>
      </text>
    </comment>
    <comment authorId="0" ref="O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N4">
      <text>
        <t xml:space="preserve">(.)쩜 이나 (/)슬레시 말고
(-) 로 통일 하기</t>
      </text>
    </comment>
    <comment authorId="0" ref="O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N4">
      <text>
        <t xml:space="preserve">(.)쩜 이나 (/)슬레시 말고
(-) 로 통일 하기</t>
      </text>
    </comment>
    <comment authorId="0" ref="O4">
      <text>
        <t xml:space="preserve">(.)쩜 이나 (/)슬레시 말고
(-) 로 통일 하기</t>
      </text>
    </comment>
    <comment authorId="0" ref="R4">
      <text>
        <t xml:space="preserve">(.)쩜 이나 (/)슬레시 말고
(-) 로 통일 하기
각개인마다 날짜  적어줄것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  <comment authorId="0" ref="Z4">
      <text>
        <t xml:space="preserve">■ 서울 , 수도권
= 인천역, 서울역, 잠실역
■ 대전 = 대전역 동광장
■ 대구 = 대구용산역
■ 부산 = 서면역
■ 울산 = 신복로터리
■ 광주 = 유스퀘어 터미널
</t>
      </text>
    </comment>
    <comment authorId="0" ref="AA4">
      <text>
        <t xml:space="preserve">2지망은 고객이 희망하는 하차 지역을 도시 단위로 적어주세요. (2순위 미희망시 공란)
★ 1개 도시당 희망 고객 35인 이상 신청 시, 해당 지역으로 셔틀버스 운영 예정입니다.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객실, 등급, 몇인실인지 작성
ex) 오션뷰 골드 3인실</t>
      </text>
    </comment>
    <comment authorId="0" ref="L4">
      <text>
        <t xml:space="preserve">(.)쩜 이나 (/)슬레시 말고
(-) 로 통일 하기</t>
      </text>
    </comment>
    <comment authorId="0" ref="S4">
      <text>
        <t xml:space="preserve">카드결제 / 계좌이체 / 본사 홈페이지 중에 하나만 작성하고
꼭 셀병합해서 적지말고 각 개인별로 기록하기
※ 단체중 결제한 대표자나, 얼마 할인 받았거나 특이사항은 메모칸 사용</t>
      </text>
    </comment>
    <comment authorId="0" ref="T4">
      <text>
        <t xml:space="preserve">결재 금액은 각 개인이 얼마를 지불하였는지 개별 납입 금액으로 작성할것!
ex)  예시
(x)2,560,000
(0)1,280,000
     1,280,000</t>
      </text>
    </comment>
    <comment authorId="0" ref="U4">
      <text>
        <t xml:space="preserve">연결담당자는 각각 해줘도 되지만
일행그룹 기준으로 셀병합해도 됨
</t>
      </text>
    </comment>
  </commentList>
</comments>
</file>

<file path=xl/sharedStrings.xml><?xml version="1.0" encoding="utf-8"?>
<sst xmlns="http://schemas.openxmlformats.org/spreadsheetml/2006/main" count="3364" uniqueCount="1600">
  <si>
    <t>2026년 05월 10일 MSC 1항차 (도쿄 출발) 상품 크루즈 명단</t>
  </si>
  <si>
    <t>노랑색 칸의 내용을 샘플로 확인하시어 모객된 고객님들의 정보를 아래에 기재 해 주시기 바랍니다.</t>
  </si>
  <si>
    <t>그룹 메모</t>
  </si>
  <si>
    <t>개별 메모</t>
  </si>
  <si>
    <t>여권링크</t>
  </si>
  <si>
    <t>순번</t>
  </si>
  <si>
    <t>RV</t>
  </si>
  <si>
    <t>CABIN</t>
  </si>
  <si>
    <t>일행그룹</t>
  </si>
  <si>
    <t>루밍그룹</t>
  </si>
  <si>
    <t>카테고리</t>
  </si>
  <si>
    <t>영문성</t>
  </si>
  <si>
    <t>영문이름</t>
  </si>
  <si>
    <t>성 명</t>
  </si>
  <si>
    <t>주민번호</t>
  </si>
  <si>
    <t>성별</t>
  </si>
  <si>
    <t>생년월일</t>
  </si>
  <si>
    <t>여권번호</t>
  </si>
  <si>
    <t>여권생성일</t>
  </si>
  <si>
    <t>여권만료일</t>
  </si>
  <si>
    <t>고객연락처</t>
  </si>
  <si>
    <t>항공</t>
  </si>
  <si>
    <t>최종결제일</t>
  </si>
  <si>
    <t>결제방법</t>
  </si>
  <si>
    <t>결제 금액</t>
  </si>
  <si>
    <t>연결 담당자</t>
  </si>
  <si>
    <t>비고</t>
  </si>
  <si>
    <t>공란</t>
  </si>
  <si>
    <t>동일한숫자 = 같은일행</t>
  </si>
  <si>
    <t>일행 내 객실배정 구분</t>
  </si>
  <si>
    <t>발코니
오션뷰
내측
( 몇인실 )</t>
  </si>
  <si>
    <t>LEE</t>
  </si>
  <si>
    <t>HWAYOUN</t>
  </si>
  <si>
    <t>이화연</t>
  </si>
  <si>
    <t>XXXXXX-XXXXXXX</t>
  </si>
  <si>
    <t>남(M)
여(F)</t>
  </si>
  <si>
    <t>YYYY-MM-DD</t>
  </si>
  <si>
    <t>여권번호 
적어주세요</t>
  </si>
  <si>
    <t>010-0000-0000</t>
  </si>
  <si>
    <t>카드결제
계좌이체
본사 홈페이지</t>
  </si>
  <si>
    <t>단위(원)</t>
  </si>
  <si>
    <t>홍딜동
(영어)</t>
  </si>
  <si>
    <t>현금영수증</t>
  </si>
  <si>
    <t>발코니</t>
  </si>
  <si>
    <t>KIM</t>
  </si>
  <si>
    <t>EUNGGI</t>
  </si>
  <si>
    <t>김응기</t>
  </si>
  <si>
    <t>M</t>
  </si>
  <si>
    <t>M923M4717</t>
  </si>
  <si>
    <t>010-3536-4482</t>
  </si>
  <si>
    <t>본사홈페이지</t>
  </si>
  <si>
    <t>팽원준
(맥스)</t>
  </si>
  <si>
    <r>
      <rPr>
        <rFont val="Arial"/>
        <color theme="1"/>
      </rPr>
      <t xml:space="preserve">지정은 어렵지만 발코니 객실
</t>
    </r>
    <r>
      <rPr>
        <rFont val="Arial"/>
        <b/>
        <color rgb="FFFF0000"/>
      </rPr>
      <t>최대한 높은층</t>
    </r>
    <r>
      <rPr>
        <rFont val="Arial"/>
        <color theme="1"/>
      </rPr>
      <t>으로 부탁드립니다!!!!!!!
(251117 기록)</t>
    </r>
  </si>
  <si>
    <t>김응기님이 258만원 한번에 결제</t>
  </si>
  <si>
    <t>https://drive.google.com/file/d/1rtLYtr-_QZAdrnX-nGvsZxxZ9cQrhqfq/view?usp=drive_link</t>
  </si>
  <si>
    <t>TAEEUN</t>
  </si>
  <si>
    <t>김태은</t>
  </si>
  <si>
    <t>F</t>
  </si>
  <si>
    <t>M518N0490</t>
  </si>
  <si>
    <t xml:space="preserve"> 010-9110-6982 </t>
  </si>
  <si>
    <t>https://drive.google.com/file/d/1I7QSG93Hoyk-AaTa65-A36pqehgDhr9s/view?usp=drive_link</t>
  </si>
  <si>
    <t>내측</t>
  </si>
  <si>
    <t>JIN</t>
  </si>
  <si>
    <t>SEOYEON</t>
  </si>
  <si>
    <t>진서연</t>
  </si>
  <si>
    <t>M498N0610</t>
  </si>
  <si>
    <t>010-7289-8624</t>
  </si>
  <si>
    <t>신홍석</t>
  </si>
  <si>
    <t>싱글차지 내고 가시는 분</t>
  </si>
  <si>
    <t>발코니
3인실</t>
  </si>
  <si>
    <t>JUNGCHA</t>
  </si>
  <si>
    <t>김정차</t>
  </si>
  <si>
    <t>S871H179</t>
  </si>
  <si>
    <t>김대호 
010-2680-4364</t>
  </si>
  <si>
    <t>카드 단말기 결제</t>
  </si>
  <si>
    <t>김윤미</t>
  </si>
  <si>
    <t>가족일행</t>
  </si>
  <si>
    <t>MUNG</t>
  </si>
  <si>
    <t>YOUNGJIN</t>
  </si>
  <si>
    <t>명영진</t>
  </si>
  <si>
    <t>M15140508</t>
  </si>
  <si>
    <t>KYUNGRAN</t>
  </si>
  <si>
    <t>김경란</t>
  </si>
  <si>
    <t>M632T2567</t>
  </si>
  <si>
    <t>CHEONHO</t>
  </si>
  <si>
    <t>김천호</t>
  </si>
  <si>
    <t>M07331864</t>
  </si>
  <si>
    <t>YOONSOOK</t>
  </si>
  <si>
    <t>김윤숙</t>
  </si>
  <si>
    <t>M275a8287</t>
  </si>
  <si>
    <t>DAEHO</t>
  </si>
  <si>
    <t>김대호</t>
  </si>
  <si>
    <t>M628W1815</t>
  </si>
  <si>
    <t>YOU</t>
  </si>
  <si>
    <t>GUI SUN</t>
  </si>
  <si>
    <t>유귀선</t>
  </si>
  <si>
    <t>M383F3652</t>
  </si>
  <si>
    <t>JUNG</t>
  </si>
  <si>
    <t>KIBOK</t>
  </si>
  <si>
    <t>정기복</t>
  </si>
  <si>
    <t>M54744018</t>
  </si>
  <si>
    <t>010-9395-5289</t>
  </si>
  <si>
    <t xml:space="preserve">본사 홈페이지 </t>
  </si>
  <si>
    <t>장근영
(페르)</t>
  </si>
  <si>
    <t>https://drive.google.com/file/d/1ZpRkAHpzlCMAdBatBRXTCOnzjpGZqwIa/view?usp=drive_link</t>
  </si>
  <si>
    <t>SUHAN</t>
  </si>
  <si>
    <t>김수한</t>
  </si>
  <si>
    <t>M65720634</t>
  </si>
  <si>
    <t>010-4717-0333</t>
  </si>
  <si>
    <t>https://drive.google.com/file/d/1WDPZMttdK12Sv3YF3lnJpFxcEu2alAMz/view?usp=drive_link</t>
  </si>
  <si>
    <t>SANGHUN</t>
  </si>
  <si>
    <t>김상훈</t>
  </si>
  <si>
    <t>M63206458</t>
  </si>
  <si>
    <t>010-2306-0899</t>
  </si>
  <si>
    <t>https://drive.google.com/file/d/1sox47h_x_G4WYFZkokosRw7RKWIXjiQi/view?usp=drive_link</t>
  </si>
  <si>
    <t>CHOI</t>
  </si>
  <si>
    <t>PANGYU</t>
  </si>
  <si>
    <t>최판규</t>
  </si>
  <si>
    <t>M90723784</t>
  </si>
  <si>
    <t>010-6311-8890</t>
  </si>
  <si>
    <t>https://drive.google.com/file/d/1rnWvSUvV-bFcs4hdmJEvsMrll0WUYmSg/view?usp=drive_link</t>
  </si>
  <si>
    <t>KANG</t>
  </si>
  <si>
    <t>SUNGSU</t>
  </si>
  <si>
    <t>강성수</t>
  </si>
  <si>
    <t>M97301437</t>
  </si>
  <si>
    <t>010-5415-8275</t>
  </si>
  <si>
    <t>https://drive.google.com/file/d/1i0q2o4UL4IMbjo3BO6T-yoZ_4y_pGxLG/view?usp=drive_link</t>
  </si>
  <si>
    <t>PARK</t>
  </si>
  <si>
    <t>YUMIN</t>
  </si>
  <si>
    <t>박유민</t>
  </si>
  <si>
    <t>M004X0718</t>
  </si>
  <si>
    <t>010-8929-4129</t>
  </si>
  <si>
    <t>본사 홈페이지</t>
  </si>
  <si>
    <t>https://drive.google.com/file/d/1Bfm97Enn_UloMbqFRuVQKRqdNbmteR61/view?usp=drive_link</t>
  </si>
  <si>
    <t>MOON</t>
  </si>
  <si>
    <t>DAEDOO</t>
  </si>
  <si>
    <t>문대두</t>
  </si>
  <si>
    <t>M356T1775</t>
  </si>
  <si>
    <t>010-9138-1055</t>
  </si>
  <si>
    <t>https://drive.google.com/file/d/1L-fx55PxDteynsd2AozZlA4b0k7IYJuV/view?usp=drive_link</t>
  </si>
  <si>
    <t>SUNGIL</t>
  </si>
  <si>
    <t>이성일</t>
  </si>
  <si>
    <t>M570C2393</t>
  </si>
  <si>
    <t>010-6337-8481</t>
  </si>
  <si>
    <t>https://drive.google.com/file/d/1eVt45LWhFgxMmP4fjnELsTpJeZnTRymP/view?usp=drive_link</t>
  </si>
  <si>
    <t>DA HEE</t>
  </si>
  <si>
    <t>강다희</t>
  </si>
  <si>
    <t>M970H5213</t>
  </si>
  <si>
    <t xml:space="preserve"> 신홍석</t>
  </si>
  <si>
    <t>JEONG</t>
  </si>
  <si>
    <t>SEUNGWON</t>
  </si>
  <si>
    <t>정승원</t>
  </si>
  <si>
    <t>M36532656</t>
  </si>
  <si>
    <t>JEUNGUP</t>
  </si>
  <si>
    <t>강정업</t>
  </si>
  <si>
    <t>M166X1254</t>
  </si>
  <si>
    <t>이영진</t>
  </si>
  <si>
    <t>M96841513</t>
  </si>
  <si>
    <t>010-4902-9847</t>
  </si>
  <si>
    <t xml:space="preserve"> SHIN</t>
  </si>
  <si>
    <t>YOUNG MI</t>
  </si>
  <si>
    <t>신영미</t>
  </si>
  <si>
    <t>M684M0347</t>
  </si>
  <si>
    <t>-</t>
  </si>
  <si>
    <t>발코니
4인실</t>
  </si>
  <si>
    <t>YU</t>
  </si>
  <si>
    <t>JUBONG</t>
  </si>
  <si>
    <t>유주봉</t>
  </si>
  <si>
    <t>M878P0768</t>
  </si>
  <si>
    <t>010-4559-1331</t>
  </si>
  <si>
    <t>EUM</t>
  </si>
  <si>
    <t>JEONGSUK</t>
  </si>
  <si>
    <t>엄정숙</t>
  </si>
  <si>
    <t>M604C3006</t>
  </si>
  <si>
    <t>SEYEONG</t>
  </si>
  <si>
    <t>유세영</t>
  </si>
  <si>
    <t>M859C3396</t>
  </si>
  <si>
    <t>DAYOUNG</t>
  </si>
  <si>
    <t>유다영</t>
  </si>
  <si>
    <t>M114C2625</t>
  </si>
  <si>
    <t>JAE SEONG</t>
  </si>
  <si>
    <t>최재성</t>
  </si>
  <si>
    <t>M707M7937</t>
  </si>
  <si>
    <t>010-8612-4873</t>
  </si>
  <si>
    <t>카드번호 결제</t>
  </si>
  <si>
    <r>
      <rPr>
        <rFont val="Arial"/>
        <color theme="1"/>
      </rPr>
      <t xml:space="preserve">3대가 함께하는 여행입니다.
</t>
    </r>
    <r>
      <rPr>
        <rFont val="Arial"/>
        <b/>
        <color rgb="FFFF0000"/>
      </rPr>
      <t>발코니 4인실
객실 2개
최대한 가까이 배정</t>
    </r>
    <r>
      <rPr>
        <rFont val="Arial"/>
        <color theme="1"/>
      </rPr>
      <t>부탁드려요!!
감사합니다
(251203 기록)
신민섭 일행과 함께 갑니다.(260115 추가)</t>
    </r>
  </si>
  <si>
    <t>최재성님이 596만원 모두 결제</t>
  </si>
  <si>
    <t>https://drive.google.com/file/d/1638tnYRaoY-usU95Q4acLnAHG1hU3xOc/view?usp=drive_link</t>
  </si>
  <si>
    <t>YEONGREOI</t>
  </si>
  <si>
    <t>문영례</t>
  </si>
  <si>
    <t>M54960082</t>
  </si>
  <si>
    <t>010-5612-4873</t>
  </si>
  <si>
    <t>https://drive.google.com/file/d/1n5o9L0-jQDJT3NAdpHgncboy0MsOfMCs/view?usp=drive_link</t>
  </si>
  <si>
    <t>JONGHYEOK</t>
  </si>
  <si>
    <t>최종혁</t>
  </si>
  <si>
    <t>M760J2897</t>
  </si>
  <si>
    <t>010-6777-4873</t>
  </si>
  <si>
    <t>https://drive.google.com/file/d/1U4Y3hgavMXFCY5qPLSUQgpHBpwHpZSPc/view?usp=drive_link</t>
  </si>
  <si>
    <t>JONGHYUN</t>
  </si>
  <si>
    <t>최종현</t>
  </si>
  <si>
    <t>M538J4760</t>
  </si>
  <si>
    <t>010-7639-4873</t>
  </si>
  <si>
    <t>https://drive.google.com/file/d/1eH4M7WP7gYMNn6m2QqaHSFMBxR6E6NfH/view?usp=drive_link</t>
  </si>
  <si>
    <t>BAEK</t>
  </si>
  <si>
    <t>MINWOO</t>
  </si>
  <si>
    <t>백민우</t>
  </si>
  <si>
    <t>M230P9228</t>
  </si>
  <si>
    <t>010-7277-3336</t>
  </si>
  <si>
    <t>https://drive.google.com/file/d/1D9LW_LF8oJ5qAOSnzV7pGUg4GuODXsq7/view?usp=drive_link</t>
  </si>
  <si>
    <t>LIM</t>
  </si>
  <si>
    <t>AYEON</t>
  </si>
  <si>
    <t>임아연</t>
  </si>
  <si>
    <t>M583G9277</t>
  </si>
  <si>
    <t>010-7310-3336</t>
  </si>
  <si>
    <t>https://drive.google.com/file/d/1nsTMQdPGKXUVJzNkRadi8CS8X8jy7uYA/view?usp=drive_link</t>
  </si>
  <si>
    <t>SIEUN</t>
  </si>
  <si>
    <t>백시은</t>
  </si>
  <si>
    <t>M742M9191</t>
  </si>
  <si>
    <t>https://drive.google.com/file/d/1QuBtdqP8vNSio7qZYz66wCuRHNfQw5Bk/view?usp=drive_link</t>
  </si>
  <si>
    <t>JIAN</t>
  </si>
  <si>
    <t>백지안</t>
  </si>
  <si>
    <t>M861V4609</t>
  </si>
  <si>
    <t>https://drive.google.com/file/d/1hD0HvABE9Op_4gtxNTXmkWzrce0wgUVF/view?usp=drive_link</t>
  </si>
  <si>
    <t>JEAN</t>
  </si>
  <si>
    <t>CHANGHOAN</t>
  </si>
  <si>
    <t>전창환</t>
  </si>
  <si>
    <t>M866G5359</t>
  </si>
  <si>
    <t>010-9800-6990</t>
  </si>
  <si>
    <t>계좌이체</t>
  </si>
  <si>
    <t>거림건업</t>
  </si>
  <si>
    <t>BAE</t>
  </si>
  <si>
    <t>DUCKYOUNG</t>
  </si>
  <si>
    <t>배득영</t>
  </si>
  <si>
    <t>M017Y4377</t>
  </si>
  <si>
    <t xml:space="preserve">계좌이체 </t>
  </si>
  <si>
    <t>내측 4인실</t>
  </si>
  <si>
    <t>신민섭</t>
  </si>
  <si>
    <t>최재성 일행과 함께 갑니다.(260115 추가)
4인실 마감으로 환불 요청 (2026-01-22)</t>
  </si>
  <si>
    <t>신민섭님이 238만원 모두 결제</t>
  </si>
  <si>
    <t>아내</t>
  </si>
  <si>
    <t>결제 1/15, 객실이 없어서 환불 1/22 = 수당 받지 않음</t>
  </si>
  <si>
    <t>아이</t>
  </si>
  <si>
    <t>KWON</t>
  </si>
  <si>
    <t>KIEHONG</t>
  </si>
  <si>
    <t>권기홍</t>
  </si>
  <si>
    <t>M031J6879</t>
  </si>
  <si>
    <t>010-3592-6061</t>
  </si>
  <si>
    <t>26.03.10 내측 &gt; 발코니 업그레이드
60만원 계좌이체 하심</t>
  </si>
  <si>
    <t>https://drive.google.com/file/d/1nhuwt4uzdJ5zAc2S-YGPDxlxOsANGTfK/view?usp=drive_link</t>
  </si>
  <si>
    <t>KIL</t>
  </si>
  <si>
    <t>SUHEE</t>
  </si>
  <si>
    <t>길수희</t>
  </si>
  <si>
    <t>M83876803</t>
  </si>
  <si>
    <t>https://drive.google.com/file/d/1sTCmN2mzQBmT6GKHH28qVOO1mMQs5TVt/view?usp=drive_link</t>
  </si>
  <si>
    <t>SOON OK</t>
  </si>
  <si>
    <t>이순옥</t>
  </si>
  <si>
    <t>M152P0796</t>
  </si>
  <si>
    <t>010-7760-2442</t>
  </si>
  <si>
    <t xml:space="preserve">신홍석(해리)
</t>
  </si>
  <si>
    <t>MYOUNG SEON</t>
  </si>
  <si>
    <t>최명선</t>
  </si>
  <si>
    <t>M81578194</t>
  </si>
  <si>
    <t>YONG KIL</t>
  </si>
  <si>
    <t>이용길</t>
  </si>
  <si>
    <t>M082U1411</t>
  </si>
  <si>
    <t>SOONSIM</t>
  </si>
  <si>
    <t>이순심</t>
  </si>
  <si>
    <t>M545R9802</t>
  </si>
  <si>
    <t>EUN JIN</t>
  </si>
  <si>
    <t>이은진</t>
  </si>
  <si>
    <t>M702N2031</t>
  </si>
  <si>
    <t>KO</t>
  </si>
  <si>
    <t>SUN NAM</t>
  </si>
  <si>
    <t>고순남</t>
  </si>
  <si>
    <t>M810B5518</t>
  </si>
  <si>
    <t>MYOUNGYEON</t>
  </si>
  <si>
    <t>이명연</t>
  </si>
  <si>
    <t>혼자서 방 씀</t>
  </si>
  <si>
    <t>M02720123</t>
  </si>
  <si>
    <t>CHANG</t>
  </si>
  <si>
    <t>HA HYUB</t>
  </si>
  <si>
    <t>장하협</t>
  </si>
  <si>
    <t>M97607588</t>
  </si>
  <si>
    <t>EUN OK</t>
  </si>
  <si>
    <t>이은옥</t>
  </si>
  <si>
    <t>M755Q7795</t>
  </si>
  <si>
    <t>1. 1월 22일에 결제
2. 카드(본사에 카드번호 주고 결제)
3. 이순옥
4. 3월 20일
환불 요청
(2026-03-20)</t>
  </si>
  <si>
    <t>JINSUL</t>
  </si>
  <si>
    <t>정진설</t>
  </si>
  <si>
    <t>M672Q5188</t>
  </si>
  <si>
    <t>TC</t>
  </si>
  <si>
    <t>TOTAL 30PAX + 1TC</t>
  </si>
  <si>
    <t>2/24 기준 작성 (로즈)</t>
  </si>
  <si>
    <t>승선일</t>
  </si>
  <si>
    <t>예약현황</t>
  </si>
  <si>
    <t>보유수량</t>
  </si>
  <si>
    <t>2인실 예약현황</t>
  </si>
  <si>
    <t>잔여</t>
  </si>
  <si>
    <t>26.04.07 기준</t>
  </si>
  <si>
    <t>→ 7</t>
  </si>
  <si>
    <t>→ 0</t>
  </si>
  <si>
    <t>2인실</t>
  </si>
  <si>
    <t>3인실</t>
  </si>
  <si>
    <t>4인실</t>
  </si>
  <si>
    <t>합계</t>
  </si>
  <si>
    <t>10일</t>
  </si>
  <si>
    <t>3/4인실가능</t>
  </si>
  <si>
    <t>2인1실가능</t>
  </si>
  <si>
    <t>2026년 05월 14일 MSC 2항차 (부산 출발) 상품 크루즈 명단</t>
  </si>
  <si>
    <t>선택관광
[15만원]</t>
  </si>
  <si>
    <t>JAEHEE</t>
  </si>
  <si>
    <t>최재희</t>
  </si>
  <si>
    <t>WOOHYUN</t>
  </si>
  <si>
    <t>진우현</t>
  </si>
  <si>
    <t>SEOCKRYONG</t>
  </si>
  <si>
    <t>최석용</t>
  </si>
  <si>
    <t>M044D1355</t>
  </si>
  <si>
    <t>카톡만 있음</t>
  </si>
  <si>
    <t>SONG</t>
  </si>
  <si>
    <t>HYUNHEE</t>
  </si>
  <si>
    <t>송현희</t>
  </si>
  <si>
    <t>M139N7799</t>
  </si>
  <si>
    <t>BYUNGMO</t>
  </si>
  <si>
    <t>김병모</t>
  </si>
  <si>
    <t>M87993987</t>
  </si>
  <si>
    <t>010-4466-4519</t>
  </si>
  <si>
    <t>김보영님 일행</t>
  </si>
  <si>
    <t>YEOM</t>
  </si>
  <si>
    <t>SEONRYE</t>
  </si>
  <si>
    <t>염선례</t>
  </si>
  <si>
    <t>M91690793</t>
  </si>
  <si>
    <t>KYUNGJIN</t>
  </si>
  <si>
    <t>김경진</t>
  </si>
  <si>
    <t>발코니 업그레이드</t>
  </si>
  <si>
    <t>M10509631</t>
  </si>
  <si>
    <t>성인2,아이2 4인실</t>
  </si>
  <si>
    <t>불가함</t>
  </si>
  <si>
    <t>JANG</t>
  </si>
  <si>
    <t>CHANGWOO</t>
  </si>
  <si>
    <t>장창우</t>
  </si>
  <si>
    <t>M129V0573</t>
  </si>
  <si>
    <t>인사이드 3/4인실 안됨 / 발코니는 3~4인실됨</t>
  </si>
  <si>
    <t>MINSEO</t>
  </si>
  <si>
    <t>장민서</t>
  </si>
  <si>
    <t>M12451643</t>
  </si>
  <si>
    <t>MINJI</t>
  </si>
  <si>
    <t>장민지</t>
  </si>
  <si>
    <t>M68741213</t>
  </si>
  <si>
    <t>인사이드</t>
  </si>
  <si>
    <t>BOYOUNG</t>
  </si>
  <si>
    <t>김보영</t>
  </si>
  <si>
    <t>대장</t>
  </si>
  <si>
    <t>M948C8422</t>
  </si>
  <si>
    <t>성인1,아이2 3인실</t>
  </si>
  <si>
    <t>SEOYUL</t>
  </si>
  <si>
    <t>이서율</t>
  </si>
  <si>
    <t xml:space="preserve">이근호님 나가면서 3인실 되는게 없어서 , 이로운님을 김병모 염선례님 가족으로 옮기고 ,발코니는 3인이 가능하니 (인사이드는 더이상 불가해서) 발코니 무료업그레이드 , 인사이드 3인  </t>
  </si>
  <si>
    <t>M615H4934</t>
  </si>
  <si>
    <t>20만 환불 필요</t>
  </si>
  <si>
    <t>KEUNHO</t>
  </si>
  <si>
    <t>이근호</t>
  </si>
  <si>
    <t>이근호님만 환불</t>
  </si>
  <si>
    <t>M619X9038</t>
  </si>
  <si>
    <t>ROUN</t>
  </si>
  <si>
    <t>이로운</t>
  </si>
  <si>
    <t>M038G5069</t>
  </si>
  <si>
    <t>HYUN JIN</t>
  </si>
  <si>
    <t>김현진</t>
  </si>
  <si>
    <t>M974J9964</t>
  </si>
  <si>
    <t>SEOJIN</t>
  </si>
  <si>
    <t>이서진</t>
  </si>
  <si>
    <t>M968B6994</t>
  </si>
  <si>
    <t>SEOHYUN</t>
  </si>
  <si>
    <t>이서현</t>
  </si>
  <si>
    <t>M699J5139</t>
  </si>
  <si>
    <t>BYEONGGON</t>
  </si>
  <si>
    <t>이병곤</t>
  </si>
  <si>
    <t>M071G6808</t>
  </si>
  <si>
    <t>CHANG-HUN</t>
  </si>
  <si>
    <t>김창헌</t>
  </si>
  <si>
    <t>M152L3959</t>
  </si>
  <si>
    <t>010-5473-9883</t>
  </si>
  <si>
    <t>성인 3인실</t>
  </si>
  <si>
    <t>EUNG-SEO</t>
  </si>
  <si>
    <t>김응서</t>
  </si>
  <si>
    <t>M204W7283</t>
  </si>
  <si>
    <t>CHUNG</t>
  </si>
  <si>
    <t>SOOJUNG</t>
  </si>
  <si>
    <t>정수정</t>
  </si>
  <si>
    <t>M300H8137</t>
  </si>
  <si>
    <t>MINJU</t>
  </si>
  <si>
    <t>김민주</t>
  </si>
  <si>
    <t>M981N1194</t>
  </si>
  <si>
    <t>010-5372-1887</t>
  </si>
  <si>
    <t>희망</t>
  </si>
  <si>
    <t>https://drive.google.com/file/d/1O2L3jqpqiQHa5gF3qntixVnOQ-LA6KNf/view?usp=drive_link</t>
  </si>
  <si>
    <t>HAKYEONG</t>
  </si>
  <si>
    <t>김학영</t>
  </si>
  <si>
    <t>M664D8231</t>
  </si>
  <si>
    <t>https://drive.google.com/file/d/1IuInkXmbFRvm3u0oKqr2s1ipKBmkeUtc/view?usp=drive_link</t>
  </si>
  <si>
    <t>내측 3인실</t>
  </si>
  <si>
    <t>GEUNYEONG</t>
  </si>
  <si>
    <t>장근영</t>
  </si>
  <si>
    <t>M490U7277</t>
  </si>
  <si>
    <t>010-4844-2467</t>
  </si>
  <si>
    <t>담당자 본인 입니다.</t>
  </si>
  <si>
    <t>https://drive.google.com/file/d/1-epWxsAETIZm7VYC916FEGkpFp5-zRSR/view?usp=drive_link</t>
  </si>
  <si>
    <t>HYUNSOO</t>
  </si>
  <si>
    <t>장현수</t>
  </si>
  <si>
    <t>M876H9084</t>
  </si>
  <si>
    <t>010-3523-8642</t>
  </si>
  <si>
    <t>https://drive.google.com/file/d/1pNN36aSlkD6nIm1idlql7Go5woUjb318/view?usp=drive_link</t>
  </si>
  <si>
    <t>KYUNGHWA</t>
  </si>
  <si>
    <t>이경화</t>
  </si>
  <si>
    <t>M675L4683</t>
  </si>
  <si>
    <t>010-3935-2467</t>
  </si>
  <si>
    <t>https://drive.google.com/file/d/12YMV-xhWChPJirIagpPzPlGoafUhDS9W/view?usp=drive_link</t>
  </si>
  <si>
    <t>JUNGGYUN</t>
  </si>
  <si>
    <t>박정균</t>
  </si>
  <si>
    <t>M673X2997</t>
  </si>
  <si>
    <t>010-3822-9416</t>
  </si>
  <si>
    <t>https://drive.google.com/file/d/1fvFNwugRlNjY-fDriIlO3vyzI6FkTuRm/view?usp=drive_link</t>
  </si>
  <si>
    <t>SOMYUNG</t>
  </si>
  <si>
    <t>이소명</t>
  </si>
  <si>
    <t>M67904470</t>
  </si>
  <si>
    <t>010-3824-6081</t>
  </si>
  <si>
    <t>https://drive.google.com/file/d/1fTmkNfVy1yoIKer_CjDdQc6M1EcbLvpO/view?usp=drive_link</t>
  </si>
  <si>
    <t>발코니 3인실</t>
  </si>
  <si>
    <t>HYE KYUNG</t>
  </si>
  <si>
    <t>이혜경</t>
  </si>
  <si>
    <t>M163F2024</t>
  </si>
  <si>
    <t>010-2665-7152</t>
  </si>
  <si>
    <t>이혜경님이 272만5천원 결제
발코니 3인실
상층부 출입편한쪽
(선사에서 임의 배정된다고 선거절은 해놓았습니다)
(251205 기록)</t>
  </si>
  <si>
    <t>26년5월2일 갑자기 고객이 여권 새로 발급받았다며 연락옴. 
26년5월4일 오영해 이사님이 수정가능해소 해주심.</t>
  </si>
  <si>
    <t>https://drive.google.com/file/d/1fMmeexphTCQgoLDsxQ1HryvUIKgEw7TB/view?usp=drive_link</t>
  </si>
  <si>
    <t>HYE JIN</t>
  </si>
  <si>
    <t>정혜진</t>
  </si>
  <si>
    <t>M53843087</t>
  </si>
  <si>
    <t>010-4053-8182</t>
  </si>
  <si>
    <t>https://drive.google.com/file/d/1WfyaHr1IhVAG6OLcPI4EFTzm3p0f0QdX/view?usp=drive_link</t>
  </si>
  <si>
    <t>CHO</t>
  </si>
  <si>
    <t>EUNJIN</t>
  </si>
  <si>
    <t>조은진</t>
  </si>
  <si>
    <t>M92748016</t>
  </si>
  <si>
    <t>010-9904-0097</t>
  </si>
  <si>
    <t>https://drive.google.com/file/d/1Dl0DilNHdMEzVN4pPgQ3_RGH76A7Fm6q/view?usp=drive_link</t>
  </si>
  <si>
    <t>YOUNGGWAN</t>
  </si>
  <si>
    <t>김영관</t>
  </si>
  <si>
    <t>M275U2183</t>
  </si>
  <si>
    <t>010-5639-0940</t>
  </si>
  <si>
    <t>김영관님이 218만원 결제</t>
  </si>
  <si>
    <t>https://drive.google.com/file/d/1L7jK4x0m1ZLOvfILpcjcs5L4ybvV4M15/view?usp=drive_link</t>
  </si>
  <si>
    <t>SEUNGYOUN</t>
  </si>
  <si>
    <t>김승연</t>
  </si>
  <si>
    <t>M12053751</t>
  </si>
  <si>
    <t>010-8680-0940</t>
  </si>
  <si>
    <t>https://drive.google.com/file/d/1aBNDILCyU2vhtSGwS4hRRLxtuhuuuRir/view?usp=drive_link</t>
  </si>
  <si>
    <t>환불
-&gt; 8월 msc 예약</t>
  </si>
  <si>
    <t>SHIN</t>
  </si>
  <si>
    <t>JANG JIN</t>
  </si>
  <si>
    <t>신장진</t>
  </si>
  <si>
    <t>M752K9553</t>
  </si>
  <si>
    <t>010-8553-3432</t>
  </si>
  <si>
    <t>중학생 아이 포함 4인실</t>
  </si>
  <si>
    <t>HAMWOO</t>
  </si>
  <si>
    <t>신함우</t>
  </si>
  <si>
    <t>M488X0410</t>
  </si>
  <si>
    <t>HANSI</t>
  </si>
  <si>
    <t>신한시</t>
  </si>
  <si>
    <t>M914X4694</t>
  </si>
  <si>
    <t>QIAN</t>
  </si>
  <si>
    <t>RUDONG</t>
  </si>
  <si>
    <t>여권 새로 발급 해야함</t>
  </si>
  <si>
    <t>E8I4I9655</t>
  </si>
  <si>
    <t>여권 재발급 받는다고 함</t>
  </si>
  <si>
    <t>JEON</t>
  </si>
  <si>
    <t>JEONG CHEOL</t>
  </si>
  <si>
    <t>전정철</t>
  </si>
  <si>
    <t>M548G0809</t>
  </si>
  <si>
    <t>010-3702-4581</t>
  </si>
  <si>
    <t>MYEONGSOON</t>
  </si>
  <si>
    <t>강명순</t>
  </si>
  <si>
    <t>M693R1909</t>
  </si>
  <si>
    <t>이정숙</t>
  </si>
  <si>
    <t>M195Y4863</t>
  </si>
  <si>
    <t>JAEHAK</t>
  </si>
  <si>
    <t>정재학</t>
  </si>
  <si>
    <t>M98997937</t>
  </si>
  <si>
    <t>010-4370-2240</t>
  </si>
  <si>
    <t>HANGYOUNG</t>
  </si>
  <si>
    <t>조한경</t>
  </si>
  <si>
    <t>M033S7618</t>
  </si>
  <si>
    <t>010-5063-5129</t>
  </si>
  <si>
    <t>기존 인사이드 예약고객
→26.02.25 (차액금 60만원 지급  후
발코니로 업그레이드)</t>
  </si>
  <si>
    <t>https://drive.google.com/file/d/1IPvQAyoihxRlGfMAWQph9fFDhbpJxj9S/view?usp=drive_link</t>
  </si>
  <si>
    <t>KYUNGOK</t>
  </si>
  <si>
    <t>정경옥</t>
  </si>
  <si>
    <t>M717S5314</t>
  </si>
  <si>
    <t>https://drive.google.com/file/d/14z8EsLEvlheBkZZVO1H5KMILP_4p4Tos/view?usp=drive_link</t>
  </si>
  <si>
    <t>YONG GI</t>
  </si>
  <si>
    <t>이용기</t>
  </si>
  <si>
    <t>M305X3642</t>
  </si>
  <si>
    <t>010-9688-2092</t>
  </si>
  <si>
    <t>https://drive.google.com/file/d/1qjeYMymWzOxqVYgMoMES_q1DON5toQgp/view?usp=drive_link</t>
  </si>
  <si>
    <t>YOONSEO</t>
  </si>
  <si>
    <t>김윤서</t>
  </si>
  <si>
    <t>M160K5258</t>
  </si>
  <si>
    <t>010-2841-5805</t>
  </si>
  <si>
    <t>https://drive.google.com/file/d/1GJfBLbj28VverGVJkwMbOHVt9nKTFa5T/view?usp=drive_link</t>
  </si>
  <si>
    <t>YOO</t>
  </si>
  <si>
    <t>HEEJIN</t>
  </si>
  <si>
    <t>유희진</t>
  </si>
  <si>
    <t>M72325478</t>
  </si>
  <si>
    <t>010-3993-2005</t>
  </si>
  <si>
    <t>카드결제</t>
  </si>
  <si>
    <t>김윤미
(사라)</t>
  </si>
  <si>
    <t>EUNSEO</t>
  </si>
  <si>
    <t>장은서</t>
  </si>
  <si>
    <t>M129K7424</t>
  </si>
  <si>
    <t>YOUNGMAN</t>
  </si>
  <si>
    <t>백영만</t>
  </si>
  <si>
    <t>M137R5013</t>
  </si>
  <si>
    <t>010-9231-7725</t>
  </si>
  <si>
    <t>이용기 고객과 일행</t>
  </si>
  <si>
    <t>DONGHWAN</t>
  </si>
  <si>
    <t>신동환</t>
  </si>
  <si>
    <t>M99978135</t>
  </si>
  <si>
    <t>010-5382-7609</t>
  </si>
  <si>
    <t>국적 - 우크라이나</t>
  </si>
  <si>
    <t>YOUNGKYUN</t>
  </si>
  <si>
    <t>진영균</t>
  </si>
  <si>
    <t>M94415305</t>
  </si>
  <si>
    <t>010-3452-8983</t>
  </si>
  <si>
    <t>HWANG</t>
  </si>
  <si>
    <t>JAE SUNG</t>
  </si>
  <si>
    <t>황재성</t>
  </si>
  <si>
    <t>M458M0228</t>
  </si>
  <si>
    <t>010-7707-0246</t>
  </si>
  <si>
    <t>JUNGAH</t>
  </si>
  <si>
    <t>유정아</t>
  </si>
  <si>
    <t>M23664325</t>
  </si>
  <si>
    <t>010-9307-4078</t>
  </si>
  <si>
    <t>BODNAR</t>
  </si>
  <si>
    <t>DIANA-ANASTASIIA</t>
  </si>
  <si>
    <t>디아나 아나스타시아</t>
  </si>
  <si>
    <t>FV763816</t>
  </si>
  <si>
    <t>010-9963-5523</t>
  </si>
  <si>
    <t>입금자 = 에스원엠앤오
(2026.04.13 계좌이체 완료)</t>
  </si>
  <si>
    <t>14일</t>
  </si>
  <si>
    <t xml:space="preserve">내측 </t>
  </si>
  <si>
    <t>순번 5~43 명단 기준</t>
  </si>
  <si>
    <t>2026년 05월 22일 나가지륭 상품 크루즈 명단</t>
  </si>
  <si>
    <t>선택관광
(A,B,C,D)
[40만원]</t>
  </si>
  <si>
    <t>인사이드 클래식</t>
  </si>
  <si>
    <t>Kim</t>
  </si>
  <si>
    <t>Eunah</t>
  </si>
  <si>
    <t>김은아</t>
  </si>
  <si>
    <t>830709-2350411</t>
  </si>
  <si>
    <t>여</t>
  </si>
  <si>
    <t>M984K9259</t>
  </si>
  <si>
    <t>010-82240709</t>
  </si>
  <si>
    <t>김은아
(엘린)</t>
  </si>
  <si>
    <t>2980000 김은아결제</t>
  </si>
  <si>
    <t>미신청</t>
  </si>
  <si>
    <t>https://drive.google.com/file/d/1pSOf4qjed_jEtw0QkUctDab9APbr1gB6/view?usp=sharing</t>
  </si>
  <si>
    <t>Choi</t>
  </si>
  <si>
    <t>Seungyoung</t>
  </si>
  <si>
    <t>최승영</t>
  </si>
  <si>
    <t>840228-1548611</t>
  </si>
  <si>
    <t>남</t>
  </si>
  <si>
    <t>M95916205</t>
  </si>
  <si>
    <t>010-2266-1432</t>
  </si>
  <si>
    <t>https://drive.google.com/file/d/1Qh06Ba71xxv9RNtTlT94WHpgS-KpyUJt/view?usp=sharing</t>
  </si>
  <si>
    <t>발코니 클래식</t>
  </si>
  <si>
    <t>Park</t>
  </si>
  <si>
    <t>Jongim</t>
  </si>
  <si>
    <t>박종임</t>
  </si>
  <si>
    <t>630510-2389923</t>
  </si>
  <si>
    <t>M333D2019</t>
  </si>
  <si>
    <t>010-4460-0506</t>
  </si>
  <si>
    <t>Jongyei</t>
  </si>
  <si>
    <t>박종예</t>
  </si>
  <si>
    <t>580305-2389924</t>
  </si>
  <si>
    <t>M869A2422</t>
  </si>
  <si>
    <t>010-4526-5223</t>
  </si>
  <si>
    <t>20260120김순하님카드로결제</t>
  </si>
  <si>
    <t>4,380,000 김순하결제 (2/12 환불요청)</t>
  </si>
  <si>
    <t>Hyunju</t>
  </si>
  <si>
    <t>김현주</t>
  </si>
  <si>
    <t>711009-2649014</t>
  </si>
  <si>
    <t>M30259638</t>
  </si>
  <si>
    <t xml:space="preserve"> 010-9290-3940</t>
  </si>
  <si>
    <t>15,330,000/2,190,000</t>
  </si>
  <si>
    <t>15,330,000/2,190,000 김현주 카드2장으로 각각결제</t>
  </si>
  <si>
    <t>https://drive.google.com/file/d/19DkFDjrLtXlSSgaBuJpoUVVVYTWA9RRK/view?usp=sharing</t>
  </si>
  <si>
    <t>Hyoyeong</t>
  </si>
  <si>
    <t>최효영</t>
  </si>
  <si>
    <t>700920-1637122</t>
  </si>
  <si>
    <t>M24395338</t>
  </si>
  <si>
    <t xml:space="preserve"> 010-4747-2002</t>
  </si>
  <si>
    <t>https://drive.google.com/file/d/1bxaHT-i-e6Gen8O79P_fEoTOVry771TZ/view?usp=sharing</t>
  </si>
  <si>
    <t>Yongho</t>
  </si>
  <si>
    <t>박용호</t>
  </si>
  <si>
    <t>690127-1565819</t>
  </si>
  <si>
    <t>M35147695</t>
  </si>
  <si>
    <t>010-8830-9600</t>
  </si>
  <si>
    <t>https://drive.google.com/file/d/1iKdfB-g9WHXCxosYv6m1U2uB-ZeKiEz8/view?usp=sharing</t>
  </si>
  <si>
    <t>Nayoung</t>
  </si>
  <si>
    <t>김나영</t>
  </si>
  <si>
    <t>710401-2567512</t>
  </si>
  <si>
    <t>M471D5974</t>
  </si>
  <si>
    <t xml:space="preserve"> 010-2670-0480</t>
  </si>
  <si>
    <t>https://drive.google.com/file/d/1uPxoUblGpP1ZaJbbQemQCA4363Eo5Y5y/view?usp=sharing</t>
  </si>
  <si>
    <t>Yeongjun</t>
  </si>
  <si>
    <t>박영준</t>
  </si>
  <si>
    <t>700915-1640118</t>
  </si>
  <si>
    <t>M325V8719</t>
  </si>
  <si>
    <t>010-2052-3779</t>
  </si>
  <si>
    <t>https://drive.google.com/file/d/1O3DMBfU0c4GNJcMq6bRblH-RmgiWAgks/view?usp=sharing</t>
  </si>
  <si>
    <t>Giuen</t>
  </si>
  <si>
    <t>김지은</t>
  </si>
  <si>
    <t>730616-2567211</t>
  </si>
  <si>
    <t>M525Z9494</t>
  </si>
  <si>
    <t xml:space="preserve"> 010-2034-3779</t>
  </si>
  <si>
    <t>https://drive.google.com/file/d/1RR9L35xMRQF_8LtzO2WuLwzHF1nsUiu9/view?usp=sharing</t>
  </si>
  <si>
    <t>Sanghyun</t>
  </si>
  <si>
    <t>김상현</t>
  </si>
  <si>
    <t>671029-1574221</t>
  </si>
  <si>
    <t>M477F6932</t>
  </si>
  <si>
    <t xml:space="preserve"> 010-8336-1412</t>
  </si>
  <si>
    <t>https://drive.google.com/file/d/1DVItosHX7QrhkTPEuhjcvAnPihhdG4Cd/view?usp=sharing</t>
  </si>
  <si>
    <t>Jungran</t>
  </si>
  <si>
    <t>박정란</t>
  </si>
  <si>
    <t>730313-2522215</t>
  </si>
  <si>
    <t>M593N0921</t>
  </si>
  <si>
    <t xml:space="preserve"> 010-9622-0992</t>
  </si>
  <si>
    <t>https://drive.google.com/file/d/10dpJI7dUlVsv9i-SjLuIrNDQaw8UKn4L/view?usp=sharing</t>
  </si>
  <si>
    <t>오션뷰 프리미엄</t>
  </si>
  <si>
    <t>YOUNGHWAN</t>
  </si>
  <si>
    <t>최영환</t>
  </si>
  <si>
    <t>M13756028</t>
  </si>
  <si>
    <t>010-2505-9772</t>
  </si>
  <si>
    <t>NOH</t>
  </si>
  <si>
    <t>YOUNGHEE</t>
  </si>
  <si>
    <t>노영희</t>
  </si>
  <si>
    <t>M27435366</t>
  </si>
  <si>
    <t>백언님
일행</t>
  </si>
  <si>
    <t>인사이드 프리미엄</t>
  </si>
  <si>
    <t>MIYOUNG</t>
  </si>
  <si>
    <t>송미영</t>
  </si>
  <si>
    <t>M650C1572</t>
  </si>
  <si>
    <t>676만원</t>
  </si>
  <si>
    <t>백언님이 결제했으나 본인은 가지 않음</t>
  </si>
  <si>
    <t>UNG</t>
  </si>
  <si>
    <t>백웅</t>
  </si>
  <si>
    <t>M428C7732</t>
  </si>
  <si>
    <t>010-7488-0957</t>
  </si>
  <si>
    <t>백언님 일행</t>
  </si>
  <si>
    <t>YEONGJA</t>
  </si>
  <si>
    <t>정영자</t>
  </si>
  <si>
    <t>M608Y6895</t>
  </si>
  <si>
    <t>JO</t>
  </si>
  <si>
    <t>조정숙</t>
  </si>
  <si>
    <t>M631S1210</t>
  </si>
  <si>
    <t>SEONG</t>
  </si>
  <si>
    <t>MYOUNGKI</t>
  </si>
  <si>
    <t>성명기</t>
  </si>
  <si>
    <t>M73675944</t>
  </si>
  <si>
    <t>010-6572-6380</t>
  </si>
  <si>
    <t xml:space="preserve">아동포함 가족입니다. 최대한 방 붙여주시기 바랍니다. </t>
  </si>
  <si>
    <t>HYEONHU</t>
  </si>
  <si>
    <t>성현후</t>
  </si>
  <si>
    <t>M239R6945</t>
  </si>
  <si>
    <t>MISUK</t>
  </si>
  <si>
    <t>강미숙</t>
  </si>
  <si>
    <t>M82683907</t>
  </si>
  <si>
    <t>GEONHU</t>
  </si>
  <si>
    <t>성건후</t>
  </si>
  <si>
    <t>M542U4610</t>
  </si>
  <si>
    <t>JUNSEONG</t>
  </si>
  <si>
    <t>김준성</t>
  </si>
  <si>
    <t>M409N4296</t>
  </si>
  <si>
    <t>DOHYUN</t>
  </si>
  <si>
    <t>김도현</t>
  </si>
  <si>
    <t>M072S5158</t>
  </si>
  <si>
    <t>SUNGMI</t>
  </si>
  <si>
    <t>임성미</t>
  </si>
  <si>
    <t>M510X2811</t>
  </si>
  <si>
    <t>GYURI</t>
  </si>
  <si>
    <t>김규리</t>
  </si>
  <si>
    <t>M321X7780</t>
  </si>
  <si>
    <t>MINHO</t>
  </si>
  <si>
    <t>김민호</t>
  </si>
  <si>
    <t>M68229322</t>
  </si>
  <si>
    <t>DOYUL</t>
  </si>
  <si>
    <t>김도율</t>
  </si>
  <si>
    <t>M735V5065</t>
  </si>
  <si>
    <t>CHA</t>
  </si>
  <si>
    <t>차시은</t>
  </si>
  <si>
    <t>M078X2597</t>
  </si>
  <si>
    <t>TAEYOON</t>
  </si>
  <si>
    <t>김태윤</t>
  </si>
  <si>
    <t>M910P9733</t>
  </si>
  <si>
    <t>JONGHO</t>
  </si>
  <si>
    <t>이종호</t>
  </si>
  <si>
    <t>M345Z7141</t>
  </si>
  <si>
    <t>DOHA</t>
  </si>
  <si>
    <t>이도하</t>
  </si>
  <si>
    <t>M21170471</t>
  </si>
  <si>
    <t>YUKYOUNG</t>
  </si>
  <si>
    <t>정유경</t>
  </si>
  <si>
    <t>M947F5885</t>
  </si>
  <si>
    <t>YEONJAE</t>
  </si>
  <si>
    <t>이연재</t>
  </si>
  <si>
    <t>M16396504</t>
  </si>
  <si>
    <t>RYU</t>
  </si>
  <si>
    <t>HYUNCHUL</t>
  </si>
  <si>
    <t>류현철</t>
  </si>
  <si>
    <t>M243A3526</t>
  </si>
  <si>
    <t>GONG</t>
  </si>
  <si>
    <t>EUNJU</t>
  </si>
  <si>
    <t>공은주</t>
  </si>
  <si>
    <t>M042G4434</t>
  </si>
  <si>
    <t>2026년 05월 27일 구마모토 지륭 상품 크루즈 명단</t>
  </si>
  <si>
    <t>1지망</t>
  </si>
  <si>
    <t>2지망</t>
  </si>
  <si>
    <t>내측 클래식
3인실</t>
  </si>
  <si>
    <t>DAEKWUN</t>
  </si>
  <si>
    <t>이대권</t>
  </si>
  <si>
    <t>M213Z3580</t>
  </si>
  <si>
    <t>010-3836-6705</t>
  </si>
  <si>
    <t>팽원준(맥스)</t>
  </si>
  <si>
    <t>선택관광 명수 = 3명 (12세 이상)
금액 = 120만원
결제 = 2026.02.27 계좌이체</t>
  </si>
  <si>
    <t>B</t>
  </si>
  <si>
    <t xml:space="preserve"> 부산-서면역</t>
  </si>
  <si>
    <t>https://drive.google.com/file/d/19RVOsU1zPlDpr16FgagCsrMAMUR0AUnp/view?usp=drive_link'</t>
  </si>
  <si>
    <t>YUBONG</t>
  </si>
  <si>
    <t>강유봉</t>
  </si>
  <si>
    <t>M527T4420</t>
  </si>
  <si>
    <t>010-3745-6372</t>
  </si>
  <si>
    <t>https://drive.google.com/file/d/1wJM0BePQVUv5DinRETDtsHWfwvWU1K9N/view?usp=drive_link</t>
  </si>
  <si>
    <t>SUHYUN</t>
  </si>
  <si>
    <t>이수현</t>
  </si>
  <si>
    <t>M215L8880</t>
  </si>
  <si>
    <t>https://drive.google.com/file/d/1NU6xpV7_wWzprXBKWaf0fkI-HxwUA0zm/view?usp=drive_link</t>
  </si>
  <si>
    <t>내측 클래식</t>
  </si>
  <si>
    <t>KYU RYONG</t>
  </si>
  <si>
    <t>김규룡</t>
  </si>
  <si>
    <t>M634P0084</t>
  </si>
  <si>
    <t>010-2838-5470</t>
  </si>
  <si>
    <t>2025-12-01
(30만원 할인적용)</t>
  </si>
  <si>
    <r>
      <rPr>
        <rFont val="Arial"/>
        <color rgb="FF000000"/>
      </rPr>
      <t xml:space="preserve">김규룡님이 894만원 결제
</t>
    </r>
    <r>
      <rPr>
        <rFont val="Arial"/>
        <color rgb="FFFF0000"/>
      </rPr>
      <t>일행!
3개 객실
최대한 가까운
객실로
부탁드립니다!!!!
(251201 기록)</t>
    </r>
  </si>
  <si>
    <t>서울-서울역</t>
  </si>
  <si>
    <t>https://drive.google.com/file/d/1x1qdlzEgZCcarbyk-SYXOchduP8GBK0K/view?usp=drive_link</t>
  </si>
  <si>
    <t>EUNSUK</t>
  </si>
  <si>
    <t>김은숙</t>
  </si>
  <si>
    <t>M47623427</t>
  </si>
  <si>
    <t>010-8386-3919</t>
  </si>
  <si>
    <t>https://drive.google.com/file/d/1QUv96wwHWOaRVmM_ntD68_RcgQYHzOwh/view?usp=drive_link</t>
  </si>
  <si>
    <t>SEUNG JONG</t>
  </si>
  <si>
    <t>유승종</t>
  </si>
  <si>
    <t>M02753028</t>
  </si>
  <si>
    <t>010-2253-2101</t>
  </si>
  <si>
    <t>https://drive.google.com/file/d/1xNhq88j2DnyJwYh5wq8Lq4gkcTqEdKdc/view?usp=drive_link</t>
  </si>
  <si>
    <t>SHIM</t>
  </si>
  <si>
    <t>GYE SUN</t>
  </si>
  <si>
    <t>심계선</t>
  </si>
  <si>
    <t>M06501376</t>
  </si>
  <si>
    <t>010-5046-4681</t>
  </si>
  <si>
    <t>https://drive.google.com/file/d/1Olzjfv-Uf1oKAgIYB0nSJQr6BNYY0hEu/view?usp=drive_link</t>
  </si>
  <si>
    <t>HAN</t>
  </si>
  <si>
    <t>CHANGMAN</t>
  </si>
  <si>
    <t>한창만</t>
  </si>
  <si>
    <t>M001J9645</t>
  </si>
  <si>
    <t>010-6285-7463</t>
  </si>
  <si>
    <t>https://drive.google.com/file/d/1a8vptND-5pV9J-it-CotS5DU5OIsBD4s/view?usp=drive_link</t>
  </si>
  <si>
    <t>OH</t>
  </si>
  <si>
    <t>HYUN OK</t>
  </si>
  <si>
    <t>오현옥</t>
  </si>
  <si>
    <t>M232J3191</t>
  </si>
  <si>
    <t>010-3955-2396</t>
  </si>
  <si>
    <t>https://drive.google.com/file/d/1mP8Aka_xoxxYIPoxY3kWG4w1HymZ34Jf/view?usp=drive_link</t>
  </si>
  <si>
    <t>SEO</t>
  </si>
  <si>
    <t>HYUNSEOK</t>
  </si>
  <si>
    <t>서현석</t>
  </si>
  <si>
    <t>M815K7852</t>
  </si>
  <si>
    <t>010-6421-5577</t>
  </si>
  <si>
    <t>선택관광 명수 = 2명
금액 = 80만원
결제 = 2026.03.06 계좌이체</t>
  </si>
  <si>
    <t>D</t>
  </si>
  <si>
    <t>인천역</t>
  </si>
  <si>
    <t>안양역, 수원역</t>
  </si>
  <si>
    <t>https://drive.google.com/file/d/1UHtB5gHIkmv_eyxqkPeoAVGS00EMzUeY/view?usp=drive_link</t>
  </si>
  <si>
    <t>BOK HEE</t>
  </si>
  <si>
    <t>송복희</t>
  </si>
  <si>
    <t>M719K0169</t>
  </si>
  <si>
    <t>010-9536-5577</t>
  </si>
  <si>
    <t>https://drive.google.com/file/d/1BWk7T8Evy7dpZjtV2nQwhoJgoD1KJQ8E/view?usp=drive_link</t>
  </si>
  <si>
    <t>내측 클래식
2인실</t>
  </si>
  <si>
    <t>HONG</t>
  </si>
  <si>
    <t>SUNGHOON</t>
  </si>
  <si>
    <t>홍성훈</t>
  </si>
  <si>
    <t>M63285562</t>
  </si>
  <si>
    <t>010-4757-2525</t>
  </si>
  <si>
    <t>2025-12.08</t>
  </si>
  <si>
    <r>
      <rPr>
        <rFont val="Arial"/>
        <color theme="1"/>
        <sz val="12.0"/>
      </rPr>
      <t xml:space="preserve">한국청소년 문학협회
단체
</t>
    </r>
    <r>
      <rPr>
        <rFont val="Arial"/>
        <b/>
        <color theme="1"/>
        <sz val="12.0"/>
      </rPr>
      <t>미팅룸 대여 요청
(글짓기, 시낭송등 문학활동)
[2시간]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단체 인원
</t>
    </r>
    <r>
      <rPr>
        <rFont val="Arial"/>
        <b/>
        <color rgb="FFFF0000"/>
        <sz val="12.0"/>
      </rPr>
      <t>같은 층에 사용 요청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전부 싱글배드 요청
</t>
    </r>
    <r>
      <rPr>
        <rFont val="Arial"/>
        <color theme="1"/>
        <sz val="12.0"/>
      </rPr>
      <t>엔지니어비용</t>
    </r>
  </si>
  <si>
    <t>https://drive.google.com/file/d/1rKnIZ-QSqbxM60qszRpp5Tg5-xkJ6n3v/view?usp=drive_link</t>
  </si>
  <si>
    <t>https://drive.google.com/file/d/1t_85Cl4TZLLbxSfy4mkG-QgVQOcyeRoD/view?usp=drive_link</t>
  </si>
  <si>
    <t>SEOK HO</t>
  </si>
  <si>
    <t>김석호</t>
  </si>
  <si>
    <t>M093X0233</t>
  </si>
  <si>
    <t>010-7900-5601</t>
  </si>
  <si>
    <t>2025-12.10</t>
  </si>
  <si>
    <t xml:space="preserve">박명정님 이름으로 납입 25.12.10 </t>
  </si>
  <si>
    <t>대전-대전역</t>
  </si>
  <si>
    <t>https://drive.google.com/file/d/1u5bZZATvbX1Umx2yeyVCnPCq41tCpRnW/view?usp=drive_link</t>
  </si>
  <si>
    <t>GUELSUN</t>
  </si>
  <si>
    <t>박길순</t>
  </si>
  <si>
    <t>M530J6948</t>
  </si>
  <si>
    <t>010-9216-6662</t>
  </si>
  <si>
    <t>2025-12.26</t>
  </si>
  <si>
    <t>청주</t>
  </si>
  <si>
    <t>https://drive.google.com/file/d/1HtfTSJq8zUG5vp_BiSVorkGtWXcH_Ss1/view?usp=drive_link</t>
  </si>
  <si>
    <t>NAMHEE</t>
  </si>
  <si>
    <t>김남희</t>
  </si>
  <si>
    <t>M74921748</t>
  </si>
  <si>
    <t>010-8795-3017</t>
  </si>
  <si>
    <t>서울- 잠실역</t>
  </si>
  <si>
    <t>https://drive.google.com/file/d/1ctXGHL3ruR-DOAml3aYWFn50PtvVw4aB/view?usp=drive_link</t>
  </si>
  <si>
    <t>CHUN</t>
  </si>
  <si>
    <t>HEESUNG</t>
  </si>
  <si>
    <t>전희성</t>
  </si>
  <si>
    <t>M39656088</t>
  </si>
  <si>
    <t>2025-12.11</t>
  </si>
  <si>
    <t>https://drive.google.com/file/d/17mQLYtMqdt4-ST0rYp-z0OsZMa1OQdpg/view?usp=drive_link</t>
  </si>
  <si>
    <t>GUIJA</t>
  </si>
  <si>
    <t>김귀자</t>
  </si>
  <si>
    <t>M392M6730</t>
  </si>
  <si>
    <t>010-5410-2304</t>
  </si>
  <si>
    <t>카드결재</t>
  </si>
  <si>
    <t>26.01.08 110만원 우리카드 카드결제 / 26.01.30 차액 49만원 계좌이체하심 ( 2인실 이복자님 환불 받고 빠진 자리로 이동)</t>
  </si>
  <si>
    <t>https://drive.google.com/file/d/1HEezycQXCAZ_K5QBXjXZzTdr0WaJc_if/view?usp=drive_link</t>
  </si>
  <si>
    <t>HEA JA</t>
  </si>
  <si>
    <t>김혜자</t>
  </si>
  <si>
    <t>M84339414</t>
  </si>
  <si>
    <t>010-5367-8818</t>
  </si>
  <si>
    <t>https://drive.google.com/file/d/1k8a4O5MhItrIeyyNBMxY2GUeA5zycwhE/view?usp=drive_link</t>
  </si>
  <si>
    <t>JINHEE</t>
  </si>
  <si>
    <t>박진희</t>
  </si>
  <si>
    <t>M85941222</t>
  </si>
  <si>
    <t>010-2855-0700</t>
  </si>
  <si>
    <t>부산-서면역</t>
  </si>
  <si>
    <t>https://drive.google.com/file/d/1WptkZD7olP5g8h2I8GdwCT7kH5UVO6dP/view?usp=drive_link</t>
  </si>
  <si>
    <t>JUNGHWA</t>
  </si>
  <si>
    <t>서정화</t>
  </si>
  <si>
    <t>M185H6733</t>
  </si>
  <si>
    <t>010-8409-3999</t>
  </si>
  <si>
    <t>https://drive.google.com/file/d/1PJBMMDtbU18_-9lcFvvelYGeKSyWUYhJ/view?usp=drive_link</t>
  </si>
  <si>
    <t>성영희</t>
  </si>
  <si>
    <t>M720U9276</t>
  </si>
  <si>
    <t>010-2813-3854</t>
  </si>
  <si>
    <t>대구- 용산역</t>
  </si>
  <si>
    <t>https://drive.google.com/file/d/1aFmXyu0fyk1uXkMFoYzZ7g8h2_Bnrknf/view?usp=drive_link</t>
  </si>
  <si>
    <t>MI JUNG</t>
  </si>
  <si>
    <t>박미정</t>
  </si>
  <si>
    <t>M12187710</t>
  </si>
  <si>
    <t>010-6780-5799</t>
  </si>
  <si>
    <t>https://drive.google.com/file/d/1LFx2oK9mZs3LNv5hFhndNPFAXZtRz0qN/view?usp=drive_link</t>
  </si>
  <si>
    <t>SUNGKOO</t>
  </si>
  <si>
    <t>김성구</t>
  </si>
  <si>
    <t>M43170784</t>
  </si>
  <si>
    <t>010-2617-1626</t>
  </si>
  <si>
    <t>https://drive.google.com/file/d/1858CVk_xjfEh4hMe4sjDYzL7v01oih2e/view?usp=drive_link</t>
  </si>
  <si>
    <t>DONGWOON</t>
  </si>
  <si>
    <t>박동운</t>
  </si>
  <si>
    <t>M213M4295</t>
  </si>
  <si>
    <t>010-3020-0356</t>
  </si>
  <si>
    <t>2025-12.17</t>
  </si>
  <si>
    <t>010-6626-2539 (개인)</t>
  </si>
  <si>
    <t>https://drive.google.com/file/d/1q6WYmCIkaeMkZm1iFktmCOxr-yf-6978/view?usp=drive_link</t>
  </si>
  <si>
    <t>JUNGHEE</t>
  </si>
  <si>
    <t>이정희</t>
  </si>
  <si>
    <t>M824M6358</t>
  </si>
  <si>
    <t>010-8826-4493</t>
  </si>
  <si>
    <t>26.01.29 169만원 입금 했다고 본사 답변 확인 (최대리)</t>
  </si>
  <si>
    <t>충남-아산</t>
  </si>
  <si>
    <t>https://drive.google.com/file/d/184CIwAk5pWo4gAdI1rf4tmIKKqSag9ci/view?usp=drive_link</t>
  </si>
  <si>
    <t>MYUNGJUNG</t>
  </si>
  <si>
    <t>박명정</t>
  </si>
  <si>
    <t>M19257040</t>
  </si>
  <si>
    <t>010-7383-7827</t>
  </si>
  <si>
    <t>https://drive.google.com/file/d/17909o6JcLGl8E9S4Kag3cxRTXxordlvq/view?usp=drive_link</t>
  </si>
  <si>
    <t>MOORAN</t>
  </si>
  <si>
    <t>김무란</t>
  </si>
  <si>
    <t>M111P5927</t>
  </si>
  <si>
    <t>010-4362-1422</t>
  </si>
  <si>
    <t>2025-12-31
(20만원 할인적용)</t>
  </si>
  <si>
    <t>본사홈페이지
김무란
4명 한번에 결제</t>
  </si>
  <si>
    <t>김무란님 일행그룹 카드전체결제(876만원)</t>
  </si>
  <si>
    <t>2026.02.02 취소 요청함
2026.02.12 취소 완
1월에 받은 수당 70만원 환수 아직 못함</t>
  </si>
  <si>
    <t>김무란 남편</t>
  </si>
  <si>
    <t>251230 여권재발급함 - 발급중</t>
  </si>
  <si>
    <t>발코니 프리미엄</t>
  </si>
  <si>
    <t>YANG</t>
  </si>
  <si>
    <t>JONGHYO</t>
  </si>
  <si>
    <t>양종효</t>
  </si>
  <si>
    <t>M02957530</t>
  </si>
  <si>
    <t>HO</t>
  </si>
  <si>
    <t>JANGKYU</t>
  </si>
  <si>
    <t>호장규</t>
  </si>
  <si>
    <t>M41007388</t>
  </si>
  <si>
    <t>HYEONG IN</t>
  </si>
  <si>
    <t>김형인</t>
  </si>
  <si>
    <t>M23599215</t>
  </si>
  <si>
    <t>010-8724-0364</t>
  </si>
  <si>
    <t>유지영↓
장근영(변경됨)</t>
  </si>
  <si>
    <t>선택관광 현금영수증 요청(개인)</t>
  </si>
  <si>
    <t>담당자 변경됨 (유지영 &gt; 장근영)</t>
  </si>
  <si>
    <t>부천역</t>
  </si>
  <si>
    <t>https://drive.google.com/file/d/1Wzhe1VZRXJkZcM_OE5nKYJqVf5bZe5vs/view?usp=drive_link</t>
  </si>
  <si>
    <t>KYUNGSOON</t>
  </si>
  <si>
    <t>박경순</t>
  </si>
  <si>
    <t>M56486476</t>
  </si>
  <si>
    <t>010-2387-9141</t>
  </si>
  <si>
    <t>선택관광 현금영수증 요청</t>
  </si>
  <si>
    <t>https://drive.google.com/file/d/1ky_75k-ovMC8ylI-S-mxyJgTzmf72XGA/view?usp=drive_link</t>
  </si>
  <si>
    <t>YOUNGSEOK</t>
  </si>
  <si>
    <t>김영석</t>
  </si>
  <si>
    <t>M548R4199</t>
  </si>
  <si>
    <t>2026-01-05~2026-01-06
이틀에 나눠 결제</t>
  </si>
  <si>
    <t>카드한도이슈로 200만원 + 490만원 + 1000만원 나눠서 결제
기항지 선택관광 B코스 10명 3/6 400만원 계좌이체 완료</t>
  </si>
  <si>
    <t>대구-용산역</t>
  </si>
  <si>
    <t>https://drive.google.com/file/d/1NwUem3GlkUBv_udIm9y0aeMF458kndCP/view?usp=drive_link</t>
  </si>
  <si>
    <t>OCKRAN</t>
  </si>
  <si>
    <t>이옥란</t>
  </si>
  <si>
    <t>M564D6008</t>
  </si>
  <si>
    <t>https://drive.google.com/file/d/17_0b8LQQBkv13RxFdAlqt_8JG6lFvTaH/view?usp=drive_link</t>
  </si>
  <si>
    <t>YOUNGSUN</t>
  </si>
  <si>
    <t>김영순</t>
  </si>
  <si>
    <t>M92271828</t>
  </si>
  <si>
    <t>https://drive.google.com/file/d/1HbnmU9I31L6-q6nmkD32va3zqNzY-zl_/view?usp=drive_link</t>
  </si>
  <si>
    <t>YOUNGHWA</t>
  </si>
  <si>
    <t>김영화</t>
  </si>
  <si>
    <t>M624T7543</t>
  </si>
  <si>
    <t>https://drive.google.com/file/d/1B4swYN4FORQCRrE5Qv2-XiS20NNwCvZc/view?usp=drive_link</t>
  </si>
  <si>
    <t>MIN</t>
  </si>
  <si>
    <t>KOUNGNAM</t>
  </si>
  <si>
    <t>민경남</t>
  </si>
  <si>
    <t>M148T3912</t>
  </si>
  <si>
    <t>https://drive.google.com/file/d/1UbTG2l0cJ-Ob0Md26soYTmWEhivhSAsD/view?usp=drive_link</t>
  </si>
  <si>
    <t>YOUNGSAM</t>
  </si>
  <si>
    <t>김영삼</t>
  </si>
  <si>
    <t>M029N9034</t>
  </si>
  <si>
    <t>https://drive.google.com/file/d/1-SMCHFu9K51KdXxGTQ71Aq8XYh_RshAE/view?usp=drive_link</t>
  </si>
  <si>
    <t>DOKYOUNG</t>
  </si>
  <si>
    <t>김도경</t>
  </si>
  <si>
    <t>M706C9295</t>
  </si>
  <si>
    <t>https://drive.google.com/file/d/1L-FwrQqxeO7c3BPwhmIcLfmUkMka-69Q/view?usp=drive_link</t>
  </si>
  <si>
    <t>김영진</t>
  </si>
  <si>
    <t>M316V2031</t>
  </si>
  <si>
    <t xml:space="preserve"> 010-3825-0482</t>
  </si>
  <si>
    <t>https://drive.google.com/file/d/10IuzdOn0c7ffuLobSI5Pyitm3y5ektGj/view?usp=drive_link</t>
  </si>
  <si>
    <t>DEY YONG</t>
  </si>
  <si>
    <t>강대용</t>
  </si>
  <si>
    <t>M136B7992</t>
  </si>
  <si>
    <t>https://drive.google.com/file/d/1ZXcP1mgAFcC2ChAj6Sm55_cwofrIRFxn/view?usp=drive_link</t>
  </si>
  <si>
    <t>MIJA</t>
  </si>
  <si>
    <t>김미자</t>
  </si>
  <si>
    <t>M43714388</t>
  </si>
  <si>
    <t>https://drive.google.com/file/d/1ZybaAcfMhD7qa7WVOs9YzLrltd4rjkev/view?usp=drive_link</t>
  </si>
  <si>
    <t>진명초</t>
  </si>
  <si>
    <t>010--7924-8931</t>
  </si>
  <si>
    <t>2026-01-05
(428만원 중 200만원만 결제)</t>
  </si>
  <si>
    <t>본사 카드번호 결제
+
계좌이체</t>
  </si>
  <si>
    <t xml:space="preserve">2025-12-27 어딩 전산에 예약 등록/
2025-12-31 본사 카드 번호 결제 요청 지연/
2026-01-05 200만원 먼저 결제/
고객이 약속한 날짜에 결제 안해주셔서 인상된 가격으로 결제하기로함(260115)
고객이 2월 첫째주에 잔금을 현금으로 결제한다고함 (260130)
2026-03-09 어딩 카드번호 결제로 80만원 결제 완료 , 20만원 결제 실패
2026-03-10 계좌이체로 20만원 입금완료
잔금 168만원 3/25까지 납부하기로 약속함!
2026-03-16 아버지가 어제 중환자실 입원하게 되었고, 위독한 상태여서 여행취소 요청함. </t>
  </si>
  <si>
    <t>할인 기간 안에 완납 안했기 때문에 차액 결제는
할인 적용되지 않은 금액으로 결제해야됨
468 - 200 = 268만원
268 - 80 -20 = 168만원 (26-03-10 기록)</t>
  </si>
  <si>
    <t>미신청
(2026.02.27 소통)</t>
  </si>
  <si>
    <t>광주-유스퀘어 터미널
(2026.02.27 소통)</t>
  </si>
  <si>
    <t>여권 재발급중</t>
  </si>
  <si>
    <t>김려자</t>
  </si>
  <si>
    <t>여권 재발급중 (계속 재촉중)</t>
  </si>
  <si>
    <t>진중상</t>
  </si>
  <si>
    <t>여권 재발급중 (계속 재촉중)
암말기이지만 먹는거 잘드시고, 일상 지장 없음
단, 걷는게 불편</t>
  </si>
  <si>
    <t>내측 프리미엄</t>
  </si>
  <si>
    <t>EUN JA</t>
  </si>
  <si>
    <t>강은자</t>
  </si>
  <si>
    <t>M758Z1929</t>
  </si>
  <si>
    <t>010-7111-3810</t>
  </si>
  <si>
    <t>서울역</t>
  </si>
  <si>
    <t>HYUN JOO</t>
  </si>
  <si>
    <t>이현주</t>
  </si>
  <si>
    <t>M253J1990</t>
  </si>
  <si>
    <t>SEONG CHEOL</t>
  </si>
  <si>
    <t>김성철</t>
  </si>
  <si>
    <t>M524M2990</t>
  </si>
  <si>
    <t>010-5553-4224</t>
  </si>
  <si>
    <t>3/5 계좌이체 1차 : 김성철 1,000만원
잔금 : 4,670만원 64,260,000 완납</t>
  </si>
  <si>
    <t>광주</t>
  </si>
  <si>
    <t>목포</t>
  </si>
  <si>
    <t>https://drive.google.com/file/d/1UWYxpKfvbG4nhpKb3vAwRgNWBp8UkAYJ/view?usp=drive_link</t>
  </si>
  <si>
    <t>BYEONGOK</t>
  </si>
  <si>
    <t>김병옥</t>
  </si>
  <si>
    <t>M113G3643</t>
  </si>
  <si>
    <t>https://drive.google.com/file/d/1Gb60sjy7nhIBhgErnOkyzV4p_HiqSmbA/view?usp=drive_link</t>
  </si>
  <si>
    <t>YEON DAN</t>
  </si>
  <si>
    <t>박연단</t>
  </si>
  <si>
    <t>M952T0739</t>
  </si>
  <si>
    <t>https://drive.google.com/file/d/1WWfFb53K_2n4ol-LEY68GkLvbuPTkflM/view?usp=drive_link</t>
  </si>
  <si>
    <t>SUNYEOP</t>
  </si>
  <si>
    <t>김순엽</t>
  </si>
  <si>
    <t>M326M6653</t>
  </si>
  <si>
    <t>https://drive.google.com/file/d/1KQETPIxg-MDExB57SkOG45Jm-oVX43JL/view?usp=drive_link</t>
  </si>
  <si>
    <t>JEONGDAN</t>
  </si>
  <si>
    <t>강정단</t>
  </si>
  <si>
    <t>M333U9632</t>
  </si>
  <si>
    <t>https://drive.google.com/file/d/1pyY_YJDyRC_0WuZ8DfpGETfmFp4jmVzR/view?usp=drive_link</t>
  </si>
  <si>
    <t>NAEYEOP</t>
  </si>
  <si>
    <t>김내엽</t>
  </si>
  <si>
    <t>M436V7751</t>
  </si>
  <si>
    <t>https://drive.google.com/file/d/1d7sgCo4twESbp7PRF50f_tQIBR0JTOtZ/view?usp=drive_link</t>
  </si>
  <si>
    <t>SIM</t>
  </si>
  <si>
    <t>MAKRAE</t>
  </si>
  <si>
    <t>심막래</t>
  </si>
  <si>
    <t>M325J4486</t>
  </si>
  <si>
    <t>https://drive.google.com/file/d/1Vo4UZuDcnXr_2JMh6BNVvjWN4GbJBWrT/view?usp=drive_link</t>
  </si>
  <si>
    <t>SANGHEE</t>
  </si>
  <si>
    <t>김상희</t>
  </si>
  <si>
    <t>M239R3478</t>
  </si>
  <si>
    <t>https://drive.google.com/file/d/1enmTOfCiXhFDLokR4ReM9MfMOWTASrEH/view?usp=drive_link</t>
  </si>
  <si>
    <t>YEONG DEOK</t>
  </si>
  <si>
    <t>김영덕</t>
  </si>
  <si>
    <t>M488W4684</t>
  </si>
  <si>
    <t>https://drive.google.com/file/d/1YoQfrhWXNZdQlRhwrcTZfuITbkoLXeGD/view?usp=drive_link</t>
  </si>
  <si>
    <t>MIOK</t>
  </si>
  <si>
    <t>정미옥</t>
  </si>
  <si>
    <t>M012L8787</t>
  </si>
  <si>
    <t>https://drive.google.com/file/d/1RSAKzvM7SkFDtiorVkgxoTvGHoFmZwgS/view?usp=drive_link</t>
  </si>
  <si>
    <t>SEONGJIN</t>
  </si>
  <si>
    <t>김성진</t>
  </si>
  <si>
    <t>M445H8382</t>
  </si>
  <si>
    <t>https://drive.google.com/file/d/1g1knKHot9etV_VgB4EGodYRypj7KYIR8/view?usp=drive_link</t>
  </si>
  <si>
    <t>HYUNJA</t>
  </si>
  <si>
    <t>김현자</t>
  </si>
  <si>
    <t>M358A7960</t>
  </si>
  <si>
    <t>https://drive.google.com/file/d/1mVBAi9ZHW9hXfN-KjFxR8gTkjba1SkJ3/view?usp=drive_link</t>
  </si>
  <si>
    <t>YOUNGBOO</t>
  </si>
  <si>
    <t>김영부</t>
  </si>
  <si>
    <t>M357F2363</t>
  </si>
  <si>
    <t>https://drive.google.com/file/d/17ESBjT0IbHDANPDpWNa7YAJRI6Xolhfn/view?usp=drive_link</t>
  </si>
  <si>
    <t>JUNGLAE</t>
  </si>
  <si>
    <t>박정례</t>
  </si>
  <si>
    <t>M958A9510</t>
  </si>
  <si>
    <t>https://drive.google.com/file/d/1znZ9HY_KKScmCn-ubOq1hq7m66XMC59q/view?usp=drive_link</t>
  </si>
  <si>
    <t>JUN CHUN</t>
  </si>
  <si>
    <t>박준천</t>
  </si>
  <si>
    <t>M153Y8592</t>
  </si>
  <si>
    <t>https://drive.google.com/file/d/1VZxOtSy1MWmgvmKYjYOkE6nZgD2ga_K6/view?usp=drive_link</t>
  </si>
  <si>
    <t>MA</t>
  </si>
  <si>
    <t>SOOK JA</t>
  </si>
  <si>
    <t>마숙자</t>
  </si>
  <si>
    <t>M011U1552</t>
  </si>
  <si>
    <t>https://drive.google.com/file/d/1ibittPVGJE1KcjOcBs8zb7eal_WsBqsR/view?usp=drive_link</t>
  </si>
  <si>
    <t>SO</t>
  </si>
  <si>
    <t>DAECHEOL</t>
  </si>
  <si>
    <t>소대철</t>
  </si>
  <si>
    <t>M040W2833</t>
  </si>
  <si>
    <t>https://drive.google.com/file/d/1MfXlJHCz_HE3NVf_LZNiUxcGJ_6BYrQb/view?usp=drive_link</t>
  </si>
  <si>
    <t>YEONGSUK</t>
  </si>
  <si>
    <t>김영숙</t>
  </si>
  <si>
    <t>M230F7418</t>
  </si>
  <si>
    <t>https://drive.google.com/file/d/1TqOg_UXVp_M8bKQnqZNz47sm6YNU_VX3/view?usp=drive_link</t>
  </si>
  <si>
    <t>GWANG GUK</t>
  </si>
  <si>
    <t>김광국</t>
  </si>
  <si>
    <t>M872Y8682</t>
  </si>
  <si>
    <t>https://drive.google.com/file/d/1mj18pPr9ODBptVSMUyWJQBQEW2lQhpdG/view?usp=drive_link</t>
  </si>
  <si>
    <t>SEOK DAN</t>
  </si>
  <si>
    <t>박석단</t>
  </si>
  <si>
    <t>M782J6550</t>
  </si>
  <si>
    <t>https://drive.google.com/file/d/1gzUgHfX9vfJegGlzBUIMwnExiwVWPlg-/view?usp=drive_link</t>
  </si>
  <si>
    <t>JEOMIN</t>
  </si>
  <si>
    <t>김점임</t>
  </si>
  <si>
    <t>M755B9741</t>
  </si>
  <si>
    <t>https://drive.google.com/file/d/1i-0x9rNLzPbB_HkdlnozAgd_FSd2lfpY/view?usp=drive_link</t>
  </si>
  <si>
    <t>HWAJIN</t>
  </si>
  <si>
    <t>김화진</t>
  </si>
  <si>
    <t>M854S4967</t>
  </si>
  <si>
    <t>https://drive.google.com/file/d/1B--FsjbccGEmKVzVO5uSRQ-e2_E_7Bih/view?usp=drive_link</t>
  </si>
  <si>
    <t>SEONGWOON</t>
  </si>
  <si>
    <t>김성운</t>
  </si>
  <si>
    <t>M978H3564</t>
  </si>
  <si>
    <t>https://drive.google.com/file/d/10GsmwjxH57TbXjnmClhIpb9vmOaxA6T8/view?usp=drive_link</t>
  </si>
  <si>
    <t>SEONSOON</t>
  </si>
  <si>
    <t>김선순</t>
  </si>
  <si>
    <t>M116T3568</t>
  </si>
  <si>
    <t>https://drive.google.com/file/d/1kcrd5Jo5oC_G56zZA4c6_2t055l5LW7i/view?usp=drive_link</t>
  </si>
  <si>
    <t>JONGWON</t>
  </si>
  <si>
    <t>이종원</t>
  </si>
  <si>
    <t>M959Z1480</t>
  </si>
  <si>
    <t>https://drive.google.com/file/d/15fQJ9lut0UlmLXcLG5miz_7PGwLrUYZu/view?usp=drive_link</t>
  </si>
  <si>
    <t>YOUNGMI</t>
  </si>
  <si>
    <t>김영미</t>
  </si>
  <si>
    <t>M488C7525</t>
  </si>
  <si>
    <t>https://drive.google.com/file/d/1tN1prfvAE3qS-Sd43q0eWzm-k6He_pTa/view?usp=drive_link</t>
  </si>
  <si>
    <t>JEONGHWAN</t>
  </si>
  <si>
    <t>김정환</t>
  </si>
  <si>
    <t>M426J0293</t>
  </si>
  <si>
    <t>https://drive.google.com/file/d/1KHsqcd9apAOaNwHvv84SPtMXqkOysK-v/view?usp=drive_link</t>
  </si>
  <si>
    <t>조미자</t>
  </si>
  <si>
    <t>M861S8959</t>
  </si>
  <si>
    <t>https://drive.google.com/file/d/1WZWb_bU-gLHo606s_WRe8IjoaxQKkGEg/view?usp=drive_link</t>
  </si>
  <si>
    <t>DONG SU</t>
  </si>
  <si>
    <t>최동수</t>
  </si>
  <si>
    <t>M401F6005</t>
  </si>
  <si>
    <t>https://drive.google.com/file/d/1ZLgJ0pPrVddIqnNPEzPLTb1h-EO7M-p-/view?usp=drive_link</t>
  </si>
  <si>
    <t>SUN GEUN</t>
  </si>
  <si>
    <t>김순금</t>
  </si>
  <si>
    <t>M167F2729</t>
  </si>
  <si>
    <t>https://drive.google.com/file/d/1xe9XNSyCE0Yme9d1Fpub9cFNLthTHOJP/view?usp=drive_link</t>
  </si>
  <si>
    <t>NAMCHEOL</t>
  </si>
  <si>
    <t>소남철</t>
  </si>
  <si>
    <t>M782V4166</t>
  </si>
  <si>
    <t>https://drive.google.com/file/d/1sjIWLTKh-tJAekgY3xGNCRX3SBLN0C7n/view?usp=drive_link</t>
  </si>
  <si>
    <t>GILOH</t>
  </si>
  <si>
    <t>강길오</t>
  </si>
  <si>
    <t>M611S1557</t>
  </si>
  <si>
    <t>https://drive.google.com/file/d/1XwDl0Dr9-0TFq939PQQn93s6onlM4X1N/view?usp=drive_link</t>
  </si>
  <si>
    <t>MAEJA</t>
  </si>
  <si>
    <t>김매자</t>
  </si>
  <si>
    <t>M475N5456</t>
  </si>
  <si>
    <t>https://drive.google.com/file/d/13aPMMJo7xAuQiDU7kJ06A5PbszMskXst/view?usp=drive_link</t>
  </si>
  <si>
    <t>SEYONG</t>
  </si>
  <si>
    <t>김세용</t>
  </si>
  <si>
    <t>M888H7755</t>
  </si>
  <si>
    <t>https://drive.google.com/file/d/1ZcG5pnS910Yitufx1S7B51JcrqXde415/view?usp=drive_link</t>
  </si>
  <si>
    <t>발코니 프리미엄
3인실</t>
  </si>
  <si>
    <t>UIJIN</t>
  </si>
  <si>
    <t>백의진</t>
  </si>
  <si>
    <t>M064Z4641</t>
  </si>
  <si>
    <t>010-6721-6712</t>
  </si>
  <si>
    <t>배연성
(저스틴)</t>
  </si>
  <si>
    <t>https://drive.google.com/file/d/1AuBy4nLbXg151VsaKqFbSg10ST5RzYgx/view?usp=drive_link</t>
  </si>
  <si>
    <t>YONHWA</t>
  </si>
  <si>
    <t>오연화</t>
  </si>
  <si>
    <t>M741V0146</t>
  </si>
  <si>
    <t>https://drive.google.com/file/d/1yTOPm2MQv3SCyImUWYs0a-BTbzLGCcT0/view?usp=drive_link</t>
  </si>
  <si>
    <t>CHANGSU</t>
  </si>
  <si>
    <t>백창수</t>
  </si>
  <si>
    <t>M665V8456</t>
  </si>
  <si>
    <t>https://drive.google.com/file/d/1B9hsF0xJu1pk55rPk7XBD0pvmvTqnRTY/view?usp=drive_link</t>
  </si>
  <si>
    <t>CHEOL SEUNG</t>
  </si>
  <si>
    <t>백철승</t>
  </si>
  <si>
    <t>M189V9308</t>
  </si>
  <si>
    <t>010-7241-6712</t>
  </si>
  <si>
    <t>https://drive.google.com/file/d/1PaVRlmCCb88W5bnaEZjUk05l_3B9KSpX/view?usp=drive_link</t>
  </si>
  <si>
    <t>MI JEONG</t>
  </si>
  <si>
    <t>최미정</t>
  </si>
  <si>
    <t>M613V7942</t>
  </si>
  <si>
    <t>https://drive.google.com/file/d/1L8Gy9j42DfZ0inUVnm8z0SFq4pTOdgGk/view?usp=drive_link</t>
  </si>
  <si>
    <t>CHANI</t>
  </si>
  <si>
    <t>백차니</t>
  </si>
  <si>
    <t>M194X2772</t>
  </si>
  <si>
    <t>https://drive.google.com/file/d/1TtsoN0qmtSa9jGz8DDxcIUtkNER_kdzh/view?usp=drive_link</t>
  </si>
  <si>
    <t>2026년 06월11일 동부지중해 상품 크루즈 명단</t>
  </si>
  <si>
    <t>CHAE</t>
  </si>
  <si>
    <t>YONGSEOK</t>
  </si>
  <si>
    <t>채용석</t>
  </si>
  <si>
    <t>701009-1030116</t>
  </si>
  <si>
    <t>M298Z3535</t>
  </si>
  <si>
    <t>010-2336-4959</t>
  </si>
  <si>
    <t>카타르 항공</t>
  </si>
  <si>
    <t>배연성(저스틴)</t>
  </si>
  <si>
    <t>1,200,000원 세금계산서 별도 발급</t>
  </si>
  <si>
    <t>SEONWOO</t>
  </si>
  <si>
    <t>유선우</t>
  </si>
  <si>
    <t>700911-2019623</t>
  </si>
  <si>
    <t>M837R7687</t>
  </si>
  <si>
    <t>010-3104-2967</t>
  </si>
  <si>
    <t>0000년 00월 00일 이 외 상품 크루즈 명단</t>
  </si>
  <si>
    <t>선택관광
[12만원]</t>
  </si>
  <si>
    <t>내측
(2인실)</t>
  </si>
  <si>
    <t>CHAESON</t>
  </si>
  <si>
    <t>최재선</t>
  </si>
  <si>
    <t>M789Y0556</t>
  </si>
  <si>
    <t>010-4829-2284</t>
  </si>
  <si>
    <t>계좌이체
(최재선)</t>
  </si>
  <si>
    <r>
      <rPr>
        <rFont val="Arial"/>
        <color theme="1"/>
      </rPr>
      <t>지정은 어렵지만
객실</t>
    </r>
    <r>
      <rPr>
        <rFont val="Arial"/>
        <b/>
        <color theme="1"/>
      </rPr>
      <t xml:space="preserve"> </t>
    </r>
    <r>
      <rPr>
        <rFont val="Arial"/>
        <b/>
        <color rgb="FFFF0000"/>
      </rPr>
      <t>8층 이상으로</t>
    </r>
    <r>
      <rPr>
        <rFont val="Arial"/>
        <color theme="1"/>
      </rPr>
      <t xml:space="preserve"> 배정 부탁드려요!
최대한 부탁드립니다. VIP 고객입니다. 감사합니다!</t>
    </r>
  </si>
  <si>
    <t>신청</t>
  </si>
  <si>
    <t>HONG CHAE</t>
  </si>
  <si>
    <t>조홍제</t>
  </si>
  <si>
    <t>M83124572</t>
  </si>
  <si>
    <t>010-6848-2284</t>
  </si>
  <si>
    <t>DUK IM</t>
  </si>
  <si>
    <t>김덕임</t>
  </si>
  <si>
    <t>M51352569</t>
  </si>
  <si>
    <t>DUK HEE</t>
  </si>
  <si>
    <t>김덕희</t>
  </si>
  <si>
    <t>M482Q5697</t>
  </si>
  <si>
    <t>KYUNG DUK</t>
  </si>
  <si>
    <t>김경덕</t>
  </si>
  <si>
    <t>M65028771</t>
  </si>
  <si>
    <t>010-6323-4508</t>
  </si>
  <si>
    <t>KYEUNG TAE</t>
  </si>
  <si>
    <t>M99422828</t>
  </si>
  <si>
    <t>GANGMIN</t>
  </si>
  <si>
    <t>김강민</t>
  </si>
  <si>
    <t>M245W3850</t>
  </si>
  <si>
    <t xml:space="preserve">010-2394-1507 </t>
  </si>
  <si>
    <t>JOKYOUNG</t>
  </si>
  <si>
    <t>이조경</t>
  </si>
  <si>
    <t>M707G6757</t>
  </si>
  <si>
    <t>BYEONGKI</t>
  </si>
  <si>
    <t>이병기</t>
  </si>
  <si>
    <t>M220T4862</t>
  </si>
  <si>
    <t>010-6480-4156</t>
  </si>
  <si>
    <t>INSEON</t>
  </si>
  <si>
    <t>김인선</t>
  </si>
  <si>
    <t>M047L1076</t>
  </si>
  <si>
    <t>756-16-00249</t>
  </si>
  <si>
    <t>2026년 08월 28일 동부지중해 상품 크루즈 명단</t>
  </si>
  <si>
    <t>발코니
클래식</t>
  </si>
  <si>
    <t>AN</t>
  </si>
  <si>
    <t>SON MI</t>
  </si>
  <si>
    <t>안선미</t>
  </si>
  <si>
    <t>M018D5027</t>
  </si>
  <si>
    <t>KEENE</t>
  </si>
  <si>
    <t>RICHARD</t>
  </si>
  <si>
    <t>KEENE
RICHARD</t>
  </si>
  <si>
    <t>Y00315552</t>
  </si>
  <si>
    <t>2026년 10월 23일 서부지중해 상품 크루즈 명단</t>
  </si>
  <si>
    <t>발코니 2인실</t>
  </si>
  <si>
    <t>INOK</t>
  </si>
  <si>
    <t>김인옥</t>
  </si>
  <si>
    <t>M876T1301</t>
  </si>
  <si>
    <t>010-5621-2725</t>
  </si>
  <si>
    <t>카타르</t>
  </si>
  <si>
    <t>크루즈닷 웰컴페이먼츠 카드영수 진행
-정동보님 카드-
우리카드 = 800 + 700 
농협카드 = 100
소계 = 1600
---------------------------------------
-신연주님 카드-
농협카드 = 500
신한카드 = 400 + 50 + 50
소계 = 1000
총 2600</t>
  </si>
  <si>
    <t>https://drive.google.com/file/d/15Q6nAB_30_wqislzRCPILtjqvS7qZWr5/view?usp=drive_link</t>
  </si>
  <si>
    <t>정미자</t>
  </si>
  <si>
    <t>M610K0030</t>
  </si>
  <si>
    <t>010-5057-9356</t>
  </si>
  <si>
    <t>https://drive.google.com/file/d/1b-2ZHlclujq6RcoksLw7fLEvNl9xFjlw/view?usp=drive_link</t>
  </si>
  <si>
    <t>YEONJU</t>
  </si>
  <si>
    <t>신연주</t>
  </si>
  <si>
    <t>M087X1884</t>
  </si>
  <si>
    <t>010-2618-1187</t>
  </si>
  <si>
    <t>https://drive.google.com/file/d/1LDA0zzOgigaGa5SFyzjzZA_bTzI6tqHZ/view?usp=drive_link</t>
  </si>
  <si>
    <t>JI</t>
  </si>
  <si>
    <t>SEORYEON</t>
  </si>
  <si>
    <t>지서련</t>
  </si>
  <si>
    <t>M74261907</t>
  </si>
  <si>
    <t>010-5197-3449</t>
  </si>
  <si>
    <t>https://drive.google.com/file/d/1zZU-cMOQejelc5OOtCNDVZGZKGAXeeQG/view?usp=drive_link</t>
  </si>
  <si>
    <t>2025년 10월 24일 홍콩-제주 피아노랜드 크루즈 명단</t>
  </si>
  <si>
    <t>주황색 칸의 내용을 샘플로 확인하시어 모객된 고객님들의 정보를 아래에 기재 해 주시기 바랍니다.</t>
  </si>
  <si>
    <t>여권발급일</t>
  </si>
  <si>
    <t>결제일</t>
  </si>
  <si>
    <t>발코니
오션뷰
내측
( 몇인실)</t>
  </si>
  <si>
    <t>단위(만원)</t>
  </si>
  <si>
    <t>홍킬동</t>
  </si>
  <si>
    <t>메모</t>
  </si>
  <si>
    <t>오션뷰
(패키지)</t>
  </si>
  <si>
    <t>JUNJIN</t>
  </si>
  <si>
    <t>양전진</t>
  </si>
  <si>
    <t>M085X1787</t>
  </si>
  <si>
    <t>010-3097-0933</t>
  </si>
  <si>
    <t>아시아나항공</t>
  </si>
  <si>
    <t>윤영례</t>
  </si>
  <si>
    <t>인천출발</t>
  </si>
  <si>
    <t>MYEONG SU</t>
  </si>
  <si>
    <t>정명수</t>
  </si>
  <si>
    <t>M066X2130</t>
  </si>
  <si>
    <t>010-5039-6151</t>
  </si>
  <si>
    <t>발코니
(패키지)</t>
  </si>
  <si>
    <t>YEUM</t>
  </si>
  <si>
    <t>HYUNGMAN</t>
  </si>
  <si>
    <t>염형만</t>
  </si>
  <si>
    <t>680527-1462121</t>
  </si>
  <si>
    <t>M69080230</t>
  </si>
  <si>
    <t>010-8501-5084</t>
  </si>
  <si>
    <t>YEO</t>
  </si>
  <si>
    <t>HYEIM</t>
  </si>
  <si>
    <t>여혜임</t>
  </si>
  <si>
    <t>810117-2334810</t>
  </si>
  <si>
    <t>M08929689</t>
  </si>
  <si>
    <t>발코니
(자유여행)</t>
  </si>
  <si>
    <t>BONGJUNG</t>
  </si>
  <si>
    <t>조봉정</t>
  </si>
  <si>
    <t>750117-1122619</t>
  </si>
  <si>
    <t>M42124864</t>
  </si>
  <si>
    <t>010-4540-2824</t>
  </si>
  <si>
    <t>x</t>
  </si>
  <si>
    <t>팽원준</t>
  </si>
  <si>
    <t>자유고객이지만, 크루즈에서 궁금한점 있으면 챙겨주실 수 있을까요? T^T
저도 최대한 크루즈에 대한 자료 계속 제공할 예정입니다.
잘 부탁드립니다</t>
  </si>
  <si>
    <t>MUN</t>
  </si>
  <si>
    <t>HYEONJU</t>
  </si>
  <si>
    <t>문현주</t>
  </si>
  <si>
    <t>M908C1432</t>
  </si>
  <si>
    <t>HYEOKJUN</t>
  </si>
  <si>
    <t>최혁준</t>
  </si>
  <si>
    <t>M432M7584</t>
  </si>
  <si>
    <t>010-9326-5879</t>
  </si>
  <si>
    <t>부산출발</t>
  </si>
  <si>
    <t>김윤미 (김장미)</t>
  </si>
  <si>
    <t>KONG</t>
  </si>
  <si>
    <t>INHEE</t>
  </si>
  <si>
    <t>공인희</t>
  </si>
  <si>
    <t>M271R6259</t>
  </si>
  <si>
    <t>HA</t>
  </si>
  <si>
    <t>KWANG SOON</t>
  </si>
  <si>
    <t>하광순</t>
  </si>
  <si>
    <t>M92415670</t>
  </si>
  <si>
    <t>본사홈페이지 : 이민선</t>
  </si>
  <si>
    <t xml:space="preserve">인천출발 (결제자 : 이민선, 엄마와 이모들 여행보내드림) </t>
  </si>
  <si>
    <t>KWANSUG</t>
  </si>
  <si>
    <t>하광숙</t>
  </si>
  <si>
    <t>M69319229</t>
  </si>
  <si>
    <t>MOONSOON</t>
  </si>
  <si>
    <t>하문순</t>
  </si>
  <si>
    <t>M685S3384</t>
  </si>
  <si>
    <t>하문순 010-8440-0153 (김민선 : 01039281964)</t>
  </si>
  <si>
    <t>2025년 11월 12일 홍콩-대만 코스타세레나 크루즈 명단</t>
  </si>
  <si>
    <t>발코니
(자유)</t>
  </si>
  <si>
    <t>AHN</t>
  </si>
  <si>
    <t>BYUNG CHAN</t>
  </si>
  <si>
    <t>안병찬</t>
  </si>
  <si>
    <t>M55321554</t>
  </si>
  <si>
    <t xml:space="preserve"> 010-5282-5666</t>
  </si>
  <si>
    <t>심봉식님과 일행</t>
  </si>
  <si>
    <t>HAE KYUNG</t>
  </si>
  <si>
    <t>이해경</t>
  </si>
  <si>
    <t>M203U0872</t>
  </si>
  <si>
    <t>BONGSIK</t>
  </si>
  <si>
    <t>심봉식</t>
  </si>
  <si>
    <t>1955-12-05-</t>
  </si>
  <si>
    <t>M44881692</t>
  </si>
  <si>
    <t>010-4282-2057</t>
  </si>
  <si>
    <t>안병찬님과 일행</t>
  </si>
  <si>
    <t>YUN</t>
  </si>
  <si>
    <t>SUK YOUNG</t>
  </si>
  <si>
    <t>윤숙영</t>
  </si>
  <si>
    <t>M713V8628</t>
  </si>
  <si>
    <t>YOUNG CHUL</t>
  </si>
  <si>
    <t>김영철</t>
  </si>
  <si>
    <t>M20816192</t>
  </si>
  <si>
    <t>01067055887</t>
  </si>
  <si>
    <t>JOONHYUNG</t>
  </si>
  <si>
    <t>김준형</t>
  </si>
  <si>
    <t>M848C8693</t>
  </si>
  <si>
    <t>BUN SUN</t>
  </si>
  <si>
    <t>유분순</t>
  </si>
  <si>
    <t>M880K6296</t>
  </si>
  <si>
    <t>010-8578-3464</t>
  </si>
  <si>
    <t>HONG BUM</t>
  </si>
  <si>
    <t>권홍범</t>
  </si>
  <si>
    <t>M036K9582</t>
  </si>
  <si>
    <t>IL GI</t>
  </si>
  <si>
    <t>박일기</t>
  </si>
  <si>
    <t>M848F4181</t>
  </si>
  <si>
    <t>010-3231-2421</t>
  </si>
  <si>
    <t>CHAE(spouse of PARK)</t>
  </si>
  <si>
    <t>NAN HEE</t>
  </si>
  <si>
    <t>채난희</t>
  </si>
  <si>
    <t>M703Q4437</t>
  </si>
  <si>
    <t>MYUNG WOO</t>
  </si>
  <si>
    <t>이명우</t>
  </si>
  <si>
    <t>M10018741</t>
  </si>
  <si>
    <t>010-4621-0009</t>
  </si>
  <si>
    <t>고층 엘리베이터 근처</t>
  </si>
  <si>
    <t>HYESUG</t>
  </si>
  <si>
    <t>이혜숙</t>
  </si>
  <si>
    <t>M27560071</t>
  </si>
  <si>
    <t>MAN WOO</t>
  </si>
  <si>
    <t>이만우</t>
  </si>
  <si>
    <t>M306Q4125</t>
  </si>
  <si>
    <t>SUAN</t>
  </si>
  <si>
    <t>이수안</t>
  </si>
  <si>
    <t>M17326297</t>
  </si>
  <si>
    <t>이병남님이랑 네임 체인지</t>
  </si>
  <si>
    <t>IM</t>
  </si>
  <si>
    <t>DONG KUK</t>
  </si>
  <si>
    <t>임동국</t>
  </si>
  <si>
    <t>1952/0617</t>
  </si>
  <si>
    <t>M47912809</t>
  </si>
  <si>
    <t>KYUNG JA</t>
  </si>
  <si>
    <t>이경자</t>
  </si>
  <si>
    <t>M287V3021</t>
  </si>
  <si>
    <t>SEONG GUN</t>
  </si>
  <si>
    <t>이성근</t>
  </si>
  <si>
    <t>M263V7174</t>
  </si>
  <si>
    <t>010-3599-2344</t>
  </si>
  <si>
    <t>이명우님 일행</t>
  </si>
  <si>
    <t>YONGSUNG</t>
  </si>
  <si>
    <t>유용성</t>
  </si>
  <si>
    <t>M82906703</t>
  </si>
  <si>
    <t>DONG SUK</t>
  </si>
  <si>
    <t>김동숙</t>
  </si>
  <si>
    <t>M886C3590</t>
  </si>
  <si>
    <t>010-3571-3482</t>
  </si>
  <si>
    <t>SOOKJU</t>
  </si>
  <si>
    <t>이숙주</t>
  </si>
  <si>
    <t>M36979137</t>
  </si>
  <si>
    <t>2027-30-31</t>
  </si>
  <si>
    <t>010-3478-6125</t>
  </si>
  <si>
    <t>RHO</t>
  </si>
  <si>
    <t>BUIL</t>
  </si>
  <si>
    <t>노부일</t>
  </si>
  <si>
    <t>M418C2650</t>
  </si>
  <si>
    <t>010-3536-1211</t>
  </si>
  <si>
    <t>엘리베이터 근처</t>
  </si>
  <si>
    <t>YEONJA</t>
  </si>
  <si>
    <t>임연자</t>
  </si>
  <si>
    <t>M498J9445</t>
  </si>
  <si>
    <t>JOON SEOK</t>
  </si>
  <si>
    <t>김준석</t>
  </si>
  <si>
    <t>M361H7094</t>
  </si>
  <si>
    <t>010-9999-6664</t>
  </si>
  <si>
    <t>HYUN JU</t>
  </si>
  <si>
    <t>M769Y6667</t>
  </si>
  <si>
    <t>GEUNCHEOL</t>
  </si>
  <si>
    <t>장근철</t>
  </si>
  <si>
    <t>M912H5364</t>
  </si>
  <si>
    <t>010-6470-0873</t>
  </si>
  <si>
    <t>아동 포함 5인가족. 
커넥팅룸 요청</t>
  </si>
  <si>
    <t>HAON</t>
  </si>
  <si>
    <t>장하온</t>
  </si>
  <si>
    <t>M91140893</t>
  </si>
  <si>
    <t>ONYU</t>
  </si>
  <si>
    <t>장온유</t>
  </si>
  <si>
    <t>M05990797</t>
  </si>
  <si>
    <t>EUNYOUNG</t>
  </si>
  <si>
    <t>박은영</t>
  </si>
  <si>
    <t>M051H6816</t>
  </si>
  <si>
    <t>SION</t>
  </si>
  <si>
    <t>장시온</t>
  </si>
  <si>
    <t>M93460802</t>
  </si>
  <si>
    <t>JAEWOONG</t>
  </si>
  <si>
    <t>이재웅</t>
  </si>
  <si>
    <t>M629R5840</t>
  </si>
  <si>
    <t>010-7799-3109</t>
  </si>
  <si>
    <t>HEO</t>
  </si>
  <si>
    <t>JIMIN</t>
  </si>
  <si>
    <t>허지민</t>
  </si>
  <si>
    <t>M55960172</t>
  </si>
  <si>
    <t>MYUNG JA</t>
  </si>
  <si>
    <t>하명자</t>
  </si>
  <si>
    <t>M853U5877</t>
  </si>
  <si>
    <t>YOUNGJU</t>
  </si>
  <si>
    <t>이영주</t>
  </si>
  <si>
    <t>M59880653</t>
  </si>
  <si>
    <t>이재웅님 일행 추가 인원</t>
  </si>
  <si>
    <t>YEON SOO</t>
  </si>
  <si>
    <t>강연수</t>
  </si>
  <si>
    <t>M127H9915</t>
  </si>
  <si>
    <t xml:space="preserve">010-9207-2588 </t>
  </si>
  <si>
    <t>2025.10-10</t>
  </si>
  <si>
    <t>유지영</t>
  </si>
  <si>
    <t>중앙엘베 선미엘베 중간 위치 룸 배정 부탁드립니다.(유치원생이 있어요)</t>
  </si>
  <si>
    <t>JONGMI</t>
  </si>
  <si>
    <t>임종미</t>
  </si>
  <si>
    <t>M849C7242</t>
  </si>
  <si>
    <t>010-9207-2588</t>
  </si>
  <si>
    <t>커넥팅룸으로 배치 부탁드려요</t>
  </si>
  <si>
    <t>이한</t>
  </si>
  <si>
    <t>M94435554</t>
  </si>
  <si>
    <t>YUJIN</t>
  </si>
  <si>
    <t>김유진</t>
  </si>
  <si>
    <t>M47149464</t>
  </si>
  <si>
    <t>010-9078-2030</t>
  </si>
  <si>
    <t>2025.10.15</t>
  </si>
  <si>
    <t>CHEOLHO</t>
  </si>
  <si>
    <t>백철호</t>
  </si>
  <si>
    <t>M78769490</t>
  </si>
  <si>
    <t>010-4750-5432</t>
  </si>
  <si>
    <t>트윈베드 요청</t>
  </si>
  <si>
    <t>MI YOUNG</t>
  </si>
  <si>
    <t>정미영</t>
  </si>
  <si>
    <t>M330U5354</t>
  </si>
  <si>
    <t>WOOJIN</t>
  </si>
  <si>
    <t>정우진</t>
  </si>
  <si>
    <t>M56656981</t>
  </si>
  <si>
    <t>010-2226-3259</t>
  </si>
  <si>
    <t>YEONSUN</t>
  </si>
  <si>
    <t>김연순</t>
  </si>
  <si>
    <t>M53620341</t>
  </si>
  <si>
    <t>SOO YOUN</t>
  </si>
  <si>
    <t>이수연</t>
  </si>
  <si>
    <t>M65297810</t>
  </si>
  <si>
    <t>정우진님 일행</t>
  </si>
  <si>
    <t>JEONG GI</t>
  </si>
  <si>
    <t>이정기</t>
  </si>
  <si>
    <t>M13416256</t>
  </si>
  <si>
    <t>CHUNG SHIN</t>
  </si>
  <si>
    <t>김충신</t>
  </si>
  <si>
    <t>M634Y7586</t>
  </si>
  <si>
    <t>010-5213-5908</t>
  </si>
  <si>
    <t>JEONG HEE</t>
  </si>
  <si>
    <t>김정희</t>
  </si>
  <si>
    <t>M540M0016</t>
  </si>
  <si>
    <t>JONGMAN</t>
  </si>
  <si>
    <t>이종만</t>
  </si>
  <si>
    <t>M571Z8454</t>
  </si>
  <si>
    <t>010-3932-2544</t>
  </si>
  <si>
    <t>HEEJA</t>
  </si>
  <si>
    <t>조희자</t>
  </si>
  <si>
    <t>M755B8482</t>
  </si>
  <si>
    <t>GYE IL</t>
  </si>
  <si>
    <t>이계일</t>
  </si>
  <si>
    <t>M344N5516</t>
  </si>
  <si>
    <t>010-3649-5544</t>
  </si>
  <si>
    <t>박미영</t>
  </si>
  <si>
    <t>M711C4125</t>
  </si>
  <si>
    <t>JAEYOUNG</t>
  </si>
  <si>
    <t>민재영</t>
  </si>
  <si>
    <t>M916G0522</t>
  </si>
  <si>
    <t>010-3809-5522</t>
  </si>
  <si>
    <t>JINSOOK</t>
  </si>
  <si>
    <t>김진숙</t>
  </si>
  <si>
    <t>M180G4727</t>
  </si>
  <si>
    <t>MINCHANG</t>
  </si>
  <si>
    <t>정민창</t>
  </si>
  <si>
    <t>M256R4613</t>
  </si>
  <si>
    <t>010-2806-2884</t>
  </si>
  <si>
    <t>DOO YOUNG</t>
  </si>
  <si>
    <t>정두영</t>
  </si>
  <si>
    <t>M692C8722</t>
  </si>
  <si>
    <t>010-2262-7467</t>
  </si>
  <si>
    <t>정은주</t>
  </si>
  <si>
    <t>M13592151</t>
  </si>
  <si>
    <t>010-3512-0800</t>
  </si>
  <si>
    <t>SEEUN</t>
  </si>
  <si>
    <t>김세은</t>
  </si>
  <si>
    <t>M53229998</t>
  </si>
  <si>
    <t>KUNWOO</t>
  </si>
  <si>
    <t>김건우</t>
  </si>
  <si>
    <t>M858L5052</t>
  </si>
  <si>
    <t>HYUN</t>
  </si>
  <si>
    <t>신현</t>
  </si>
  <si>
    <t>M770M8438</t>
  </si>
  <si>
    <t>010-3553-3555</t>
  </si>
  <si>
    <t>DANBI</t>
  </si>
  <si>
    <t>이단비</t>
  </si>
  <si>
    <t>M11344358</t>
  </si>
  <si>
    <t>SUK</t>
  </si>
  <si>
    <t>최석</t>
  </si>
  <si>
    <t>M16161195</t>
  </si>
  <si>
    <t>010-2507-4645</t>
  </si>
  <si>
    <t>JUYEON</t>
  </si>
  <si>
    <t>이주연</t>
  </si>
  <si>
    <t>M252H7996</t>
  </si>
  <si>
    <t>MIHYEON</t>
  </si>
  <si>
    <t>임미현</t>
  </si>
  <si>
    <t>M82062387</t>
  </si>
  <si>
    <t>010-2813-7741</t>
  </si>
  <si>
    <t>JONGGIL</t>
  </si>
  <si>
    <t>전종길</t>
  </si>
  <si>
    <t>M830G9322</t>
  </si>
  <si>
    <t>HYO BOG</t>
  </si>
  <si>
    <t>이효복</t>
  </si>
  <si>
    <t>M09124798</t>
  </si>
  <si>
    <t>010-8175-0519</t>
  </si>
  <si>
    <t>YEUN JI</t>
  </si>
  <si>
    <t>김연지</t>
  </si>
  <si>
    <t>M05835500</t>
  </si>
  <si>
    <t>KU</t>
  </si>
  <si>
    <t>BYUNGHO</t>
  </si>
  <si>
    <t>구병호</t>
  </si>
  <si>
    <t>M13904979</t>
  </si>
  <si>
    <t>010-5006-7205</t>
  </si>
  <si>
    <t>GO</t>
  </si>
  <si>
    <t>MIKYUNG</t>
  </si>
  <si>
    <t>고미경</t>
  </si>
  <si>
    <t>M41127793</t>
  </si>
  <si>
    <t>HYEJIN</t>
  </si>
  <si>
    <t>이혜진</t>
  </si>
  <si>
    <t>M19061517</t>
  </si>
  <si>
    <t>010-8788-0079</t>
  </si>
  <si>
    <t>2025.10.31</t>
  </si>
  <si>
    <t>KIN</t>
  </si>
  <si>
    <t>SEONJA</t>
  </si>
  <si>
    <t>김선자</t>
  </si>
  <si>
    <t>M09293569</t>
  </si>
  <si>
    <t>TAEYANG</t>
  </si>
  <si>
    <t>양태양</t>
  </si>
  <si>
    <t>M738M3112</t>
  </si>
  <si>
    <t>MOOGI</t>
  </si>
  <si>
    <t>김무기</t>
  </si>
  <si>
    <t>M935U8792</t>
  </si>
  <si>
    <t>12/3 5박7일 동남아 로얄</t>
  </si>
  <si>
    <t>이도희 (김장미)</t>
  </si>
  <si>
    <t xml:space="preserve">모두 일행입니다. </t>
  </si>
  <si>
    <t>수당완료</t>
  </si>
  <si>
    <t>HWAKI</t>
  </si>
  <si>
    <t>김화기</t>
  </si>
  <si>
    <t>M392W3972</t>
  </si>
  <si>
    <t xml:space="preserve"> 010-6588-0171</t>
  </si>
  <si>
    <t>JEONGJA</t>
  </si>
  <si>
    <t>김정자</t>
  </si>
  <si>
    <t>M69773517</t>
  </si>
  <si>
    <t>YOUNGHEUI</t>
  </si>
  <si>
    <t>김영희</t>
  </si>
  <si>
    <t>M84660320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</si>
</sst>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-&quot;mm&quot;-&quot;dd"/>
    <numFmt numFmtId="165" formatCode="yyyy/mm/dd"/>
    <numFmt numFmtId="166" formatCode="yyyy-mm-dd"/>
    <numFmt numFmtId="167" formatCode="yyyy/m/d"/>
    <numFmt numFmtId="168" formatCode="m/d"/>
    <numFmt numFmtId="169" formatCode="yyyy&quot;/&quot;mm&quot;/&quot;dd"/>
    <numFmt numFmtId="170" formatCode="yyyy-m-d"/>
  </numFmts>
  <fonts count="32">
    <font>
      <sz val="10.0"/>
      <color rgb="FF000000"/>
      <name val="Arial"/>
      <scheme val="minor"/>
    </font>
    <font>
      <b/>
      <sz val="20.0"/>
      <color rgb="FF000000"/>
      <name val="맑은 고딕"/>
    </font>
    <font>
      <color theme="1"/>
      <name val="Arial"/>
      <scheme val="minor"/>
    </font>
    <font>
      <b/>
      <color rgb="FFFF0000"/>
      <name val="맑은 고딕"/>
    </font>
    <font>
      <color theme="1"/>
      <name val="Arial"/>
    </font>
    <font>
      <b/>
      <sz val="18.0"/>
      <color theme="1"/>
      <name val="Arial"/>
      <scheme val="minor"/>
    </font>
    <font>
      <sz val="20.0"/>
      <color theme="1"/>
      <name val="Arial"/>
      <scheme val="minor"/>
    </font>
    <font>
      <b/>
      <sz val="11.0"/>
      <color rgb="FF000000"/>
      <name val="맑은 고딕"/>
    </font>
    <font>
      <b/>
      <sz val="11.0"/>
      <color theme="1"/>
      <name val="Arial"/>
    </font>
    <font/>
    <font>
      <color rgb="FF000000"/>
      <name val="맑은 고딕"/>
    </font>
    <font>
      <sz val="9.0"/>
      <color rgb="FF000000"/>
      <name val="맑은 고딕"/>
    </font>
    <font>
      <u/>
      <color rgb="FF0000FF"/>
    </font>
    <font>
      <sz val="9.0"/>
      <color theme="1"/>
      <name val="맑은 고딕"/>
    </font>
    <font>
      <color rgb="FF000000"/>
      <name val="Arial"/>
      <scheme val="minor"/>
    </font>
    <font>
      <u/>
      <color rgb="FF0000FF"/>
    </font>
    <font>
      <color rgb="FFFF0000"/>
      <name val="Arial"/>
      <scheme val="minor"/>
    </font>
    <font>
      <b/>
      <color rgb="FF0000FF"/>
      <name val="맑은 고딕"/>
    </font>
    <font>
      <b/>
      <sz val="13.0"/>
      <color rgb="FF0000FF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>
      <b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Arial"/>
    </font>
    <font>
      <b/>
      <sz val="14.0"/>
      <color theme="1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AE3F3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BE5D7"/>
        <bgColor rgb="FFFBE5D7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3" fontId="4" numFmtId="164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4" numFmtId="3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6" fillId="4" fontId="5" numFmtId="0" xfId="0" applyAlignment="1" applyBorder="1" applyFill="1" applyFont="1">
      <alignment horizontal="center" readingOrder="0" shrinkToFit="0" vertical="center" wrapText="0"/>
    </xf>
    <xf borderId="7" fillId="5" fontId="5" numFmtId="0" xfId="0" applyAlignment="1" applyBorder="1" applyFill="1" applyFont="1">
      <alignment horizontal="center" readingOrder="0" shrinkToFit="0" vertical="center" wrapText="0"/>
    </xf>
    <xf borderId="8" fillId="6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7" numFmtId="164" xfId="0" applyAlignment="1" applyBorder="1" applyFont="1" applyNumberFormat="1">
      <alignment horizontal="center" readingOrder="0" vertical="center"/>
    </xf>
    <xf borderId="2" fillId="7" fontId="7" numFmtId="0" xfId="0" applyAlignment="1" applyBorder="1" applyFill="1" applyFont="1">
      <alignment horizontal="center" readingOrder="0" vertical="center"/>
    </xf>
    <xf borderId="9" fillId="7" fontId="8" numFmtId="164" xfId="0" applyAlignment="1" applyBorder="1" applyFont="1" applyNumberFormat="1">
      <alignment horizontal="center" readingOrder="0" vertical="center"/>
    </xf>
    <xf borderId="1" fillId="7" fontId="8" numFmtId="0" xfId="0" applyAlignment="1" applyBorder="1" applyFont="1">
      <alignment horizontal="center" vertical="center"/>
    </xf>
    <xf borderId="1" fillId="7" fontId="8" numFmtId="3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center" readingOrder="0" vertical="center"/>
    </xf>
    <xf borderId="10" fillId="0" fontId="9" numFmtId="0" xfId="0" applyBorder="1" applyFont="1"/>
    <xf borderId="11" fillId="0" fontId="9" numFmtId="0" xfId="0" applyBorder="1" applyFont="1"/>
    <xf borderId="8" fillId="0" fontId="9" numFmtId="0" xfId="0" applyBorder="1" applyFont="1"/>
    <xf borderId="1" fillId="4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0" numFmtId="164" xfId="0" applyAlignment="1" applyBorder="1" applyFont="1" applyNumberFormat="1">
      <alignment horizontal="center" readingOrder="0" vertical="center"/>
    </xf>
    <xf borderId="9" fillId="4" fontId="4" numFmtId="164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4" numFmtId="3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12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0" fillId="0" fontId="2" numFmtId="0" xfId="0" applyAlignment="1" applyFont="1">
      <alignment horizontal="center" readingOrder="0" vertical="center"/>
    </xf>
    <xf borderId="1" fillId="8" fontId="10" numFmtId="0" xfId="0" applyAlignment="1" applyBorder="1" applyFill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6" fillId="0" fontId="4" numFmtId="164" xfId="0" applyAlignment="1" applyBorder="1" applyFont="1" applyNumberForma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left" readingOrder="0" shrinkToFit="0" vertical="center" wrapText="0"/>
    </xf>
    <xf borderId="17" fillId="0" fontId="2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18" fillId="0" fontId="9" numFmtId="0" xfId="0" applyBorder="1" applyFont="1"/>
    <xf borderId="2" fillId="0" fontId="2" numFmtId="0" xfId="0" applyAlignment="1" applyBorder="1" applyFont="1">
      <alignment horizontal="center" vertical="center"/>
    </xf>
    <xf borderId="19" fillId="0" fontId="9" numFmtId="0" xfId="0" applyBorder="1" applyFont="1"/>
    <xf borderId="20" fillId="0" fontId="2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9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5" fillId="10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0" fontId="2" numFmtId="166" xfId="0" applyAlignment="1" applyBorder="1" applyFont="1" applyNumberFormat="1">
      <alignment horizontal="center" vertical="center"/>
    </xf>
    <xf borderId="16" fillId="0" fontId="4" numFmtId="164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left" readingOrder="0" shrinkToFit="0" vertical="center" wrapText="0"/>
    </xf>
    <xf borderId="22" fillId="0" fontId="9" numFmtId="0" xfId="0" applyBorder="1" applyFont="1"/>
    <xf borderId="1" fillId="9" fontId="2" numFmtId="0" xfId="0" applyAlignment="1" applyBorder="1" applyFont="1">
      <alignment horizontal="center" vertical="center"/>
    </xf>
    <xf borderId="1" fillId="0" fontId="4" numFmtId="167" xfId="0" applyAlignment="1" applyBorder="1" applyFont="1" applyNumberFormat="1">
      <alignment horizontal="center" shrinkToFit="0" wrapText="1"/>
    </xf>
    <xf borderId="1" fillId="9" fontId="2" numFmtId="166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shrinkToFit="0" vertical="center" wrapText="0"/>
    </xf>
    <xf borderId="0" fillId="0" fontId="15" numFmtId="0" xfId="0" applyAlignment="1" applyFont="1">
      <alignment horizontal="left" readingOrder="0" vertical="center"/>
    </xf>
    <xf borderId="1" fillId="0" fontId="14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center" readingOrder="0" vertical="center"/>
    </xf>
    <xf borderId="15" fillId="0" fontId="4" numFmtId="3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5" fillId="11" fontId="2" numFmtId="0" xfId="0" applyAlignment="1" applyBorder="1" applyFill="1" applyFont="1">
      <alignment horizontal="center" readingOrder="0" shrinkToFit="0" vertical="center" wrapText="1"/>
    </xf>
    <xf borderId="21" fillId="4" fontId="2" numFmtId="0" xfId="0" applyAlignment="1" applyBorder="1" applyFont="1">
      <alignment horizontal="left" readingOrder="0" shrinkToFit="0" vertical="center" wrapText="0"/>
    </xf>
    <xf borderId="20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/>
    </xf>
    <xf borderId="15" fillId="0" fontId="4" numFmtId="0" xfId="0" applyAlignment="1" applyBorder="1" applyFont="1">
      <alignment horizontal="center" readingOrder="0" shrinkToFit="0" vertical="center" wrapText="1"/>
    </xf>
    <xf borderId="1" fillId="12" fontId="10" numFmtId="0" xfId="0" applyAlignment="1" applyBorder="1" applyFill="1" applyFon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5" fillId="12" fontId="16" numFmtId="0" xfId="0" applyAlignment="1" applyBorder="1" applyFont="1">
      <alignment horizontal="center" readingOrder="0" shrinkToFit="0" vertical="center" wrapText="1"/>
    </xf>
    <xf borderId="15" fillId="12" fontId="2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center" vertical="center"/>
    </xf>
    <xf borderId="1" fillId="12" fontId="11" numFmtId="0" xfId="0" applyAlignment="1" applyBorder="1" applyFont="1">
      <alignment horizontal="center" readingOrder="0" vertical="center"/>
    </xf>
    <xf borderId="1" fillId="12" fontId="2" numFmtId="164" xfId="0" applyAlignment="1" applyBorder="1" applyFont="1" applyNumberFormat="1">
      <alignment horizontal="center" vertical="center"/>
    </xf>
    <xf borderId="2" fillId="12" fontId="2" numFmtId="0" xfId="0" applyAlignment="1" applyBorder="1" applyFont="1">
      <alignment horizontal="center" vertical="center"/>
    </xf>
    <xf borderId="16" fillId="12" fontId="4" numFmtId="164" xfId="0" applyAlignment="1" applyBorder="1" applyFont="1" applyNumberFormat="1">
      <alignment horizontal="center" readingOrder="0" vertical="center"/>
    </xf>
    <xf borderId="1" fillId="12" fontId="4" numFmtId="0" xfId="0" applyAlignment="1" applyBorder="1" applyFont="1">
      <alignment horizontal="center" readingOrder="0" vertical="center"/>
    </xf>
    <xf borderId="1" fillId="12" fontId="4" numFmtId="3" xfId="0" applyAlignment="1" applyBorder="1" applyFont="1" applyNumberFormat="1">
      <alignment horizontal="center" readingOrder="0" vertical="center"/>
    </xf>
    <xf borderId="21" fillId="12" fontId="2" numFmtId="0" xfId="0" applyAlignment="1" applyBorder="1" applyFont="1">
      <alignment horizontal="left" readingOrder="0" shrinkToFit="0" vertical="center" wrapText="0"/>
    </xf>
    <xf borderId="20" fillId="12" fontId="2" numFmtId="0" xfId="0" applyAlignment="1" applyBorder="1" applyFont="1">
      <alignment horizontal="left" readingOrder="0" vertical="center"/>
    </xf>
    <xf borderId="0" fillId="12" fontId="2" numFmtId="0" xfId="0" applyAlignment="1" applyFont="1">
      <alignment horizontal="left" vertical="center"/>
    </xf>
    <xf borderId="0" fillId="12" fontId="2" numFmtId="0" xfId="0" applyAlignment="1" applyFont="1">
      <alignment horizontal="center" vertical="center"/>
    </xf>
    <xf borderId="20" fillId="12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/>
    </xf>
    <xf borderId="1" fillId="9" fontId="2" numFmtId="0" xfId="0" applyAlignment="1" applyBorder="1" applyFont="1">
      <alignment horizontal="center" readingOrder="0" shrinkToFit="0" vertical="center" wrapText="1"/>
    </xf>
    <xf borderId="15" fillId="12" fontId="2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ont="1">
      <alignment horizontal="center" readingOrder="0"/>
    </xf>
    <xf borderId="1" fillId="12" fontId="2" numFmtId="166" xfId="0" applyAlignment="1" applyBorder="1" applyFont="1" applyNumberFormat="1">
      <alignment horizontal="center" readingOrder="0"/>
    </xf>
    <xf borderId="15" fillId="12" fontId="4" numFmtId="0" xfId="0" applyAlignment="1" applyBorder="1" applyFont="1">
      <alignment horizontal="center" readingOrder="0" vertical="center"/>
    </xf>
    <xf borderId="23" fillId="12" fontId="2" numFmtId="0" xfId="0" applyAlignment="1" applyBorder="1" applyFont="1">
      <alignment horizontal="center" vertical="center"/>
    </xf>
    <xf borderId="24" fillId="12" fontId="2" numFmtId="0" xfId="0" applyAlignment="1" applyBorder="1" applyFont="1">
      <alignment horizontal="left" readingOrder="0" vertical="center"/>
    </xf>
    <xf borderId="1" fillId="12" fontId="2" numFmtId="164" xfId="0" applyAlignment="1" applyBorder="1" applyFont="1" applyNumberFormat="1">
      <alignment horizontal="center" readingOrder="0" vertical="center"/>
    </xf>
    <xf borderId="17" fillId="0" fontId="9" numFmtId="0" xfId="0" applyBorder="1" applyFont="1"/>
    <xf borderId="15" fillId="13" fontId="2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15" fillId="0" fontId="4" numFmtId="0" xfId="0" applyAlignment="1" applyBorder="1" applyFont="1">
      <alignment horizontal="center" vertical="center"/>
    </xf>
    <xf borderId="15" fillId="0" fontId="4" numFmtId="3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/>
    </xf>
    <xf borderId="1" fillId="9" fontId="2" numFmtId="164" xfId="0" applyAlignment="1" applyBorder="1" applyFont="1" applyNumberFormat="1">
      <alignment horizontal="center" vertical="center"/>
    </xf>
    <xf borderId="25" fillId="0" fontId="4" numFmtId="164" xfId="0" applyAlignment="1" applyBorder="1" applyFont="1" applyNumberFormat="1">
      <alignment horizontal="center" vertical="center"/>
    </xf>
    <xf borderId="26" fillId="0" fontId="4" numFmtId="0" xfId="0" applyAlignment="1" applyBorder="1" applyFont="1">
      <alignment horizontal="center" vertical="center"/>
    </xf>
    <xf borderId="26" fillId="0" fontId="4" numFmtId="3" xfId="0" applyAlignment="1" applyBorder="1" applyFont="1" applyNumberFormat="1">
      <alignment horizontal="center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left" shrinkToFit="0" vertical="center" wrapText="0"/>
    </xf>
    <xf borderId="29" fillId="0" fontId="2" numFmtId="0" xfId="0" applyAlignment="1" applyBorder="1" applyFont="1">
      <alignment horizontal="left" vertical="center"/>
    </xf>
    <xf borderId="0" fillId="2" fontId="17" numFmtId="0" xfId="0" applyAlignment="1" applyFont="1">
      <alignment horizontal="center" readingOrder="0" vertical="center"/>
    </xf>
    <xf borderId="0" fillId="2" fontId="17" numFmtId="164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1" fillId="13" fontId="19" numFmtId="0" xfId="0" applyAlignment="1" applyBorder="1" applyFont="1">
      <alignment horizontal="center" readingOrder="0" vertical="center"/>
    </xf>
    <xf borderId="2" fillId="13" fontId="19" numFmtId="0" xfId="0" applyAlignment="1" applyBorder="1" applyFont="1">
      <alignment horizontal="center" readingOrder="0" vertical="center"/>
    </xf>
    <xf borderId="30" fillId="0" fontId="9" numFmtId="0" xfId="0" applyBorder="1" applyFont="1"/>
    <xf borderId="15" fillId="0" fontId="20" numFmtId="168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left" readingOrder="0" vertical="center"/>
    </xf>
    <xf borderId="2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14" fontId="22" numFmtId="0" xfId="0" applyAlignment="1" applyBorder="1" applyFill="1" applyFont="1">
      <alignment horizontal="center" readingOrder="0" vertical="center"/>
    </xf>
    <xf borderId="15" fillId="0" fontId="2" numFmtId="168" xfId="0" applyAlignment="1" applyBorder="1" applyFont="1" applyNumberFormat="1">
      <alignment horizontal="center" readingOrder="0" vertical="center"/>
    </xf>
    <xf borderId="31" fillId="3" fontId="3" numFmtId="0" xfId="0" applyAlignment="1" applyBorder="1" applyFont="1">
      <alignment horizontal="center" readingOrder="0" vertical="center"/>
    </xf>
    <xf borderId="32" fillId="5" fontId="5" numFmtId="0" xfId="0" applyAlignment="1" applyBorder="1" applyFont="1">
      <alignment horizontal="center" readingOrder="0" shrinkToFit="0" vertical="center" wrapText="0"/>
    </xf>
    <xf borderId="33" fillId="15" fontId="5" numFmtId="0" xfId="0" applyAlignment="1" applyBorder="1" applyFill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vertical="center"/>
    </xf>
    <xf borderId="20" fillId="7" fontId="7" numFmtId="0" xfId="0" applyAlignment="1" applyBorder="1" applyFont="1">
      <alignment horizontal="center" readingOrder="0" vertical="center"/>
    </xf>
    <xf borderId="34" fillId="0" fontId="9" numFmtId="0" xfId="0" applyBorder="1" applyFont="1"/>
    <xf borderId="35" fillId="0" fontId="9" numFmtId="0" xfId="0" applyBorder="1" applyFont="1"/>
    <xf borderId="2" fillId="4" fontId="2" numFmtId="0" xfId="0" applyAlignment="1" applyBorder="1" applyFont="1">
      <alignment horizontal="center" vertical="center"/>
    </xf>
    <xf borderId="20" fillId="4" fontId="2" numFmtId="0" xfId="0" applyAlignment="1" applyBorder="1" applyFont="1">
      <alignment horizontal="center" readingOrder="0" vertical="center"/>
    </xf>
    <xf borderId="36" fillId="0" fontId="9" numFmtId="0" xfId="0" applyBorder="1" applyFont="1"/>
    <xf borderId="37" fillId="0" fontId="9" numFmtId="0" xfId="0" applyBorder="1" applyFont="1"/>
    <xf borderId="15" fillId="12" fontId="14" numFmtId="0" xfId="0" applyAlignment="1" applyBorder="1" applyFont="1">
      <alignment horizontal="center" readingOrder="0" vertical="center"/>
    </xf>
    <xf borderId="1" fillId="12" fontId="14" numFmtId="0" xfId="0" applyAlignment="1" applyBorder="1" applyFont="1">
      <alignment horizontal="center" readingOrder="0" vertical="center"/>
    </xf>
    <xf borderId="15" fillId="12" fontId="14" numFmtId="0" xfId="0" applyAlignment="1" applyBorder="1" applyFont="1">
      <alignment horizontal="center" readingOrder="0" shrinkToFit="0" vertical="center" wrapText="1"/>
    </xf>
    <xf borderId="1" fillId="12" fontId="14" numFmtId="0" xfId="0" applyAlignment="1" applyBorder="1" applyFont="1">
      <alignment horizontal="center" vertical="center"/>
    </xf>
    <xf borderId="38" fillId="12" fontId="23" numFmtId="166" xfId="0" applyAlignment="1" applyBorder="1" applyFont="1" applyNumberFormat="1">
      <alignment horizontal="center" readingOrder="0" shrinkToFit="0" wrapText="1"/>
    </xf>
    <xf borderId="1" fillId="12" fontId="14" numFmtId="164" xfId="0" applyAlignment="1" applyBorder="1" applyFont="1" applyNumberFormat="1">
      <alignment horizontal="center" readingOrder="0" vertical="center"/>
    </xf>
    <xf borderId="9" fillId="12" fontId="23" numFmtId="164" xfId="0" applyAlignment="1" applyBorder="1" applyFont="1" applyNumberFormat="1">
      <alignment horizontal="center" readingOrder="0" vertical="center"/>
    </xf>
    <xf borderId="15" fillId="12" fontId="23" numFmtId="0" xfId="0" applyAlignment="1" applyBorder="1" applyFont="1">
      <alignment horizontal="center" readingOrder="0" vertical="center"/>
    </xf>
    <xf borderId="1" fillId="12" fontId="23" numFmtId="3" xfId="0" applyAlignment="1" applyBorder="1" applyFont="1" applyNumberFormat="1">
      <alignment horizontal="center" readingOrder="0" vertical="center"/>
    </xf>
    <xf borderId="2" fillId="12" fontId="14" numFmtId="0" xfId="0" applyAlignment="1" applyBorder="1" applyFont="1">
      <alignment horizontal="center" readingOrder="0" vertical="center"/>
    </xf>
    <xf borderId="9" fillId="12" fontId="14" numFmtId="0" xfId="0" applyAlignment="1" applyBorder="1" applyFont="1">
      <alignment horizontal="center" readingOrder="0" vertical="center"/>
    </xf>
    <xf borderId="2" fillId="12" fontId="14" numFmtId="0" xfId="0" applyAlignment="1" applyBorder="1" applyFont="1">
      <alignment horizontal="left" readingOrder="0" vertical="center"/>
    </xf>
    <xf borderId="39" fillId="0" fontId="2" numFmtId="0" xfId="0" applyAlignment="1" applyBorder="1" applyFont="1">
      <alignment horizontal="left" vertical="center"/>
    </xf>
    <xf borderId="0" fillId="12" fontId="16" numFmtId="0" xfId="0" applyAlignment="1" applyFont="1">
      <alignment horizontal="left" vertical="center"/>
    </xf>
    <xf borderId="0" fillId="12" fontId="16" numFmtId="0" xfId="0" applyAlignment="1" applyFont="1">
      <alignment horizontal="center" vertical="center"/>
    </xf>
    <xf borderId="2" fillId="12" fontId="14" numFmtId="0" xfId="0" applyAlignment="1" applyBorder="1" applyFont="1">
      <alignment horizontal="left" vertical="center"/>
    </xf>
    <xf borderId="40" fillId="0" fontId="2" numFmtId="0" xfId="0" applyAlignment="1" applyBorder="1" applyFont="1">
      <alignment horizontal="left" vertical="center"/>
    </xf>
    <xf borderId="1" fillId="12" fontId="14" numFmtId="164" xfId="0" applyAlignment="1" applyBorder="1" applyFont="1" applyNumberFormat="1">
      <alignment horizontal="center" vertical="center"/>
    </xf>
    <xf borderId="2" fillId="12" fontId="14" numFmtId="0" xfId="0" applyAlignment="1" applyBorder="1" applyFont="1">
      <alignment horizontal="center" vertical="center"/>
    </xf>
    <xf borderId="38" fillId="0" fontId="4" numFmtId="166" xfId="0" applyAlignment="1" applyBorder="1" applyFont="1" applyNumberFormat="1">
      <alignment horizontal="center" readingOrder="0" shrinkToFit="0" wrapText="1"/>
    </xf>
    <xf borderId="20" fillId="0" fontId="2" numFmtId="0" xfId="0" applyAlignment="1" applyBorder="1" applyFont="1">
      <alignment horizontal="center" vertical="center"/>
    </xf>
    <xf borderId="30" fillId="0" fontId="2" numFmtId="16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vertical="center"/>
    </xf>
    <xf borderId="30" fillId="0" fontId="2" numFmtId="164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readingOrder="0" vertical="center"/>
    </xf>
    <xf borderId="15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vertical="center"/>
    </xf>
    <xf borderId="15" fillId="9" fontId="2" numFmtId="0" xfId="0" applyAlignment="1" applyBorder="1" applyFont="1">
      <alignment horizontal="center" readingOrder="0" shrinkToFit="0" vertical="center" wrapText="1"/>
    </xf>
    <xf borderId="40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center" vertical="center"/>
    </xf>
    <xf borderId="38" fillId="12" fontId="4" numFmtId="166" xfId="0" applyAlignment="1" applyBorder="1" applyFont="1" applyNumberFormat="1">
      <alignment horizontal="center" readingOrder="0" shrinkToFit="0" wrapText="1"/>
    </xf>
    <xf borderId="1" fillId="12" fontId="4" numFmtId="3" xfId="0" applyAlignment="1" applyBorder="1" applyFont="1" applyNumberFormat="1">
      <alignment horizontal="center" vertical="center"/>
    </xf>
    <xf borderId="9" fillId="12" fontId="2" numFmtId="0" xfId="0" applyAlignment="1" applyBorder="1" applyFont="1">
      <alignment horizontal="center" vertical="center"/>
    </xf>
    <xf borderId="2" fillId="12" fontId="2" numFmtId="0" xfId="0" applyAlignment="1" applyBorder="1" applyFont="1">
      <alignment horizontal="left" vertical="center"/>
    </xf>
    <xf borderId="40" fillId="12" fontId="2" numFmtId="0" xfId="0" applyAlignment="1" applyBorder="1" applyFont="1">
      <alignment horizontal="left" vertical="center"/>
    </xf>
    <xf borderId="40" fillId="0" fontId="2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1"/>
    </xf>
    <xf borderId="41" fillId="0" fontId="2" numFmtId="0" xfId="0" applyAlignment="1" applyBorder="1" applyFont="1">
      <alignment horizontal="center" readingOrder="0" vertical="center"/>
    </xf>
    <xf borderId="16" fillId="0" fontId="4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readingOrder="0" vertical="center"/>
    </xf>
    <xf borderId="8" fillId="12" fontId="2" numFmtId="0" xfId="0" applyAlignment="1" applyBorder="1" applyFont="1">
      <alignment horizontal="center" readingOrder="0" vertical="center"/>
    </xf>
    <xf borderId="8" fillId="12" fontId="2" numFmtId="0" xfId="0" applyAlignment="1" applyBorder="1" applyFont="1">
      <alignment horizontal="center" readingOrder="0" shrinkToFit="0" vertical="center" wrapText="1"/>
    </xf>
    <xf borderId="9" fillId="12" fontId="4" numFmtId="164" xfId="0" applyAlignment="1" applyBorder="1" applyFont="1" applyNumberFormat="1">
      <alignment horizontal="center" readingOrder="0" vertical="center"/>
    </xf>
    <xf borderId="9" fillId="12" fontId="2" numFmtId="0" xfId="0" applyAlignment="1" applyBorder="1" applyFont="1">
      <alignment horizontal="center" readingOrder="0" vertical="center"/>
    </xf>
    <xf borderId="9" fillId="12" fontId="4" numFmtId="164" xfId="0" applyAlignment="1" applyBorder="1" applyFont="1" applyNumberFormat="1">
      <alignment horizontal="center" vertical="center"/>
    </xf>
    <xf borderId="2" fillId="12" fontId="2" numFmtId="0" xfId="0" applyAlignment="1" applyBorder="1" applyFont="1">
      <alignment horizontal="left" readingOrder="0" vertical="center"/>
    </xf>
    <xf borderId="9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wrapText="1"/>
    </xf>
    <xf borderId="30" fillId="0" fontId="4" numFmtId="0" xfId="0" applyAlignment="1" applyBorder="1" applyFont="1">
      <alignment horizontal="center" readingOrder="0" shrinkToFit="0" wrapText="1"/>
    </xf>
    <xf borderId="30" fillId="0" fontId="4" numFmtId="166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 shrinkToFit="0" wrapText="1"/>
    </xf>
    <xf borderId="38" fillId="0" fontId="4" numFmtId="0" xfId="0" applyAlignment="1" applyBorder="1" applyFont="1">
      <alignment horizontal="center" readingOrder="0" shrinkToFit="0" wrapText="1"/>
    </xf>
    <xf borderId="38" fillId="0" fontId="4" numFmtId="165" xfId="0" applyAlignment="1" applyBorder="1" applyFont="1" applyNumberFormat="1">
      <alignment horizontal="center" shrinkToFit="0" wrapText="1"/>
    </xf>
    <xf borderId="16" fillId="0" fontId="4" numFmtId="166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center" vertical="center"/>
    </xf>
    <xf borderId="38" fillId="0" fontId="4" numFmtId="167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4" fillId="0" fontId="23" numFmtId="166" xfId="0" applyAlignment="1" applyBorder="1" applyFont="1" applyNumberFormat="1">
      <alignment horizontal="center" readingOrder="0" vertical="bottom"/>
    </xf>
    <xf borderId="25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left" vertical="center"/>
    </xf>
    <xf borderId="42" fillId="0" fontId="2" numFmtId="0" xfId="0" applyAlignment="1" applyBorder="1" applyFont="1">
      <alignment horizontal="left" vertical="center"/>
    </xf>
    <xf borderId="1" fillId="13" fontId="24" numFmtId="0" xfId="0" applyAlignment="1" applyBorder="1" applyFont="1">
      <alignment horizontal="center" readingOrder="0" vertical="center"/>
    </xf>
    <xf borderId="2" fillId="13" fontId="24" numFmtId="0" xfId="0" applyAlignment="1" applyBorder="1" applyFont="1">
      <alignment horizontal="center" readingOrder="0" vertical="center"/>
    </xf>
    <xf borderId="15" fillId="0" fontId="21" numFmtId="168" xfId="0" applyAlignment="1" applyBorder="1" applyFont="1" applyNumberFormat="1">
      <alignment horizontal="center" readingOrder="0" vertical="center"/>
    </xf>
    <xf borderId="0" fillId="0" fontId="2" numFmtId="164" xfId="0" applyFont="1" applyNumberFormat="1"/>
    <xf borderId="0" fillId="0" fontId="2" numFmtId="3" xfId="0" applyFont="1" applyNumberFormat="1"/>
    <xf borderId="15" fillId="0" fontId="23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164" xfId="0" applyAlignment="1" applyBorder="1" applyFont="1" applyNumberFormat="1">
      <alignment horizontal="center" readingOrder="0" vertical="center"/>
    </xf>
    <xf borderId="1" fillId="0" fontId="14" numFmtId="164" xfId="0" applyAlignment="1" applyBorder="1" applyFont="1" applyNumberFormat="1">
      <alignment horizontal="center" vertical="center"/>
    </xf>
    <xf borderId="2" fillId="0" fontId="23" numFmtId="0" xfId="0" applyBorder="1" applyFont="1"/>
    <xf borderId="9" fillId="0" fontId="23" numFmtId="164" xfId="0" applyAlignment="1" applyBorder="1" applyFont="1" applyNumberFormat="1">
      <alignment horizontal="center"/>
    </xf>
    <xf borderId="1" fillId="0" fontId="23" numFmtId="0" xfId="0" applyAlignment="1" applyBorder="1" applyFont="1">
      <alignment horizontal="center"/>
    </xf>
    <xf borderId="1" fillId="0" fontId="23" numFmtId="3" xfId="0" applyAlignment="1" applyBorder="1" applyFont="1" applyNumberFormat="1">
      <alignment horizontal="center"/>
    </xf>
    <xf borderId="3" fillId="0" fontId="25" numFmtId="3" xfId="0" applyAlignment="1" applyBorder="1" applyFont="1" applyNumberFormat="1">
      <alignment horizontal="center"/>
    </xf>
    <xf borderId="31" fillId="0" fontId="2" numFmtId="0" xfId="0" applyAlignment="1" applyBorder="1" applyFont="1">
      <alignment horizontal="left"/>
    </xf>
    <xf borderId="0" fillId="0" fontId="2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9" fillId="0" fontId="23" numFmtId="164" xfId="0" applyBorder="1" applyFont="1" applyNumberFormat="1"/>
    <xf borderId="1" fillId="0" fontId="23" numFmtId="0" xfId="0" applyBorder="1" applyFont="1"/>
    <xf borderId="1" fillId="0" fontId="23" numFmtId="3" xfId="0" applyBorder="1" applyFont="1" applyNumberFormat="1"/>
    <xf borderId="9" fillId="0" fontId="23" numFmtId="0" xfId="0" applyBorder="1" applyFont="1"/>
    <xf borderId="20" fillId="0" fontId="2" numFmtId="0" xfId="0" applyAlignment="1" applyBorder="1" applyFont="1">
      <alignment horizontal="left"/>
    </xf>
    <xf borderId="0" fillId="0" fontId="27" numFmtId="0" xfId="0" applyAlignment="1" applyFont="1">
      <alignment readingOrder="0"/>
    </xf>
    <xf borderId="15" fillId="12" fontId="2" numFmtId="0" xfId="0" applyAlignment="1" applyBorder="1" applyFont="1">
      <alignment horizontal="center" vertical="center"/>
    </xf>
    <xf borderId="15" fillId="12" fontId="14" numFmtId="0" xfId="0" applyAlignment="1" applyBorder="1" applyFont="1">
      <alignment horizontal="center" shrinkToFit="0" vertical="center" wrapText="1"/>
    </xf>
    <xf borderId="1" fillId="12" fontId="14" numFmtId="0" xfId="0" applyAlignment="1" applyBorder="1" applyFont="1">
      <alignment horizontal="center" vertical="center"/>
    </xf>
    <xf borderId="2" fillId="12" fontId="23" numFmtId="0" xfId="0" applyBorder="1" applyFont="1"/>
    <xf borderId="9" fillId="12" fontId="23" numFmtId="164" xfId="0" applyBorder="1" applyFont="1" applyNumberFormat="1"/>
    <xf borderId="1" fillId="12" fontId="23" numFmtId="0" xfId="0" applyBorder="1" applyFont="1"/>
    <xf borderId="1" fillId="12" fontId="23" numFmtId="3" xfId="0" applyBorder="1" applyFont="1" applyNumberFormat="1"/>
    <xf borderId="9" fillId="12" fontId="23" numFmtId="0" xfId="0" applyBorder="1" applyFont="1"/>
    <xf borderId="20" fillId="12" fontId="2" numFmtId="0" xfId="0" applyAlignment="1" applyBorder="1" applyFont="1">
      <alignment horizontal="left"/>
    </xf>
    <xf borderId="0" fillId="12" fontId="2" numFmtId="0" xfId="0" applyAlignment="1" applyFont="1">
      <alignment horizontal="center"/>
    </xf>
    <xf borderId="0" fillId="12" fontId="2" numFmtId="0" xfId="0" applyFont="1"/>
    <xf borderId="2" fillId="12" fontId="23" numFmtId="0" xfId="0" applyBorder="1" applyFont="1"/>
    <xf borderId="9" fillId="12" fontId="23" numFmtId="164" xfId="0" applyAlignment="1" applyBorder="1" applyFont="1" applyNumberFormat="1">
      <alignment horizontal="center"/>
    </xf>
    <xf borderId="1" fillId="12" fontId="23" numFmtId="0" xfId="0" applyAlignment="1" applyBorder="1" applyFont="1">
      <alignment horizontal="center"/>
    </xf>
    <xf borderId="1" fillId="12" fontId="23" numFmtId="3" xfId="0" applyAlignment="1" applyBorder="1" applyFont="1" applyNumberFormat="1">
      <alignment horizontal="center"/>
    </xf>
    <xf borderId="2" fillId="12" fontId="2" numFmtId="0" xfId="0" applyAlignment="1" applyBorder="1" applyFont="1">
      <alignment horizontal="center" readingOrder="0" vertical="center"/>
    </xf>
    <xf borderId="9" fillId="12" fontId="25" numFmtId="0" xfId="0" applyAlignment="1" applyBorder="1" applyFont="1">
      <alignment horizontal="center" readingOrder="0"/>
    </xf>
    <xf borderId="15" fillId="0" fontId="14" numFmtId="0" xfId="0" applyAlignment="1" applyBorder="1" applyFont="1">
      <alignment horizontal="center" shrinkToFit="0" vertical="center" wrapText="1"/>
    </xf>
    <xf borderId="2" fillId="0" fontId="23" numFmtId="0" xfId="0" applyBorder="1" applyFont="1"/>
    <xf borderId="9" fillId="0" fontId="25" numFmtId="0" xfId="0" applyAlignment="1" applyBorder="1" applyFont="1">
      <alignment horizontal="center"/>
    </xf>
    <xf borderId="1" fillId="0" fontId="23" numFmtId="0" xfId="0" applyBorder="1" applyFont="1"/>
    <xf borderId="9" fillId="0" fontId="23" numFmtId="0" xfId="0" applyBorder="1" applyFont="1"/>
    <xf borderId="1" fillId="0" fontId="4" numFmtId="3" xfId="0" applyAlignment="1" applyBorder="1" applyFont="1" applyNumberFormat="1">
      <alignment horizontal="center" readingOrder="0"/>
    </xf>
    <xf borderId="1" fillId="0" fontId="4" numFmtId="3" xfId="0" applyBorder="1" applyFont="1" applyNumberFormat="1"/>
    <xf borderId="16" fillId="0" fontId="2" numFmtId="0" xfId="0" applyAlignment="1" applyBorder="1" applyFon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vertical="center"/>
    </xf>
    <xf borderId="1" fillId="12" fontId="11" numFmtId="0" xfId="0" applyAlignment="1" applyBorder="1" applyFont="1">
      <alignment horizontal="center" vertical="center"/>
    </xf>
    <xf borderId="1" fillId="12" fontId="2" numFmtId="167" xfId="0" applyAlignment="1" applyBorder="1" applyFont="1" applyNumberFormat="1">
      <alignment horizontal="center" vertical="center"/>
    </xf>
    <xf borderId="1" fillId="12" fontId="2" numFmtId="166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" fillId="12" fontId="2" numFmtId="165" xfId="0" applyAlignment="1" applyBorder="1" applyFont="1" applyNumberFormat="1">
      <alignment horizontal="center" vertical="center"/>
    </xf>
    <xf borderId="9" fillId="0" fontId="4" numFmtId="164" xfId="0" applyBorder="1" applyFont="1" applyNumberFormat="1"/>
    <xf borderId="1" fillId="0" fontId="4" numFmtId="0" xfId="0" applyBorder="1" applyFont="1"/>
    <xf borderId="1" fillId="0" fontId="2" numFmtId="0" xfId="0" applyAlignment="1" applyBorder="1" applyFont="1">
      <alignment vertical="top"/>
    </xf>
    <xf borderId="1" fillId="0" fontId="10" numFmtId="0" xfId="0" applyAlignment="1" applyBorder="1" applyFont="1">
      <alignment horizontal="center" readingOrder="0"/>
    </xf>
    <xf borderId="1" fillId="9" fontId="2" numFmtId="0" xfId="0" applyBorder="1" applyFont="1"/>
    <xf borderId="1" fillId="0" fontId="2" numFmtId="164" xfId="0" applyBorder="1" applyFont="1" applyNumberFormat="1"/>
    <xf borderId="1" fillId="9" fontId="2" numFmtId="164" xfId="0" applyBorder="1" applyFont="1" applyNumberFormat="1"/>
    <xf borderId="2" fillId="0" fontId="2" numFmtId="0" xfId="0" applyAlignment="1" applyBorder="1" applyFont="1">
      <alignment vertical="top"/>
    </xf>
    <xf borderId="25" fillId="0" fontId="4" numFmtId="164" xfId="0" applyAlignment="1" applyBorder="1" applyFont="1" applyNumberFormat="1">
      <alignment vertical="top"/>
    </xf>
    <xf borderId="26" fillId="0" fontId="4" numFmtId="0" xfId="0" applyAlignment="1" applyBorder="1" applyFont="1">
      <alignment vertical="top"/>
    </xf>
    <xf borderId="26" fillId="0" fontId="4" numFmtId="3" xfId="0" applyAlignment="1" applyBorder="1" applyFont="1" applyNumberFormat="1">
      <alignment vertical="top"/>
    </xf>
    <xf borderId="26" fillId="0" fontId="2" numFmtId="0" xfId="0" applyAlignment="1" applyBorder="1" applyFont="1">
      <alignment vertical="top"/>
    </xf>
    <xf borderId="27" fillId="0" fontId="2" numFmtId="0" xfId="0" applyAlignment="1" applyBorder="1" applyFont="1">
      <alignment vertical="top"/>
    </xf>
    <xf borderId="25" fillId="0" fontId="2" numFmtId="0" xfId="0" applyAlignment="1" applyBorder="1" applyFont="1">
      <alignment vertical="top"/>
    </xf>
    <xf borderId="29" fillId="0" fontId="2" numFmtId="0" xfId="0" applyAlignment="1" applyBorder="1" applyFont="1">
      <alignment horizontal="left"/>
    </xf>
    <xf borderId="6" fillId="16" fontId="5" numFmtId="0" xfId="0" applyAlignment="1" applyBorder="1" applyFill="1" applyFont="1">
      <alignment horizontal="center" readingOrder="0" shrinkToFit="0" vertical="center" wrapText="0"/>
    </xf>
    <xf borderId="43" fillId="0" fontId="9" numFmtId="0" xfId="0" applyBorder="1" applyFont="1"/>
    <xf borderId="44" fillId="0" fontId="9" numFmtId="0" xfId="0" applyBorder="1" applyFont="1"/>
    <xf borderId="33" fillId="16" fontId="5" numFmtId="0" xfId="0" applyAlignment="1" applyBorder="1" applyFont="1">
      <alignment horizontal="center" readingOrder="0" shrinkToFit="0" vertical="center" wrapText="0"/>
    </xf>
    <xf borderId="45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left" readingOrder="0" shrinkToFit="0" vertical="center" wrapText="0"/>
    </xf>
    <xf borderId="40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31" fillId="0" fontId="2" numFmtId="0" xfId="0" applyAlignment="1" applyBorder="1" applyFont="1">
      <alignment horizontal="center" vertical="center"/>
    </xf>
    <xf borderId="0" fillId="0" fontId="28" numFmtId="0" xfId="0" applyAlignment="1" applyFont="1">
      <alignment horizontal="left" readingOrder="0" shrinkToFit="0" vertical="center" wrapText="0"/>
    </xf>
    <xf borderId="20" fillId="0" fontId="2" numFmtId="0" xfId="0" applyAlignment="1" applyBorder="1" applyFont="1">
      <alignment horizontal="left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16" fillId="4" fontId="16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left" readingOrder="0" shrinkToFit="0" vertical="center" wrapText="0"/>
    </xf>
    <xf borderId="20" fillId="0" fontId="2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bottom"/>
    </xf>
    <xf borderId="16" fillId="0" fontId="21" numFmtId="0" xfId="0" applyAlignment="1" applyBorder="1" applyFont="1">
      <alignment horizontal="center" readingOrder="0" vertical="center"/>
    </xf>
    <xf borderId="20" fillId="0" fontId="22" numFmtId="0" xfId="0" applyAlignment="1" applyBorder="1" applyFont="1">
      <alignment horizontal="left" readingOrder="0" shrinkToFit="0" vertical="center" wrapText="0"/>
    </xf>
    <xf borderId="1" fillId="0" fontId="2" numFmtId="166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1" fillId="12" fontId="4" numFmtId="3" xfId="0" applyAlignment="1" applyBorder="1" applyFont="1" applyNumberFormat="1">
      <alignment horizontal="center" readingOrder="0" vertical="bottom"/>
    </xf>
    <xf borderId="20" fillId="12" fontId="2" numFmtId="0" xfId="0" applyAlignment="1" applyBorder="1" applyFont="1">
      <alignment horizontal="left" readingOrder="0" shrinkToFit="0" vertical="center" wrapText="0"/>
    </xf>
    <xf borderId="40" fillId="12" fontId="2" numFmtId="0" xfId="0" applyAlignment="1" applyBorder="1" applyFont="1">
      <alignment horizontal="center" shrinkToFit="0" vertical="center" wrapText="0"/>
    </xf>
    <xf borderId="9" fillId="12" fontId="2" numFmtId="0" xfId="0" applyAlignment="1" applyBorder="1" applyFont="1">
      <alignment horizontal="center" shrinkToFit="0" vertical="center" wrapText="0"/>
    </xf>
    <xf borderId="20" fillId="12" fontId="2" numFmtId="0" xfId="0" applyAlignment="1" applyBorder="1" applyFont="1">
      <alignment horizontal="center" vertical="center"/>
    </xf>
    <xf borderId="0" fillId="12" fontId="2" numFmtId="0" xfId="0" applyAlignment="1" applyFont="1">
      <alignment horizontal="left" readingOrder="0" shrinkToFit="0" vertical="center" wrapText="0"/>
    </xf>
    <xf borderId="20" fillId="12" fontId="2" numFmtId="0" xfId="0" applyAlignment="1" applyBorder="1" applyFont="1">
      <alignment horizontal="left" shrinkToFit="0" vertical="center" wrapText="0"/>
    </xf>
    <xf borderId="1" fillId="9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30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/>
    </xf>
    <xf borderId="2" fillId="0" fontId="4" numFmtId="0" xfId="0" applyBorder="1" applyFont="1"/>
    <xf borderId="9" fillId="0" fontId="4" numFmtId="164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4" numFmtId="169" xfId="0" applyAlignment="1" applyBorder="1" applyFont="1" applyNumberFormat="1">
      <alignment horizontal="center" shrinkToFit="0" wrapText="1"/>
    </xf>
    <xf borderId="1" fillId="9" fontId="2" numFmtId="165" xfId="0" applyAlignment="1" applyBorder="1" applyFont="1" applyNumberFormat="1">
      <alignment horizontal="center" vertical="center"/>
    </xf>
    <xf borderId="16" fillId="0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shrinkToFit="0" wrapText="1"/>
    </xf>
    <xf borderId="1" fillId="9" fontId="4" numFmtId="169" xfId="0" applyAlignment="1" applyBorder="1" applyFont="1" applyNumberFormat="1">
      <alignment horizontal="center" shrinkToFit="0" wrapText="1"/>
    </xf>
    <xf borderId="1" fillId="9" fontId="4" numFmtId="165" xfId="0" applyAlignment="1" applyBorder="1" applyFont="1" applyNumberFormat="1">
      <alignment horizontal="center" shrinkToFit="0" wrapText="1"/>
    </xf>
    <xf borderId="16" fillId="12" fontId="4" numFmtId="0" xfId="0" applyAlignment="1" applyBorder="1" applyFont="1">
      <alignment horizontal="center" readingOrder="0" shrinkToFit="0" vertical="center" wrapText="1"/>
    </xf>
    <xf borderId="15" fillId="12" fontId="4" numFmtId="0" xfId="0" applyAlignment="1" applyBorder="1" applyFont="1">
      <alignment horizontal="center" readingOrder="0" shrinkToFit="0" vertical="center" wrapText="1"/>
    </xf>
    <xf borderId="1" fillId="12" fontId="4" numFmtId="3" xfId="0" applyAlignment="1" applyBorder="1" applyFont="1" applyNumberFormat="1">
      <alignment horizontal="center" readingOrder="0" shrinkToFit="0" vertical="center" wrapText="1"/>
    </xf>
    <xf borderId="16" fillId="12" fontId="2" numFmtId="0" xfId="0" applyAlignment="1" applyBorder="1" applyFont="1">
      <alignment horizontal="center" readingOrder="0" shrinkToFit="0" vertical="center" wrapText="1"/>
    </xf>
    <xf borderId="40" fillId="12" fontId="2" numFmtId="0" xfId="0" applyAlignment="1" applyBorder="1" applyFont="1">
      <alignment horizontal="left" readingOrder="0" shrinkToFit="0" vertical="center" wrapText="0"/>
    </xf>
    <xf borderId="9" fillId="12" fontId="2" numFmtId="0" xfId="0" applyAlignment="1" applyBorder="1" applyFont="1">
      <alignment horizontal="center" readingOrder="0" shrinkToFit="0" vertical="center" wrapText="0"/>
    </xf>
    <xf borderId="1" fillId="12" fontId="4" numFmtId="0" xfId="0" applyAlignment="1" applyBorder="1" applyFont="1">
      <alignment horizontal="center" shrinkToFit="0" wrapText="1"/>
    </xf>
    <xf borderId="30" fillId="12" fontId="4" numFmtId="0" xfId="0" applyAlignment="1" applyBorder="1" applyFont="1">
      <alignment horizontal="center" shrinkToFit="0" wrapText="1"/>
    </xf>
    <xf borderId="30" fillId="12" fontId="4" numFmtId="165" xfId="0" applyAlignment="1" applyBorder="1" applyFont="1" applyNumberFormat="1">
      <alignment horizontal="center" shrinkToFit="0" wrapText="1"/>
    </xf>
    <xf borderId="30" fillId="12" fontId="4" numFmtId="166" xfId="0" applyAlignment="1" applyBorder="1" applyFont="1" applyNumberFormat="1">
      <alignment horizontal="center" shrinkToFit="0" wrapText="1"/>
    </xf>
    <xf borderId="1" fillId="12" fontId="2" numFmtId="0" xfId="0" applyAlignment="1" applyBorder="1" applyFont="1">
      <alignment horizontal="center" readingOrder="0" shrinkToFit="0" vertical="center" wrapText="1"/>
    </xf>
    <xf borderId="16" fillId="12" fontId="2" numFmtId="0" xfId="0" applyAlignment="1" applyBorder="1" applyFont="1">
      <alignment horizontal="center" readingOrder="0" vertical="center"/>
    </xf>
    <xf borderId="0" fillId="12" fontId="2" numFmtId="0" xfId="0" applyAlignment="1" applyFont="1">
      <alignment horizontal="left" shrinkToFit="0" vertical="center" wrapText="0"/>
    </xf>
    <xf borderId="14" fillId="12" fontId="4" numFmtId="0" xfId="0" applyAlignment="1" applyBorder="1" applyFont="1">
      <alignment horizontal="center" shrinkToFit="0" wrapText="1"/>
    </xf>
    <xf borderId="38" fillId="12" fontId="4" numFmtId="0" xfId="0" applyAlignment="1" applyBorder="1" applyFont="1">
      <alignment horizontal="center" shrinkToFit="0" wrapText="1"/>
    </xf>
    <xf borderId="38" fillId="12" fontId="4" numFmtId="167" xfId="0" applyAlignment="1" applyBorder="1" applyFont="1" applyNumberFormat="1">
      <alignment horizontal="center" shrinkToFit="0" wrapText="1"/>
    </xf>
    <xf borderId="38" fillId="12" fontId="4" numFmtId="166" xfId="0" applyAlignment="1" applyBorder="1" applyFont="1" applyNumberFormat="1">
      <alignment horizontal="center" shrinkToFit="0" wrapText="1"/>
    </xf>
    <xf borderId="16" fillId="0" fontId="2" numFmtId="0" xfId="0" applyAlignment="1" applyBorder="1" applyFont="1">
      <alignment horizontal="center" readingOrder="0" shrinkToFit="0" vertical="center" wrapText="0"/>
    </xf>
    <xf borderId="24" fillId="0" fontId="2" numFmtId="0" xfId="0" applyAlignment="1" applyBorder="1" applyFont="1">
      <alignment horizontal="center" readingOrder="0" vertical="center"/>
    </xf>
    <xf borderId="1" fillId="9" fontId="2" numFmtId="166" xfId="0" applyAlignment="1" applyBorder="1" applyFont="1" applyNumberFormat="1">
      <alignment horizontal="center" readingOrder="0" vertical="center"/>
    </xf>
    <xf borderId="14" fillId="9" fontId="2" numFmtId="0" xfId="0" applyAlignment="1" applyBorder="1" applyFont="1">
      <alignment horizontal="center" readingOrder="0" vertical="center"/>
    </xf>
    <xf borderId="38" fillId="9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38" fillId="0" fontId="2" numFmtId="164" xfId="0" applyAlignment="1" applyBorder="1" applyFont="1" applyNumberFormat="1">
      <alignment horizontal="center" readingOrder="0" vertical="center"/>
    </xf>
    <xf borderId="38" fillId="9" fontId="2" numFmtId="164" xfId="0" applyAlignment="1" applyBorder="1" applyFont="1" applyNumberFormat="1">
      <alignment horizontal="center" readingOrder="0" vertical="center"/>
    </xf>
    <xf borderId="38" fillId="9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4" fillId="9" fontId="2" numFmtId="0" xfId="0" applyAlignment="1" applyBorder="1" applyFont="1">
      <alignment horizontal="center" vertical="center"/>
    </xf>
    <xf borderId="38" fillId="9" fontId="2" numFmtId="0" xfId="0" applyAlignment="1" applyBorder="1" applyFont="1">
      <alignment horizontal="center" vertical="center"/>
    </xf>
    <xf borderId="38" fillId="0" fontId="2" numFmtId="164" xfId="0" applyAlignment="1" applyBorder="1" applyFont="1" applyNumberFormat="1">
      <alignment horizontal="center" vertical="center"/>
    </xf>
    <xf borderId="38" fillId="9" fontId="2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40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9" fillId="0" fontId="2" numFmtId="0" xfId="0" applyAlignment="1" applyBorder="1" applyFont="1">
      <alignment horizontal="left" shrinkToFit="0" vertical="center" wrapText="0"/>
    </xf>
    <xf borderId="42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0"/>
    </xf>
    <xf borderId="0" fillId="0" fontId="2" numFmtId="3" xfId="0" applyAlignment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31" fillId="0" fontId="2" numFmtId="0" xfId="0" applyBorder="1" applyFont="1"/>
    <xf borderId="0" fillId="0" fontId="2" numFmtId="0" xfId="0" applyAlignment="1" applyFont="1">
      <alignment readingOrder="0"/>
    </xf>
    <xf borderId="20" fillId="0" fontId="2" numFmtId="0" xfId="0" applyBorder="1" applyFont="1"/>
    <xf borderId="1" fillId="0" fontId="4" numFmtId="0" xfId="0" applyAlignment="1" applyBorder="1" applyFont="1">
      <alignment horizontal="center"/>
    </xf>
    <xf borderId="16" fillId="0" fontId="4" numFmtId="164" xfId="0" applyBorder="1" applyFont="1" applyNumberFormat="1"/>
    <xf borderId="15" fillId="0" fontId="4" numFmtId="0" xfId="0" applyBorder="1" applyFont="1"/>
    <xf borderId="29" fillId="0" fontId="2" numFmtId="0" xfId="0" applyBorder="1" applyFont="1"/>
    <xf borderId="45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readingOrder="0" shrinkToFit="0" vertical="center" wrapText="0"/>
    </xf>
    <xf borderId="39" fillId="0" fontId="2" numFmtId="0" xfId="0" applyAlignment="1" applyBorder="1" applyFont="1">
      <alignment readingOrder="0"/>
    </xf>
    <xf borderId="46" fillId="0" fontId="9" numFmtId="0" xfId="0" applyBorder="1" applyFont="1"/>
    <xf borderId="40" fillId="0" fontId="2" numFmtId="0" xfId="0" applyAlignment="1" applyBorder="1" applyFont="1">
      <alignment readingOrder="0"/>
    </xf>
    <xf borderId="2" fillId="0" fontId="2" numFmtId="0" xfId="0" applyAlignment="1" applyBorder="1" applyFont="1">
      <alignment vertical="center"/>
    </xf>
    <xf borderId="40" fillId="0" fontId="2" numFmtId="0" xfId="0" applyBorder="1" applyFont="1"/>
    <xf borderId="9" fillId="0" fontId="4" numFmtId="16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vertical="center"/>
    </xf>
    <xf borderId="15" fillId="0" fontId="4" numFmtId="164" xfId="0" applyAlignment="1" applyBorder="1" applyFont="1" applyNumberFormat="1">
      <alignment vertical="center"/>
    </xf>
    <xf borderId="41" fillId="0" fontId="4" numFmtId="164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30" fillId="0" fontId="4" numFmtId="3" xfId="0" applyAlignment="1" applyBorder="1" applyFont="1" applyNumberFormat="1">
      <alignment vertical="center"/>
    </xf>
    <xf borderId="14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9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9" fontId="2" numFmtId="164" xfId="0" applyAlignment="1" applyBorder="1" applyFont="1" applyNumberFormat="1">
      <alignment vertical="center"/>
    </xf>
    <xf borderId="25" fillId="0" fontId="4" numFmtId="164" xfId="0" applyAlignment="1" applyBorder="1" applyFont="1" applyNumberFormat="1">
      <alignment vertical="center"/>
    </xf>
    <xf borderId="26" fillId="0" fontId="4" numFmtId="0" xfId="0" applyAlignment="1" applyBorder="1" applyFont="1">
      <alignment vertical="center"/>
    </xf>
    <xf borderId="26" fillId="0" fontId="4" numFmtId="3" xfId="0" applyAlignment="1" applyBorder="1" applyFont="1" applyNumberForma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42" fillId="0" fontId="2" numFmtId="0" xfId="0" applyBorder="1" applyFont="1"/>
    <xf borderId="1" fillId="13" fontId="4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 readingOrder="0" shrinkToFit="0" wrapText="1"/>
    </xf>
    <xf borderId="1" fillId="0" fontId="4" numFmtId="166" xfId="0" applyAlignment="1" applyBorder="1" applyFont="1" applyNumberFormat="1">
      <alignment horizontal="center" shrinkToFit="0" wrapText="1"/>
    </xf>
    <xf borderId="31" fillId="0" fontId="2" numFmtId="0" xfId="0" applyAlignment="1" applyBorder="1" applyFont="1">
      <alignment readingOrder="0"/>
    </xf>
    <xf borderId="9" fillId="0" fontId="4" numFmtId="164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13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20" fillId="0" fontId="2" numFmtId="0" xfId="0" applyAlignment="1" applyBorder="1" applyFont="1">
      <alignment readingOrder="0"/>
    </xf>
    <xf borderId="1" fillId="13" fontId="2" numFmtId="0" xfId="0" applyAlignment="1" applyBorder="1" applyFon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9" fillId="0" fontId="4" numFmtId="166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vertical="center"/>
    </xf>
    <xf borderId="47" fillId="0" fontId="4" numFmtId="0" xfId="0" applyAlignment="1" applyBorder="1" applyFont="1">
      <alignment readingOrder="0" vertical="center"/>
    </xf>
    <xf borderId="31" fillId="0" fontId="2" numFmtId="0" xfId="0" applyAlignment="1" applyBorder="1" applyFont="1">
      <alignment vertical="center"/>
    </xf>
    <xf borderId="1" fillId="0" fontId="4" numFmtId="166" xfId="0" applyAlignment="1" applyBorder="1" applyFont="1" applyNumberFormat="1">
      <alignment horizontal="center" readingOrder="0" vertical="center"/>
    </xf>
    <xf borderId="20" fillId="0" fontId="4" numFmtId="0" xfId="0" applyAlignment="1" applyBorder="1" applyFont="1">
      <alignment horizontal="center" vertical="center"/>
    </xf>
    <xf borderId="48" fillId="0" fontId="9" numFmtId="0" xfId="0" applyBorder="1" applyFont="1"/>
    <xf borderId="20" fillId="0" fontId="2" numFmtId="0" xfId="0" applyAlignment="1" applyBorder="1" applyFont="1">
      <alignment vertical="center"/>
    </xf>
    <xf borderId="38" fillId="0" fontId="9" numFmtId="0" xfId="0" applyBorder="1" applyFont="1"/>
    <xf borderId="29" fillId="0" fontId="2" numFmtId="0" xfId="0" applyAlignment="1" applyBorder="1" applyFont="1">
      <alignment vertical="center"/>
    </xf>
    <xf borderId="3" fillId="3" fontId="3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center" readingOrder="0" vertical="center"/>
    </xf>
    <xf borderId="1" fillId="17" fontId="10" numFmtId="0" xfId="0" applyAlignment="1" applyBorder="1" applyFill="1" applyFont="1">
      <alignment horizontal="center" readingOrder="0" vertical="center"/>
    </xf>
    <xf borderId="2" fillId="17" fontId="2" numFmtId="0" xfId="0" applyAlignment="1" applyBorder="1" applyFont="1">
      <alignment vertical="center"/>
    </xf>
    <xf borderId="9" fillId="17" fontId="2" numFmtId="0" xfId="0" applyAlignment="1" applyBorder="1" applyFont="1">
      <alignment horizontal="center" readingOrder="0" vertical="center"/>
    </xf>
    <xf borderId="1" fillId="17" fontId="2" numFmtId="0" xfId="0" applyAlignment="1" applyBorder="1" applyFont="1">
      <alignment horizontal="center" readingOrder="0" vertical="center"/>
    </xf>
    <xf borderId="20" fillId="17" fontId="2" numFmtId="0" xfId="0" applyAlignment="1" applyBorder="1" applyFont="1">
      <alignment horizontal="center" readingOrder="0" vertical="center"/>
    </xf>
    <xf borderId="9" fillId="0" fontId="2" numFmtId="166" xfId="0" applyAlignment="1" applyBorder="1" applyFont="1" applyNumberFormat="1">
      <alignment horizontal="center" readingOrder="0" vertical="center"/>
    </xf>
    <xf borderId="16" fillId="0" fontId="2" numFmtId="166" xfId="0" applyAlignment="1" applyBorder="1" applyFont="1" applyNumberFormat="1">
      <alignment horizontal="center" readingOrder="0" vertical="center"/>
    </xf>
    <xf borderId="24" fillId="2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vertical="top"/>
    </xf>
    <xf borderId="1" fillId="18" fontId="10" numFmtId="0" xfId="0" applyAlignment="1" applyBorder="1" applyFill="1" applyFont="1">
      <alignment horizontal="center" readingOrder="0" vertical="center"/>
    </xf>
    <xf borderId="15" fillId="18" fontId="2" numFmtId="0" xfId="0" applyAlignment="1" applyBorder="1" applyFont="1">
      <alignment horizontal="center" vertical="center"/>
    </xf>
    <xf borderId="15" fillId="18" fontId="31" numFmtId="0" xfId="0" applyAlignment="1" applyBorder="1" applyFont="1">
      <alignment horizontal="center" readingOrder="0" vertical="center"/>
    </xf>
    <xf borderId="15" fillId="18" fontId="2" numFmtId="0" xfId="0" applyAlignment="1" applyBorder="1" applyFont="1">
      <alignment horizontal="center" readingOrder="0" vertical="center"/>
    </xf>
    <xf borderId="1" fillId="18" fontId="2" numFmtId="0" xfId="0" applyAlignment="1" applyBorder="1" applyFont="1">
      <alignment horizontal="center" vertical="center"/>
    </xf>
    <xf borderId="1" fillId="18" fontId="2" numFmtId="0" xfId="0" applyAlignment="1" applyBorder="1" applyFont="1">
      <alignment horizontal="center" readingOrder="0" vertical="center"/>
    </xf>
    <xf borderId="1" fillId="18" fontId="11" numFmtId="0" xfId="0" applyAlignment="1" applyBorder="1" applyFont="1">
      <alignment horizontal="center" readingOrder="0" vertical="center"/>
    </xf>
    <xf borderId="1" fillId="18" fontId="2" numFmtId="165" xfId="0" applyAlignment="1" applyBorder="1" applyFont="1" applyNumberFormat="1">
      <alignment horizontal="center" vertical="center"/>
    </xf>
    <xf borderId="1" fillId="18" fontId="2" numFmtId="166" xfId="0" applyAlignment="1" applyBorder="1" applyFont="1" applyNumberFormat="1">
      <alignment horizontal="center" vertical="center"/>
    </xf>
    <xf borderId="2" fillId="18" fontId="2" numFmtId="0" xfId="0" applyAlignment="1" applyBorder="1" applyFont="1">
      <alignment horizontal="center" readingOrder="0" vertical="center"/>
    </xf>
    <xf borderId="9" fillId="18" fontId="2" numFmtId="166" xfId="0" applyAlignment="1" applyBorder="1" applyFont="1" applyNumberFormat="1">
      <alignment horizontal="center" readingOrder="0" vertical="center"/>
    </xf>
    <xf borderId="20" fillId="18" fontId="2" numFmtId="0" xfId="0" applyAlignment="1" applyBorder="1" applyFont="1">
      <alignment horizontal="center" readingOrder="0" vertical="center"/>
    </xf>
    <xf borderId="20" fillId="18" fontId="2" numFmtId="0" xfId="0" applyAlignment="1" applyBorder="1" applyFont="1">
      <alignment horizontal="center" vertical="center"/>
    </xf>
    <xf borderId="1" fillId="18" fontId="2" numFmtId="166" xfId="0" applyAlignment="1" applyBorder="1" applyFont="1" applyNumberFormat="1">
      <alignment horizontal="center" readingOrder="0" vertical="center"/>
    </xf>
    <xf borderId="1" fillId="18" fontId="11" numFmtId="0" xfId="0" applyAlignment="1" applyBorder="1" applyFont="1">
      <alignment horizontal="center" vertical="center"/>
    </xf>
    <xf quotePrefix="1" borderId="1" fillId="18" fontId="2" numFmtId="0" xfId="0" applyAlignment="1" applyBorder="1" applyFont="1">
      <alignment horizontal="center" readingOrder="0" vertical="center"/>
    </xf>
    <xf borderId="16" fillId="18" fontId="2" numFmtId="166" xfId="0" applyAlignment="1" applyBorder="1" applyFont="1" applyNumberFormat="1">
      <alignment horizontal="center" readingOrder="0" vertical="center"/>
    </xf>
    <xf borderId="1" fillId="18" fontId="2" numFmtId="167" xfId="0" applyAlignment="1" applyBorder="1" applyFont="1" applyNumberFormat="1">
      <alignment horizontal="center" vertical="center"/>
    </xf>
    <xf borderId="1" fillId="19" fontId="10" numFmtId="0" xfId="0" applyAlignment="1" applyBorder="1" applyFill="1" applyFont="1">
      <alignment horizontal="center" readingOrder="0" vertical="center"/>
    </xf>
    <xf borderId="15" fillId="19" fontId="2" numFmtId="0" xfId="0" applyAlignment="1" applyBorder="1" applyFont="1">
      <alignment horizontal="center" vertical="center"/>
    </xf>
    <xf borderId="15" fillId="19" fontId="31" numFmtId="0" xfId="0" applyAlignment="1" applyBorder="1" applyFont="1">
      <alignment horizontal="center" readingOrder="0" vertical="center"/>
    </xf>
    <xf borderId="15" fillId="19" fontId="2" numFmtId="0" xfId="0" applyAlignment="1" applyBorder="1" applyFont="1">
      <alignment horizontal="center" readingOrder="0" vertical="center"/>
    </xf>
    <xf borderId="1" fillId="19" fontId="2" numFmtId="0" xfId="0" applyAlignment="1" applyBorder="1" applyFont="1">
      <alignment horizontal="center" readingOrder="0" vertical="center"/>
    </xf>
    <xf borderId="1" fillId="19" fontId="2" numFmtId="0" xfId="0" applyAlignment="1" applyBorder="1" applyFont="1">
      <alignment horizontal="center" vertical="center"/>
    </xf>
    <xf borderId="1" fillId="19" fontId="11" numFmtId="0" xfId="0" applyAlignment="1" applyBorder="1" applyFont="1">
      <alignment horizontal="center" readingOrder="0" vertical="center"/>
    </xf>
    <xf borderId="1" fillId="19" fontId="2" numFmtId="165" xfId="0" applyAlignment="1" applyBorder="1" applyFont="1" applyNumberFormat="1">
      <alignment horizontal="center" readingOrder="0" vertical="center"/>
    </xf>
    <xf borderId="1" fillId="19" fontId="2" numFmtId="166" xfId="0" applyAlignment="1" applyBorder="1" applyFont="1" applyNumberFormat="1">
      <alignment horizontal="center" readingOrder="0" vertical="center"/>
    </xf>
    <xf borderId="2" fillId="19" fontId="2" numFmtId="0" xfId="0" applyAlignment="1" applyBorder="1" applyFont="1">
      <alignment horizontal="center" vertical="center"/>
    </xf>
    <xf borderId="16" fillId="19" fontId="2" numFmtId="166" xfId="0" applyAlignment="1" applyBorder="1" applyFont="1" applyNumberFormat="1">
      <alignment horizontal="center" readingOrder="0" vertical="center"/>
    </xf>
    <xf borderId="20" fillId="19" fontId="2" numFmtId="0" xfId="0" applyAlignment="1" applyBorder="1" applyFont="1">
      <alignment horizontal="center" vertical="center"/>
    </xf>
    <xf borderId="0" fillId="19" fontId="2" numFmtId="0" xfId="0" applyFont="1"/>
    <xf borderId="1" fillId="19" fontId="2" numFmtId="167" xfId="0" applyAlignment="1" applyBorder="1" applyFont="1" applyNumberForma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15" fillId="5" fontId="2" numFmtId="0" xfId="0" applyAlignment="1" applyBorder="1" applyFont="1">
      <alignment horizontal="center" vertical="center"/>
    </xf>
    <xf borderId="15" fillId="5" fontId="31" numFmtId="0" xfId="0" applyAlignment="1" applyBorder="1" applyFont="1">
      <alignment horizontal="center" readingOrder="0" vertical="center"/>
    </xf>
    <xf borderId="15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vertical="center"/>
    </xf>
    <xf borderId="1" fillId="5" fontId="2" numFmtId="165" xfId="0" applyAlignment="1" applyBorder="1" applyFont="1" applyNumberFormat="1">
      <alignment horizontal="center" readingOrder="0" vertical="center"/>
    </xf>
    <xf borderId="1" fillId="5" fontId="2" numFmtId="166" xfId="0" applyAlignment="1" applyBorder="1" applyFont="1" applyNumberFormat="1">
      <alignment horizontal="center" readingOrder="0" vertical="center"/>
    </xf>
    <xf borderId="2" fillId="5" fontId="2" numFmtId="0" xfId="0" applyAlignment="1" applyBorder="1" applyFont="1">
      <alignment horizontal="center" vertical="center"/>
    </xf>
    <xf borderId="16" fillId="5" fontId="2" numFmtId="166" xfId="0" applyAlignment="1" applyBorder="1" applyFont="1" applyNumberFormat="1">
      <alignment horizontal="center" readingOrder="0" vertical="center"/>
    </xf>
    <xf borderId="20" fillId="5" fontId="2" numFmtId="0" xfId="0" applyAlignment="1" applyBorder="1" applyFont="1">
      <alignment horizontal="center" vertical="center"/>
    </xf>
    <xf borderId="0" fillId="5" fontId="2" numFmtId="0" xfId="0" applyFont="1"/>
    <xf borderId="1" fillId="5" fontId="2" numFmtId="167" xfId="0" applyAlignment="1" applyBorder="1" applyFont="1" applyNumberFormat="1">
      <alignment horizontal="center" readingOrder="0" vertical="center"/>
    </xf>
    <xf borderId="1" fillId="20" fontId="10" numFmtId="0" xfId="0" applyAlignment="1" applyBorder="1" applyFill="1" applyFont="1">
      <alignment horizontal="center" readingOrder="0" vertical="center"/>
    </xf>
    <xf borderId="15" fillId="20" fontId="2" numFmtId="0" xfId="0" applyAlignment="1" applyBorder="1" applyFont="1">
      <alignment horizontal="center" vertical="center"/>
    </xf>
    <xf borderId="15" fillId="20" fontId="31" numFmtId="0" xfId="0" applyAlignment="1" applyBorder="1" applyFont="1">
      <alignment horizontal="center" readingOrder="0" shrinkToFit="0" vertical="center" wrapText="1"/>
    </xf>
    <xf borderId="15" fillId="20" fontId="2" numFmtId="0" xfId="0" applyAlignment="1" applyBorder="1" applyFont="1">
      <alignment horizontal="center" readingOrder="0" vertical="center"/>
    </xf>
    <xf borderId="1" fillId="20" fontId="2" numFmtId="0" xfId="0" applyAlignment="1" applyBorder="1" applyFont="1">
      <alignment horizontal="center" readingOrder="0" vertical="center"/>
    </xf>
    <xf borderId="1" fillId="20" fontId="2" numFmtId="0" xfId="0" applyAlignment="1" applyBorder="1" applyFont="1">
      <alignment horizontal="center" vertical="center"/>
    </xf>
    <xf borderId="1" fillId="20" fontId="11" numFmtId="0" xfId="0" applyAlignment="1" applyBorder="1" applyFont="1">
      <alignment horizontal="center" readingOrder="0" vertical="center"/>
    </xf>
    <xf borderId="1" fillId="20" fontId="2" numFmtId="165" xfId="0" applyAlignment="1" applyBorder="1" applyFont="1" applyNumberFormat="1">
      <alignment horizontal="center" readingOrder="0" vertical="center"/>
    </xf>
    <xf borderId="1" fillId="20" fontId="2" numFmtId="166" xfId="0" applyAlignment="1" applyBorder="1" applyFont="1" applyNumberFormat="1">
      <alignment horizontal="center" readingOrder="0" vertical="center"/>
    </xf>
    <xf borderId="2" fillId="20" fontId="2" numFmtId="0" xfId="0" applyAlignment="1" applyBorder="1" applyFont="1">
      <alignment horizontal="center" vertical="center"/>
    </xf>
    <xf borderId="16" fillId="20" fontId="2" numFmtId="166" xfId="0" applyAlignment="1" applyBorder="1" applyFont="1" applyNumberFormat="1">
      <alignment horizontal="center" readingOrder="0" vertical="center"/>
    </xf>
    <xf borderId="20" fillId="20" fontId="2" numFmtId="0" xfId="0" applyAlignment="1" applyBorder="1" applyFont="1">
      <alignment horizontal="center" readingOrder="0" vertical="center"/>
    </xf>
    <xf borderId="0" fillId="20" fontId="2" numFmtId="0" xfId="0" applyFont="1"/>
    <xf borderId="15" fillId="20" fontId="4" numFmtId="0" xfId="0" applyAlignment="1" applyBorder="1" applyFont="1">
      <alignment horizontal="center" readingOrder="0" vertical="center"/>
    </xf>
    <xf borderId="1" fillId="20" fontId="4" numFmtId="0" xfId="0" applyAlignment="1" applyBorder="1" applyFont="1">
      <alignment horizontal="center" vertical="center"/>
    </xf>
    <xf borderId="0" fillId="20" fontId="2" numFmtId="0" xfId="0" applyAlignment="1" applyFont="1">
      <alignment horizontal="center" readingOrder="0"/>
    </xf>
    <xf borderId="20" fillId="20" fontId="2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15" fillId="6" fontId="31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readingOrder="0" vertical="center"/>
    </xf>
    <xf borderId="1" fillId="6" fontId="2" numFmtId="167" xfId="0" applyAlignment="1" applyBorder="1" applyFont="1" applyNumberFormat="1">
      <alignment horizontal="center" readingOrder="0" vertical="center"/>
    </xf>
    <xf borderId="1" fillId="6" fontId="2" numFmtId="166" xfId="0" applyAlignment="1" applyBorder="1" applyFont="1" applyNumberFormat="1">
      <alignment horizontal="center" readingOrder="0" vertical="center"/>
    </xf>
    <xf borderId="2" fillId="6" fontId="2" numFmtId="0" xfId="0" applyAlignment="1" applyBorder="1" applyFont="1">
      <alignment horizontal="center" vertical="center"/>
    </xf>
    <xf borderId="16" fillId="6" fontId="2" numFmtId="166" xfId="0" applyAlignment="1" applyBorder="1" applyFont="1" applyNumberFormat="1">
      <alignment horizontal="center" readingOrder="0" vertical="center"/>
    </xf>
    <xf borderId="20" fillId="6" fontId="2" numFmtId="0" xfId="0" applyAlignment="1" applyBorder="1" applyFont="1">
      <alignment horizontal="center" vertical="center"/>
    </xf>
    <xf borderId="0" fillId="6" fontId="2" numFmtId="0" xfId="0" applyFont="1"/>
    <xf borderId="1" fillId="21" fontId="10" numFmtId="0" xfId="0" applyAlignment="1" applyBorder="1" applyFill="1" applyFont="1">
      <alignment horizontal="center" readingOrder="0" vertical="center"/>
    </xf>
    <xf borderId="15" fillId="21" fontId="2" numFmtId="0" xfId="0" applyAlignment="1" applyBorder="1" applyFont="1">
      <alignment horizontal="center" vertical="center"/>
    </xf>
    <xf borderId="15" fillId="21" fontId="31" numFmtId="0" xfId="0" applyAlignment="1" applyBorder="1" applyFont="1">
      <alignment horizontal="center" readingOrder="0" vertical="center"/>
    </xf>
    <xf borderId="15" fillId="21" fontId="2" numFmtId="0" xfId="0" applyAlignment="1" applyBorder="1" applyFont="1">
      <alignment horizontal="center" readingOrder="0" vertical="center"/>
    </xf>
    <xf borderId="1" fillId="21" fontId="2" numFmtId="0" xfId="0" applyAlignment="1" applyBorder="1" applyFont="1">
      <alignment horizontal="center" readingOrder="0" vertical="center"/>
    </xf>
    <xf borderId="1" fillId="21" fontId="2" numFmtId="0" xfId="0" applyAlignment="1" applyBorder="1" applyFont="1">
      <alignment horizontal="center" vertical="center"/>
    </xf>
    <xf borderId="1" fillId="21" fontId="11" numFmtId="0" xfId="0" applyAlignment="1" applyBorder="1" applyFont="1">
      <alignment horizontal="center" readingOrder="0" vertical="center"/>
    </xf>
    <xf borderId="1" fillId="21" fontId="2" numFmtId="165" xfId="0" applyAlignment="1" applyBorder="1" applyFont="1" applyNumberFormat="1">
      <alignment horizontal="center" readingOrder="0" vertical="center"/>
    </xf>
    <xf borderId="1" fillId="21" fontId="2" numFmtId="166" xfId="0" applyAlignment="1" applyBorder="1" applyFont="1" applyNumberFormat="1">
      <alignment horizontal="center" readingOrder="0" vertical="center"/>
    </xf>
    <xf borderId="2" fillId="21" fontId="2" numFmtId="0" xfId="0" applyAlignment="1" applyBorder="1" applyFont="1">
      <alignment horizontal="center" vertical="center"/>
    </xf>
    <xf borderId="16" fillId="21" fontId="2" numFmtId="166" xfId="0" applyAlignment="1" applyBorder="1" applyFont="1" applyNumberFormat="1">
      <alignment horizontal="center" readingOrder="0" vertical="center"/>
    </xf>
    <xf borderId="20" fillId="21" fontId="2" numFmtId="0" xfId="0" applyAlignment="1" applyBorder="1" applyFont="1">
      <alignment horizontal="center" readingOrder="0" vertical="center"/>
    </xf>
    <xf borderId="0" fillId="21" fontId="2" numFmtId="0" xfId="0" applyFont="1"/>
    <xf borderId="1" fillId="22" fontId="10" numFmtId="0" xfId="0" applyAlignment="1" applyBorder="1" applyFill="1" applyFont="1">
      <alignment horizontal="center" readingOrder="0" vertical="center"/>
    </xf>
    <xf borderId="15" fillId="22" fontId="2" numFmtId="0" xfId="0" applyAlignment="1" applyBorder="1" applyFont="1">
      <alignment horizontal="center" readingOrder="0" vertical="center"/>
    </xf>
    <xf borderId="15" fillId="22" fontId="31" numFmtId="0" xfId="0" applyAlignment="1" applyBorder="1" applyFont="1">
      <alignment horizontal="center" readingOrder="0" vertical="center"/>
    </xf>
    <xf borderId="15" fillId="22" fontId="4" numFmtId="0" xfId="0" applyAlignment="1" applyBorder="1" applyFont="1">
      <alignment horizontal="center" readingOrder="0" vertical="center"/>
    </xf>
    <xf borderId="1" fillId="22" fontId="2" numFmtId="0" xfId="0" applyAlignment="1" applyBorder="1" applyFont="1">
      <alignment horizontal="center" readingOrder="0" vertical="center"/>
    </xf>
    <xf borderId="1" fillId="22" fontId="2" numFmtId="0" xfId="0" applyAlignment="1" applyBorder="1" applyFont="1">
      <alignment horizontal="center" vertical="center"/>
    </xf>
    <xf borderId="1" fillId="22" fontId="11" numFmtId="0" xfId="0" applyAlignment="1" applyBorder="1" applyFont="1">
      <alignment horizontal="center" readingOrder="0" vertical="center"/>
    </xf>
    <xf borderId="1" fillId="22" fontId="2" numFmtId="167" xfId="0" applyAlignment="1" applyBorder="1" applyFont="1" applyNumberFormat="1">
      <alignment horizontal="center" readingOrder="0" vertical="center"/>
    </xf>
    <xf borderId="1" fillId="22" fontId="2" numFmtId="166" xfId="0" applyAlignment="1" applyBorder="1" applyFont="1" applyNumberFormat="1">
      <alignment horizontal="center" readingOrder="0" vertical="center"/>
    </xf>
    <xf borderId="2" fillId="22" fontId="2" numFmtId="0" xfId="0" applyAlignment="1" applyBorder="1" applyFont="1">
      <alignment horizontal="center" vertical="center"/>
    </xf>
    <xf borderId="16" fillId="22" fontId="2" numFmtId="166" xfId="0" applyAlignment="1" applyBorder="1" applyFont="1" applyNumberFormat="1">
      <alignment horizontal="center" readingOrder="0" vertical="center"/>
    </xf>
    <xf borderId="20" fillId="22" fontId="2" numFmtId="0" xfId="0" applyAlignment="1" applyBorder="1" applyFont="1">
      <alignment horizontal="center" vertical="center"/>
    </xf>
    <xf borderId="0" fillId="22" fontId="2" numFmtId="0" xfId="0" applyFont="1"/>
    <xf borderId="15" fillId="4" fontId="2" numFmtId="0" xfId="0" applyAlignment="1" applyBorder="1" applyFont="1">
      <alignment horizontal="center" vertical="center"/>
    </xf>
    <xf borderId="15" fillId="4" fontId="31" numFmtId="0" xfId="0" applyAlignment="1" applyBorder="1" applyFont="1">
      <alignment horizontal="center" readingOrder="0" vertical="center"/>
    </xf>
    <xf borderId="15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readingOrder="0" vertical="center"/>
    </xf>
    <xf borderId="1" fillId="4" fontId="2" numFmtId="167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horizontal="center" vertical="center"/>
    </xf>
    <xf quotePrefix="1" borderId="1" fillId="4" fontId="2" numFmtId="0" xfId="0" applyAlignment="1" applyBorder="1" applyFont="1">
      <alignment horizontal="center" readingOrder="0" vertical="center"/>
    </xf>
    <xf borderId="16" fillId="4" fontId="2" numFmtId="166" xfId="0" applyAlignment="1" applyBorder="1" applyFont="1" applyNumberFormat="1">
      <alignment horizontal="center" readingOrder="0" vertical="center"/>
    </xf>
    <xf borderId="24" fillId="4" fontId="2" numFmtId="0" xfId="0" applyAlignment="1" applyBorder="1" applyFont="1">
      <alignment horizontal="center" readingOrder="0" vertical="center"/>
    </xf>
    <xf borderId="1" fillId="4" fontId="2" numFmtId="165" xfId="0" applyAlignment="1" applyBorder="1" applyFont="1" applyNumberFormat="1">
      <alignment horizontal="center" vertical="center"/>
    </xf>
    <xf borderId="1" fillId="4" fontId="2" numFmtId="165" xfId="0" applyAlignment="1" applyBorder="1" applyFont="1" applyNumberFormat="1">
      <alignment horizontal="center" readingOrder="0" vertical="center"/>
    </xf>
    <xf borderId="1" fillId="16" fontId="10" numFmtId="0" xfId="0" applyAlignment="1" applyBorder="1" applyFont="1">
      <alignment horizontal="center" readingOrder="0" vertical="center"/>
    </xf>
    <xf borderId="1" fillId="16" fontId="2" numFmtId="0" xfId="0" applyAlignment="1" applyBorder="1" applyFont="1">
      <alignment horizontal="center" vertical="center"/>
    </xf>
    <xf borderId="15" fillId="16" fontId="31" numFmtId="0" xfId="0" applyAlignment="1" applyBorder="1" applyFont="1">
      <alignment horizontal="center" readingOrder="0" shrinkToFit="0" vertical="center" wrapText="1"/>
    </xf>
    <xf borderId="15" fillId="16" fontId="2" numFmtId="0" xfId="0" applyAlignment="1" applyBorder="1" applyFont="1">
      <alignment horizontal="center" readingOrder="0" vertical="center"/>
    </xf>
    <xf borderId="1" fillId="16" fontId="2" numFmtId="0" xfId="0" applyAlignment="1" applyBorder="1" applyFont="1">
      <alignment horizontal="center" readingOrder="0" vertical="center"/>
    </xf>
    <xf borderId="1" fillId="16" fontId="11" numFmtId="0" xfId="0" applyAlignment="1" applyBorder="1" applyFont="1">
      <alignment horizontal="center" readingOrder="0" vertical="center"/>
    </xf>
    <xf borderId="1" fillId="16" fontId="2" numFmtId="167" xfId="0" applyAlignment="1" applyBorder="1" applyFont="1" applyNumberFormat="1">
      <alignment horizontal="center" readingOrder="0" vertical="center"/>
    </xf>
    <xf borderId="1" fillId="16" fontId="2" numFmtId="165" xfId="0" applyAlignment="1" applyBorder="1" applyFont="1" applyNumberFormat="1">
      <alignment horizontal="center" readingOrder="0" vertical="center"/>
    </xf>
    <xf borderId="2" fillId="16" fontId="2" numFmtId="0" xfId="0" applyAlignment="1" applyBorder="1" applyFont="1">
      <alignment horizontal="center" vertical="center"/>
    </xf>
    <xf borderId="16" fillId="16" fontId="2" numFmtId="166" xfId="0" applyAlignment="1" applyBorder="1" applyFont="1" applyNumberFormat="1">
      <alignment horizontal="center" readingOrder="0" vertical="center"/>
    </xf>
    <xf borderId="20" fillId="16" fontId="2" numFmtId="0" xfId="0" applyAlignment="1" applyBorder="1" applyFont="1">
      <alignment horizontal="center" readingOrder="0" vertical="center"/>
    </xf>
    <xf borderId="0" fillId="16" fontId="2" numFmtId="0" xfId="0" applyFont="1"/>
    <xf borderId="0" fillId="16" fontId="2" numFmtId="165" xfId="0" applyAlignment="1" applyFont="1" applyNumberFormat="1">
      <alignment horizontal="center" readingOrder="0"/>
    </xf>
    <xf borderId="1" fillId="16" fontId="2" numFmtId="166" xfId="0" applyAlignment="1" applyBorder="1" applyFont="1" applyNumberFormat="1">
      <alignment horizontal="center" readingOrder="0" vertical="center"/>
    </xf>
    <xf borderId="0" fillId="16" fontId="2" numFmtId="0" xfId="0" applyAlignment="1" applyFont="1">
      <alignment horizontal="center" readingOrder="0"/>
    </xf>
    <xf borderId="9" fillId="16" fontId="2" numFmtId="166" xfId="0" applyAlignment="1" applyBorder="1" applyFont="1" applyNumberFormat="1">
      <alignment horizontal="center" readingOrder="0" vertical="center"/>
    </xf>
    <xf borderId="1" fillId="13" fontId="10" numFmtId="0" xfId="0" applyAlignment="1" applyBorder="1" applyFont="1">
      <alignment horizontal="center" readingOrder="0" vertical="center"/>
    </xf>
    <xf borderId="1" fillId="13" fontId="2" numFmtId="0" xfId="0" applyAlignment="1" applyBorder="1" applyFont="1">
      <alignment horizontal="center" vertical="center"/>
    </xf>
    <xf borderId="15" fillId="13" fontId="31" numFmtId="0" xfId="0" applyAlignment="1" applyBorder="1" applyFont="1">
      <alignment horizontal="center" readingOrder="0" vertical="center"/>
    </xf>
    <xf borderId="15" fillId="13" fontId="4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1" fillId="13" fontId="30" numFmtId="0" xfId="0" applyAlignment="1" applyBorder="1" applyFont="1">
      <alignment horizontal="center" vertical="center"/>
    </xf>
    <xf borderId="1" fillId="13" fontId="4" numFmtId="165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vertical="center"/>
    </xf>
    <xf borderId="1" fillId="13" fontId="4" numFmtId="166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/>
    </xf>
    <xf borderId="2" fillId="13" fontId="2" numFmtId="0" xfId="0" applyAlignment="1" applyBorder="1" applyFont="1">
      <alignment horizontal="center" vertical="center"/>
    </xf>
    <xf borderId="9" fillId="13" fontId="4" numFmtId="0" xfId="0" applyAlignment="1" applyBorder="1" applyFont="1">
      <alignment horizontal="center" vertical="center"/>
    </xf>
    <xf borderId="15" fillId="13" fontId="4" numFmtId="0" xfId="0" applyAlignment="1" applyBorder="1" applyFont="1">
      <alignment horizontal="center" vertical="center"/>
    </xf>
    <xf borderId="20" fillId="13" fontId="4" numFmtId="0" xfId="0" applyAlignment="1" applyBorder="1" applyFont="1">
      <alignment horizontal="center" readingOrder="0" vertical="center"/>
    </xf>
    <xf borderId="0" fillId="13" fontId="2" numFmtId="0" xfId="0" applyFont="1"/>
    <xf borderId="20" fillId="13" fontId="4" numFmtId="0" xfId="0" applyAlignment="1" applyBorder="1" applyFont="1">
      <alignment horizontal="center"/>
    </xf>
    <xf borderId="1" fillId="13" fontId="30" numFmtId="0" xfId="0" applyAlignment="1" applyBorder="1" applyFont="1">
      <alignment horizontal="center"/>
    </xf>
    <xf borderId="1" fillId="13" fontId="4" numFmtId="166" xfId="0" applyAlignment="1" applyBorder="1" applyFont="1" applyNumberFormat="1">
      <alignment horizontal="center"/>
    </xf>
    <xf borderId="9" fillId="13" fontId="4" numFmtId="0" xfId="0" applyAlignment="1" applyBorder="1" applyFont="1">
      <alignment horizontal="center"/>
    </xf>
    <xf borderId="15" fillId="0" fontId="31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vertical="center"/>
    </xf>
    <xf quotePrefix="1" borderId="1" fillId="0" fontId="2" numFmtId="0" xfId="0" applyAlignment="1" applyBorder="1" applyFont="1">
      <alignment horizontal="center" readingOrder="0" vertical="center"/>
    </xf>
    <xf borderId="1" fillId="23" fontId="10" numFmtId="0" xfId="0" applyAlignment="1" applyBorder="1" applyFill="1" applyFont="1">
      <alignment horizontal="center" readingOrder="0" vertical="center"/>
    </xf>
    <xf borderId="1" fillId="23" fontId="2" numFmtId="0" xfId="0" applyAlignment="1" applyBorder="1" applyFont="1">
      <alignment horizontal="center" vertical="center"/>
    </xf>
    <xf borderId="15" fillId="23" fontId="31" numFmtId="0" xfId="0" applyAlignment="1" applyBorder="1" applyFont="1">
      <alignment horizontal="center" readingOrder="0" vertical="center"/>
    </xf>
    <xf borderId="15" fillId="23" fontId="4" numFmtId="0" xfId="0" applyAlignment="1" applyBorder="1" applyFont="1">
      <alignment horizontal="center" readingOrder="0" vertical="center"/>
    </xf>
    <xf borderId="1" fillId="23" fontId="2" numFmtId="0" xfId="0" applyAlignment="1" applyBorder="1" applyFont="1">
      <alignment horizontal="center" readingOrder="0"/>
    </xf>
    <xf borderId="1" fillId="23" fontId="2" numFmtId="0" xfId="0" applyBorder="1" applyFont="1"/>
    <xf borderId="1" fillId="23" fontId="30" numFmtId="0" xfId="0" applyAlignment="1" applyBorder="1" applyFont="1">
      <alignment horizontal="center" vertical="center"/>
    </xf>
    <xf borderId="1" fillId="23" fontId="2" numFmtId="166" xfId="0" applyAlignment="1" applyBorder="1" applyFont="1" applyNumberFormat="1">
      <alignment horizontal="center" readingOrder="0" vertical="center"/>
    </xf>
    <xf borderId="1" fillId="23" fontId="2" numFmtId="0" xfId="0" applyAlignment="1" applyBorder="1" applyFont="1">
      <alignment horizontal="center" readingOrder="0" vertical="center"/>
    </xf>
    <xf borderId="2" fillId="23" fontId="2" numFmtId="0" xfId="0" applyAlignment="1" applyBorder="1" applyFont="1">
      <alignment horizontal="center" vertical="center"/>
    </xf>
    <xf borderId="16" fillId="23" fontId="2" numFmtId="166" xfId="0" applyAlignment="1" applyBorder="1" applyFont="1" applyNumberFormat="1">
      <alignment horizontal="center" readingOrder="0" vertical="center"/>
    </xf>
    <xf borderId="15" fillId="23" fontId="2" numFmtId="0" xfId="0" applyAlignment="1" applyBorder="1" applyFont="1">
      <alignment horizontal="center" readingOrder="0" vertical="center"/>
    </xf>
    <xf borderId="1" fillId="23" fontId="4" numFmtId="0" xfId="0" applyAlignment="1" applyBorder="1" applyFont="1">
      <alignment horizontal="center" vertical="center"/>
    </xf>
    <xf borderId="20" fillId="23" fontId="2" numFmtId="0" xfId="0" applyAlignment="1" applyBorder="1" applyFont="1">
      <alignment horizontal="center" vertical="center"/>
    </xf>
    <xf borderId="0" fillId="23" fontId="2" numFmtId="0" xfId="0" applyFont="1"/>
    <xf borderId="1" fillId="23" fontId="11" numFmtId="0" xfId="0" applyAlignment="1" applyBorder="1" applyFont="1">
      <alignment horizontal="center" readingOrder="0" vertical="center"/>
    </xf>
    <xf borderId="20" fillId="23" fontId="2" numFmtId="0" xfId="0" applyAlignment="1" applyBorder="1" applyFont="1">
      <alignment horizontal="center" readingOrder="0" vertical="center"/>
    </xf>
    <xf borderId="1" fillId="24" fontId="10" numFmtId="0" xfId="0" applyAlignment="1" applyBorder="1" applyFill="1" applyFont="1">
      <alignment horizontal="center" readingOrder="0" vertical="center"/>
    </xf>
    <xf borderId="1" fillId="24" fontId="2" numFmtId="0" xfId="0" applyAlignment="1" applyBorder="1" applyFont="1">
      <alignment horizontal="center" vertical="center"/>
    </xf>
    <xf borderId="15" fillId="24" fontId="31" numFmtId="0" xfId="0" applyAlignment="1" applyBorder="1" applyFont="1">
      <alignment horizontal="center" readingOrder="0" vertical="center"/>
    </xf>
    <xf borderId="15" fillId="24" fontId="4" numFmtId="0" xfId="0" applyAlignment="1" applyBorder="1" applyFont="1">
      <alignment horizontal="center" readingOrder="0" vertical="center"/>
    </xf>
    <xf borderId="1" fillId="24" fontId="2" numFmtId="0" xfId="0" applyAlignment="1" applyBorder="1" applyFont="1">
      <alignment horizontal="center" readingOrder="0" vertical="center"/>
    </xf>
    <xf borderId="1" fillId="24" fontId="30" numFmtId="0" xfId="0" applyAlignment="1" applyBorder="1" applyFont="1">
      <alignment horizontal="center" vertical="center"/>
    </xf>
    <xf borderId="1" fillId="24" fontId="2" numFmtId="166" xfId="0" applyAlignment="1" applyBorder="1" applyFont="1" applyNumberFormat="1">
      <alignment horizontal="center" readingOrder="0" vertical="center"/>
    </xf>
    <xf borderId="2" fillId="24" fontId="2" numFmtId="0" xfId="0" applyAlignment="1" applyBorder="1" applyFont="1">
      <alignment horizontal="center" vertical="center"/>
    </xf>
    <xf borderId="16" fillId="24" fontId="2" numFmtId="166" xfId="0" applyAlignment="1" applyBorder="1" applyFont="1" applyNumberFormat="1">
      <alignment horizontal="center" readingOrder="0" vertical="center"/>
    </xf>
    <xf borderId="15" fillId="24" fontId="2" numFmtId="0" xfId="0" applyAlignment="1" applyBorder="1" applyFont="1">
      <alignment horizontal="center" readingOrder="0" vertical="center"/>
    </xf>
    <xf borderId="1" fillId="24" fontId="4" numFmtId="0" xfId="0" applyAlignment="1" applyBorder="1" applyFont="1">
      <alignment horizontal="center" vertical="center"/>
    </xf>
    <xf borderId="20" fillId="24" fontId="2" numFmtId="0" xfId="0" applyAlignment="1" applyBorder="1" applyFont="1">
      <alignment horizontal="center" vertical="center"/>
    </xf>
    <xf borderId="0" fillId="24" fontId="2" numFmtId="0" xfId="0" applyFont="1"/>
    <xf borderId="1" fillId="24" fontId="2" numFmtId="0" xfId="0" applyAlignment="1" applyBorder="1" applyFont="1">
      <alignment horizontal="center" readingOrder="0"/>
    </xf>
    <xf borderId="1" fillId="25" fontId="10" numFmtId="0" xfId="0" applyAlignment="1" applyBorder="1" applyFill="1" applyFont="1">
      <alignment horizontal="center" readingOrder="0" vertical="center"/>
    </xf>
    <xf borderId="1" fillId="25" fontId="2" numFmtId="0" xfId="0" applyAlignment="1" applyBorder="1" applyFont="1">
      <alignment horizontal="center" vertical="center"/>
    </xf>
    <xf borderId="15" fillId="25" fontId="31" numFmtId="0" xfId="0" applyAlignment="1" applyBorder="1" applyFont="1">
      <alignment horizontal="center" readingOrder="0" vertical="center"/>
    </xf>
    <xf borderId="15" fillId="25" fontId="4" numFmtId="0" xfId="0" applyAlignment="1" applyBorder="1" applyFont="1">
      <alignment horizontal="center" readingOrder="0" vertical="center"/>
    </xf>
    <xf borderId="1" fillId="25" fontId="2" numFmtId="0" xfId="0" applyAlignment="1" applyBorder="1" applyFont="1">
      <alignment horizontal="center" readingOrder="0" vertical="center"/>
    </xf>
    <xf borderId="1" fillId="25" fontId="11" numFmtId="0" xfId="0" applyAlignment="1" applyBorder="1" applyFont="1">
      <alignment horizontal="center" readingOrder="0" vertical="center"/>
    </xf>
    <xf borderId="1" fillId="25" fontId="2" numFmtId="166" xfId="0" applyAlignment="1" applyBorder="1" applyFont="1" applyNumberFormat="1">
      <alignment horizontal="center" readingOrder="0" vertical="center"/>
    </xf>
    <xf borderId="2" fillId="25" fontId="2" numFmtId="0" xfId="0" applyAlignment="1" applyBorder="1" applyFont="1">
      <alignment horizontal="center" vertical="center"/>
    </xf>
    <xf borderId="16" fillId="25" fontId="2" numFmtId="166" xfId="0" applyAlignment="1" applyBorder="1" applyFont="1" applyNumberFormat="1">
      <alignment horizontal="center" readingOrder="0" vertical="center"/>
    </xf>
    <xf borderId="15" fillId="25" fontId="2" numFmtId="0" xfId="0" applyAlignment="1" applyBorder="1" applyFont="1">
      <alignment horizontal="center" readingOrder="0" vertical="center"/>
    </xf>
    <xf borderId="1" fillId="25" fontId="4" numFmtId="0" xfId="0" applyAlignment="1" applyBorder="1" applyFont="1">
      <alignment horizontal="center" vertical="center"/>
    </xf>
    <xf borderId="20" fillId="25" fontId="2" numFmtId="0" xfId="0" applyAlignment="1" applyBorder="1" applyFont="1">
      <alignment horizontal="center" vertical="center"/>
    </xf>
    <xf borderId="0" fillId="25" fontId="2" numFmtId="0" xfId="0" applyFont="1"/>
    <xf borderId="1" fillId="26" fontId="10" numFmtId="0" xfId="0" applyAlignment="1" applyBorder="1" applyFill="1" applyFont="1">
      <alignment horizontal="center" readingOrder="0" vertical="center"/>
    </xf>
    <xf borderId="1" fillId="26" fontId="2" numFmtId="0" xfId="0" applyAlignment="1" applyBorder="1" applyFont="1">
      <alignment horizontal="center" vertical="center"/>
    </xf>
    <xf borderId="15" fillId="26" fontId="31" numFmtId="0" xfId="0" applyAlignment="1" applyBorder="1" applyFont="1">
      <alignment horizontal="center" readingOrder="0" vertical="center"/>
    </xf>
    <xf borderId="15" fillId="26" fontId="4" numFmtId="0" xfId="0" applyAlignment="1" applyBorder="1" applyFont="1">
      <alignment horizontal="center" readingOrder="0" vertical="center"/>
    </xf>
    <xf borderId="1" fillId="26" fontId="2" numFmtId="0" xfId="0" applyAlignment="1" applyBorder="1" applyFont="1">
      <alignment horizontal="center" readingOrder="0" vertical="center"/>
    </xf>
    <xf borderId="1" fillId="26" fontId="11" numFmtId="0" xfId="0" applyAlignment="1" applyBorder="1" applyFont="1">
      <alignment horizontal="center" readingOrder="0" vertical="center"/>
    </xf>
    <xf borderId="1" fillId="26" fontId="2" numFmtId="166" xfId="0" applyAlignment="1" applyBorder="1" applyFont="1" applyNumberFormat="1">
      <alignment horizontal="center" readingOrder="0" vertical="center"/>
    </xf>
    <xf borderId="2" fillId="26" fontId="2" numFmtId="0" xfId="0" applyAlignment="1" applyBorder="1" applyFont="1">
      <alignment horizontal="center" vertical="center"/>
    </xf>
    <xf borderId="16" fillId="26" fontId="2" numFmtId="166" xfId="0" applyAlignment="1" applyBorder="1" applyFont="1" applyNumberFormat="1">
      <alignment horizontal="center" readingOrder="0" vertical="center"/>
    </xf>
    <xf borderId="15" fillId="26" fontId="2" numFmtId="0" xfId="0" applyAlignment="1" applyBorder="1" applyFont="1">
      <alignment horizontal="center" readingOrder="0" vertical="center"/>
    </xf>
    <xf borderId="1" fillId="26" fontId="4" numFmtId="0" xfId="0" applyAlignment="1" applyBorder="1" applyFont="1">
      <alignment horizontal="center" vertical="center"/>
    </xf>
    <xf borderId="20" fillId="26" fontId="2" numFmtId="0" xfId="0" applyAlignment="1" applyBorder="1" applyFont="1">
      <alignment horizontal="center" vertical="center"/>
    </xf>
    <xf borderId="0" fillId="26" fontId="2" numFmtId="0" xfId="0" applyFont="1"/>
    <xf borderId="1" fillId="27" fontId="10" numFmtId="0" xfId="0" applyAlignment="1" applyBorder="1" applyFill="1" applyFont="1">
      <alignment horizontal="center" readingOrder="0" vertical="center"/>
    </xf>
    <xf borderId="1" fillId="27" fontId="2" numFmtId="0" xfId="0" applyAlignment="1" applyBorder="1" applyFont="1">
      <alignment horizontal="center" vertical="center"/>
    </xf>
    <xf borderId="15" fillId="27" fontId="31" numFmtId="0" xfId="0" applyAlignment="1" applyBorder="1" applyFont="1">
      <alignment horizontal="center" readingOrder="0" vertical="center"/>
    </xf>
    <xf borderId="15" fillId="27" fontId="4" numFmtId="0" xfId="0" applyAlignment="1" applyBorder="1" applyFont="1">
      <alignment horizontal="center" readingOrder="0" vertical="center"/>
    </xf>
    <xf borderId="1" fillId="27" fontId="2" numFmtId="0" xfId="0" applyAlignment="1" applyBorder="1" applyFont="1">
      <alignment horizontal="center" readingOrder="0" vertical="center"/>
    </xf>
    <xf borderId="1" fillId="27" fontId="11" numFmtId="0" xfId="0" applyAlignment="1" applyBorder="1" applyFont="1">
      <alignment horizontal="center" readingOrder="0" vertical="center"/>
    </xf>
    <xf borderId="1" fillId="27" fontId="2" numFmtId="166" xfId="0" applyAlignment="1" applyBorder="1" applyFont="1" applyNumberFormat="1">
      <alignment horizontal="center" readingOrder="0" vertical="center"/>
    </xf>
    <xf borderId="2" fillId="27" fontId="2" numFmtId="0" xfId="0" applyAlignment="1" applyBorder="1" applyFont="1">
      <alignment horizontal="center" vertical="center"/>
    </xf>
    <xf borderId="16" fillId="27" fontId="2" numFmtId="166" xfId="0" applyAlignment="1" applyBorder="1" applyFont="1" applyNumberFormat="1">
      <alignment horizontal="center" readingOrder="0" vertical="center"/>
    </xf>
    <xf borderId="15" fillId="27" fontId="2" numFmtId="0" xfId="0" applyAlignment="1" applyBorder="1" applyFont="1">
      <alignment horizontal="center" readingOrder="0" vertical="center"/>
    </xf>
    <xf borderId="1" fillId="27" fontId="4" numFmtId="0" xfId="0" applyAlignment="1" applyBorder="1" applyFont="1">
      <alignment horizontal="center" vertical="center"/>
    </xf>
    <xf borderId="20" fillId="27" fontId="2" numFmtId="0" xfId="0" applyAlignment="1" applyBorder="1" applyFont="1">
      <alignment horizontal="center" vertical="center"/>
    </xf>
    <xf borderId="0" fillId="27" fontId="2" numFmtId="0" xfId="0" applyFont="1"/>
    <xf borderId="15" fillId="12" fontId="31" numFmtId="0" xfId="0" applyAlignment="1" applyBorder="1" applyFont="1">
      <alignment horizontal="center" readingOrder="0" vertical="center"/>
    </xf>
    <xf borderId="1" fillId="12" fontId="2" numFmtId="166" xfId="0" applyAlignment="1" applyBorder="1" applyFont="1" applyNumberFormat="1">
      <alignment horizontal="center" readingOrder="0" vertical="center"/>
    </xf>
    <xf borderId="9" fillId="12" fontId="2" numFmtId="166" xfId="0" applyAlignment="1" applyBorder="1" applyFont="1" applyNumberFormat="1">
      <alignment horizontal="center" readingOrder="0" vertical="center"/>
    </xf>
    <xf borderId="1" fillId="12" fontId="4" numFmtId="0" xfId="0" applyAlignment="1" applyBorder="1" applyFont="1">
      <alignment horizontal="center" vertical="center"/>
    </xf>
    <xf borderId="20" fillId="12" fontId="2" numFmtId="0" xfId="0" applyAlignment="1" applyBorder="1" applyFont="1">
      <alignment horizontal="center" readingOrder="0" vertical="center"/>
    </xf>
    <xf borderId="1" fillId="28" fontId="10" numFmtId="0" xfId="0" applyAlignment="1" applyBorder="1" applyFill="1" applyFont="1">
      <alignment horizontal="center" readingOrder="0" vertical="center"/>
    </xf>
    <xf borderId="1" fillId="28" fontId="2" numFmtId="0" xfId="0" applyAlignment="1" applyBorder="1" applyFont="1">
      <alignment horizontal="center" vertical="center"/>
    </xf>
    <xf borderId="15" fillId="28" fontId="31" numFmtId="0" xfId="0" applyAlignment="1" applyBorder="1" applyFont="1">
      <alignment horizontal="center" readingOrder="0" vertical="center"/>
    </xf>
    <xf borderId="15" fillId="28" fontId="2" numFmtId="0" xfId="0" applyAlignment="1" applyBorder="1" applyFont="1">
      <alignment horizontal="center" readingOrder="0" vertical="center"/>
    </xf>
    <xf borderId="1" fillId="28" fontId="11" numFmtId="0" xfId="0" applyAlignment="1" applyBorder="1" applyFont="1">
      <alignment horizontal="center" vertical="center"/>
    </xf>
    <xf borderId="1" fillId="28" fontId="2" numFmtId="165" xfId="0" applyAlignment="1" applyBorder="1" applyFont="1" applyNumberFormat="1">
      <alignment horizontal="center" vertical="center"/>
    </xf>
    <xf borderId="1" fillId="28" fontId="2" numFmtId="166" xfId="0" applyAlignment="1" applyBorder="1" applyFont="1" applyNumberFormat="1">
      <alignment horizontal="center" vertical="center"/>
    </xf>
    <xf borderId="1" fillId="28" fontId="2" numFmtId="0" xfId="0" applyAlignment="1" applyBorder="1" applyFont="1">
      <alignment horizontal="center" readingOrder="0" vertical="center"/>
    </xf>
    <xf borderId="2" fillId="28" fontId="2" numFmtId="0" xfId="0" applyAlignment="1" applyBorder="1" applyFont="1">
      <alignment horizontal="center" vertical="center"/>
    </xf>
    <xf borderId="9" fillId="28" fontId="2" numFmtId="166" xfId="0" applyAlignment="1" applyBorder="1" applyFont="1" applyNumberFormat="1">
      <alignment horizontal="center" vertical="center"/>
    </xf>
    <xf borderId="20" fillId="28" fontId="2" numFmtId="0" xfId="0" applyAlignment="1" applyBorder="1" applyFont="1">
      <alignment horizontal="center" vertical="center"/>
    </xf>
    <xf borderId="1" fillId="29" fontId="10" numFmtId="0" xfId="0" applyAlignment="1" applyBorder="1" applyFill="1" applyFont="1">
      <alignment horizontal="center" readingOrder="0" vertical="center"/>
    </xf>
    <xf borderId="1" fillId="29" fontId="2" numFmtId="0" xfId="0" applyAlignment="1" applyBorder="1" applyFont="1">
      <alignment horizontal="center" vertical="center"/>
    </xf>
    <xf borderId="15" fillId="29" fontId="31" numFmtId="0" xfId="0" applyAlignment="1" applyBorder="1" applyFont="1">
      <alignment horizontal="center" readingOrder="0" vertical="center"/>
    </xf>
    <xf borderId="15" fillId="29" fontId="2" numFmtId="0" xfId="0" applyAlignment="1" applyBorder="1" applyFont="1">
      <alignment horizontal="center" readingOrder="0" vertical="center"/>
    </xf>
    <xf borderId="1" fillId="29" fontId="11" numFmtId="0" xfId="0" applyAlignment="1" applyBorder="1" applyFont="1">
      <alignment horizontal="center" vertical="center"/>
    </xf>
    <xf borderId="1" fillId="29" fontId="2" numFmtId="165" xfId="0" applyAlignment="1" applyBorder="1" applyFont="1" applyNumberFormat="1">
      <alignment horizontal="center" vertical="center"/>
    </xf>
    <xf borderId="1" fillId="29" fontId="2" numFmtId="166" xfId="0" applyAlignment="1" applyBorder="1" applyFont="1" applyNumberFormat="1">
      <alignment horizontal="center" vertical="center"/>
    </xf>
    <xf borderId="1" fillId="29" fontId="2" numFmtId="0" xfId="0" applyAlignment="1" applyBorder="1" applyFont="1">
      <alignment horizontal="center" readingOrder="0" vertical="center"/>
    </xf>
    <xf borderId="2" fillId="29" fontId="2" numFmtId="0" xfId="0" applyAlignment="1" applyBorder="1" applyFont="1">
      <alignment horizontal="center" vertical="center"/>
    </xf>
    <xf borderId="9" fillId="29" fontId="2" numFmtId="166" xfId="0" applyAlignment="1" applyBorder="1" applyFont="1" applyNumberFormat="1">
      <alignment horizontal="center" vertical="center"/>
    </xf>
    <xf borderId="20" fillId="29" fontId="2" numFmtId="0" xfId="0" applyAlignment="1" applyBorder="1" applyFont="1">
      <alignment horizontal="center" vertical="center"/>
    </xf>
    <xf borderId="1" fillId="30" fontId="10" numFmtId="0" xfId="0" applyAlignment="1" applyBorder="1" applyFill="1" applyFont="1">
      <alignment horizontal="center" readingOrder="0" vertical="center"/>
    </xf>
    <xf borderId="1" fillId="30" fontId="2" numFmtId="0" xfId="0" applyAlignment="1" applyBorder="1" applyFont="1">
      <alignment horizontal="center" vertical="center"/>
    </xf>
    <xf borderId="15" fillId="30" fontId="31" numFmtId="0" xfId="0" applyAlignment="1" applyBorder="1" applyFont="1">
      <alignment horizontal="center" readingOrder="0" vertical="center"/>
    </xf>
    <xf borderId="15" fillId="30" fontId="4" numFmtId="0" xfId="0" applyAlignment="1" applyBorder="1" applyFont="1">
      <alignment horizontal="center" vertical="center"/>
    </xf>
    <xf borderId="1" fillId="30" fontId="2" numFmtId="0" xfId="0" applyAlignment="1" applyBorder="1" applyFont="1">
      <alignment horizontal="center" vertical="center"/>
    </xf>
    <xf borderId="1" fillId="30" fontId="11" numFmtId="0" xfId="0" applyAlignment="1" applyBorder="1" applyFont="1">
      <alignment horizontal="center" vertical="center"/>
    </xf>
    <xf borderId="1" fillId="30" fontId="2" numFmtId="165" xfId="0" applyAlignment="1" applyBorder="1" applyFont="1" applyNumberFormat="1">
      <alignment horizontal="center" vertical="center"/>
    </xf>
    <xf borderId="1" fillId="30" fontId="2" numFmtId="166" xfId="0" applyAlignment="1" applyBorder="1" applyFont="1" applyNumberFormat="1">
      <alignment horizontal="center" vertical="center"/>
    </xf>
    <xf quotePrefix="1" borderId="1" fillId="30" fontId="2" numFmtId="0" xfId="0" applyAlignment="1" applyBorder="1" applyFont="1">
      <alignment horizontal="center" readingOrder="0" vertical="center"/>
    </xf>
    <xf borderId="2" fillId="30" fontId="2" numFmtId="0" xfId="0" applyAlignment="1" applyBorder="1" applyFont="1">
      <alignment horizontal="center" vertical="center"/>
    </xf>
    <xf borderId="9" fillId="30" fontId="2" numFmtId="166" xfId="0" applyAlignment="1" applyBorder="1" applyFont="1" applyNumberFormat="1">
      <alignment horizontal="center" readingOrder="0" vertical="center"/>
    </xf>
    <xf borderId="15" fillId="30" fontId="2" numFmtId="0" xfId="0" applyAlignment="1" applyBorder="1" applyFont="1">
      <alignment horizontal="center" readingOrder="0" vertical="center"/>
    </xf>
    <xf borderId="1" fillId="30" fontId="2" numFmtId="0" xfId="0" applyAlignment="1" applyBorder="1" applyFont="1">
      <alignment horizontal="center" readingOrder="0" vertical="center"/>
    </xf>
    <xf borderId="20" fillId="30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15" fillId="8" fontId="31" numFmtId="0" xfId="0" applyAlignment="1" applyBorder="1" applyFont="1">
      <alignment horizontal="center" readingOrder="0" vertical="center"/>
    </xf>
    <xf borderId="15" fillId="8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11" numFmtId="0" xfId="0" applyAlignment="1" applyBorder="1" applyFont="1">
      <alignment horizontal="center" readingOrder="0" vertical="center"/>
    </xf>
    <xf borderId="1" fillId="8" fontId="2" numFmtId="167" xfId="0" applyAlignment="1" applyBorder="1" applyFont="1" applyNumberFormat="1">
      <alignment horizontal="center" readingOrder="0" vertical="center"/>
    </xf>
    <xf borderId="2" fillId="8" fontId="2" numFmtId="0" xfId="0" applyAlignment="1" applyBorder="1" applyFont="1">
      <alignment horizontal="center" vertical="center"/>
    </xf>
    <xf borderId="16" fillId="8" fontId="2" numFmtId="166" xfId="0" applyAlignment="1" applyBorder="1" applyFont="1" applyNumberFormat="1">
      <alignment horizontal="center" readingOrder="0" vertical="center"/>
    </xf>
    <xf borderId="1" fillId="8" fontId="2" numFmtId="165" xfId="0" applyAlignment="1" applyBorder="1" applyFont="1" applyNumberForma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5" fillId="2" fontId="31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2" fontId="2" numFmtId="167" xfId="0" applyAlignment="1" applyBorder="1" applyFont="1" applyNumberFormat="1">
      <alignment horizontal="center" readingOrder="0" vertical="center"/>
    </xf>
    <xf borderId="1" fillId="2" fontId="2" numFmtId="166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16" fillId="2" fontId="2" numFmtId="166" xfId="0" applyAlignment="1" applyBorder="1" applyFont="1" applyNumberFormat="1">
      <alignment horizontal="center" readingOrder="0" vertical="center"/>
    </xf>
    <xf borderId="20" fillId="2" fontId="2" numFmtId="0" xfId="0" applyAlignment="1" applyBorder="1" applyFont="1">
      <alignment horizontal="center" vertical="center"/>
    </xf>
    <xf borderId="0" fillId="2" fontId="2" numFmtId="0" xfId="0" applyFont="1"/>
    <xf borderId="1" fillId="2" fontId="2" numFmtId="165" xfId="0" applyAlignment="1" applyBorder="1" applyFont="1" applyNumberFormat="1">
      <alignment horizontal="center" readingOrder="0" vertical="center"/>
    </xf>
    <xf borderId="1" fillId="10" fontId="10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vertical="center"/>
    </xf>
    <xf borderId="15" fillId="10" fontId="31" numFmtId="0" xfId="0" applyAlignment="1" applyBorder="1" applyFont="1">
      <alignment horizontal="center" readingOrder="0" vertical="center"/>
    </xf>
    <xf borderId="15" fillId="10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readingOrder="0" vertical="center"/>
    </xf>
    <xf borderId="1" fillId="10" fontId="2" numFmtId="165" xfId="0" applyAlignment="1" applyBorder="1" applyFont="1" applyNumberFormat="1">
      <alignment horizontal="center" readingOrder="0" vertical="center"/>
    </xf>
    <xf borderId="1" fillId="10" fontId="2" numFmtId="166" xfId="0" applyAlignment="1" applyBorder="1" applyFont="1" applyNumberFormat="1">
      <alignment horizontal="center" readingOrder="0" vertical="center"/>
    </xf>
    <xf borderId="2" fillId="10" fontId="2" numFmtId="0" xfId="0" applyAlignment="1" applyBorder="1" applyFont="1">
      <alignment horizontal="center" vertical="center"/>
    </xf>
    <xf borderId="16" fillId="10" fontId="2" numFmtId="166" xfId="0" applyAlignment="1" applyBorder="1" applyFont="1" applyNumberFormat="1">
      <alignment horizontal="center" readingOrder="0" vertical="center"/>
    </xf>
    <xf borderId="20" fillId="10" fontId="2" numFmtId="0" xfId="0" applyAlignment="1" applyBorder="1" applyFont="1">
      <alignment horizontal="center" vertical="center"/>
    </xf>
    <xf borderId="0" fillId="10" fontId="2" numFmtId="0" xfId="0" applyFont="1"/>
    <xf borderId="1" fillId="31" fontId="10" numFmtId="0" xfId="0" applyAlignment="1" applyBorder="1" applyFill="1" applyFont="1">
      <alignment horizontal="center" readingOrder="0" vertical="center"/>
    </xf>
    <xf borderId="1" fillId="31" fontId="2" numFmtId="0" xfId="0" applyAlignment="1" applyBorder="1" applyFont="1">
      <alignment horizontal="center" vertical="center"/>
    </xf>
    <xf borderId="15" fillId="31" fontId="31" numFmtId="0" xfId="0" applyAlignment="1" applyBorder="1" applyFont="1">
      <alignment horizontal="center" readingOrder="0" vertical="center"/>
    </xf>
    <xf borderId="15" fillId="31" fontId="4" numFmtId="0" xfId="0" applyAlignment="1" applyBorder="1" applyFont="1">
      <alignment horizontal="center"/>
    </xf>
    <xf borderId="1" fillId="31" fontId="4" numFmtId="0" xfId="0" applyAlignment="1" applyBorder="1" applyFont="1">
      <alignment horizontal="center"/>
    </xf>
    <xf borderId="1" fillId="31" fontId="30" numFmtId="0" xfId="0" applyAlignment="1" applyBorder="1" applyFont="1">
      <alignment horizontal="center"/>
    </xf>
    <xf borderId="1" fillId="31" fontId="4" numFmtId="165" xfId="0" applyAlignment="1" applyBorder="1" applyFont="1" applyNumberFormat="1">
      <alignment horizontal="center"/>
    </xf>
    <xf borderId="1" fillId="31" fontId="4" numFmtId="166" xfId="0" applyAlignment="1" applyBorder="1" applyFont="1" applyNumberFormat="1">
      <alignment horizontal="center"/>
    </xf>
    <xf borderId="1" fillId="31" fontId="4" numFmtId="0" xfId="0" applyAlignment="1" applyBorder="1" applyFont="1">
      <alignment horizontal="center"/>
    </xf>
    <xf borderId="2" fillId="31" fontId="2" numFmtId="0" xfId="0" applyAlignment="1" applyBorder="1" applyFont="1">
      <alignment horizontal="center" vertical="center"/>
    </xf>
    <xf borderId="9" fillId="31" fontId="4" numFmtId="0" xfId="0" applyAlignment="1" applyBorder="1" applyFont="1">
      <alignment horizontal="center"/>
    </xf>
    <xf borderId="20" fillId="31" fontId="2" numFmtId="0" xfId="0" applyAlignment="1" applyBorder="1" applyFont="1">
      <alignment horizontal="center" vertical="center"/>
    </xf>
    <xf borderId="24" fillId="31" fontId="2" numFmtId="0" xfId="0" applyAlignment="1" applyBorder="1" applyFont="1">
      <alignment horizontal="center" vertical="center"/>
    </xf>
    <xf borderId="1" fillId="31" fontId="4" numFmtId="170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nhuwt4uzdJ5zAc2S-YGPDxlxOsANGTfK/view?usp=drive_link" TargetMode="External"/><Relationship Id="rId11" Type="http://schemas.openxmlformats.org/officeDocument/2006/relationships/hyperlink" Target="https://drive.google.com/file/d/1eVt45LWhFgxMmP4fjnELsTpJeZnTRymP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L-fx55PxDteynsd2AozZlA4b0k7IYJuV/view?usp=drive_link" TargetMode="External"/><Relationship Id="rId21" Type="http://schemas.openxmlformats.org/officeDocument/2006/relationships/hyperlink" Target="https://drive.google.com/file/d/1sTCmN2mzQBmT6GKHH28qVOO1mMQs5TVt/view?usp=drive_link" TargetMode="External"/><Relationship Id="rId13" Type="http://schemas.openxmlformats.org/officeDocument/2006/relationships/hyperlink" Target="https://drive.google.com/file/d/1n5o9L0-jQDJT3NAdpHgncboy0MsOfMCs/view?usp=drive_link" TargetMode="External"/><Relationship Id="rId12" Type="http://schemas.openxmlformats.org/officeDocument/2006/relationships/hyperlink" Target="https://drive.google.com/file/d/1638tnYRaoY-usU95Q4acLnAHG1hU3xOc/view?usp=drive_link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rtLYtr-_QZAdrnX-nGvsZxxZ9cQrhqfq/view?usp=drive_link" TargetMode="External"/><Relationship Id="rId3" Type="http://schemas.openxmlformats.org/officeDocument/2006/relationships/hyperlink" Target="https://drive.google.com/file/d/1I7QSG93Hoyk-AaTa65-A36pqehgDhr9s/view?usp=drive_link" TargetMode="External"/><Relationship Id="rId4" Type="http://schemas.openxmlformats.org/officeDocument/2006/relationships/hyperlink" Target="https://drive.google.com/file/d/1ZpRkAHpzlCMAdBatBRXTCOnzjpGZqwIa/view?usp=drive_link" TargetMode="External"/><Relationship Id="rId9" Type="http://schemas.openxmlformats.org/officeDocument/2006/relationships/hyperlink" Target="https://drive.google.com/file/d/1Bfm97Enn_UloMbqFRuVQKRqdNbmteR61/view?usp=drive_link" TargetMode="External"/><Relationship Id="rId15" Type="http://schemas.openxmlformats.org/officeDocument/2006/relationships/hyperlink" Target="https://drive.google.com/file/d/1eH4M7WP7gYMNn6m2QqaHSFMBxR6E6NfH/view?usp=drive_link" TargetMode="External"/><Relationship Id="rId14" Type="http://schemas.openxmlformats.org/officeDocument/2006/relationships/hyperlink" Target="https://drive.google.com/file/d/1U4Y3hgavMXFCY5qPLSUQgpHBpwHpZSPc/view?usp=drive_link" TargetMode="External"/><Relationship Id="rId17" Type="http://schemas.openxmlformats.org/officeDocument/2006/relationships/hyperlink" Target="https://drive.google.com/file/d/1nsTMQdPGKXUVJzNkRadi8CS8X8jy7uYA/view?usp=drive_link" TargetMode="External"/><Relationship Id="rId16" Type="http://schemas.openxmlformats.org/officeDocument/2006/relationships/hyperlink" Target="https://drive.google.com/file/d/1D9LW_LF8oJ5qAOSnzV7pGUg4GuODXsq7/view?usp=drive_link" TargetMode="External"/><Relationship Id="rId5" Type="http://schemas.openxmlformats.org/officeDocument/2006/relationships/hyperlink" Target="https://drive.google.com/file/d/1WDPZMttdK12Sv3YF3lnJpFxcEu2alAMz/view?usp=drive_link" TargetMode="External"/><Relationship Id="rId19" Type="http://schemas.openxmlformats.org/officeDocument/2006/relationships/hyperlink" Target="https://drive.google.com/file/d/1hD0HvABE9Op_4gtxNTXmkWzrce0wgUVF/view?usp=drive_link" TargetMode="External"/><Relationship Id="rId6" Type="http://schemas.openxmlformats.org/officeDocument/2006/relationships/hyperlink" Target="https://drive.google.com/file/d/1sox47h_x_G4WYFZkokosRw7RKWIXjiQi/view?usp=drive_link" TargetMode="External"/><Relationship Id="rId18" Type="http://schemas.openxmlformats.org/officeDocument/2006/relationships/hyperlink" Target="https://drive.google.com/file/d/1QuBtdqP8vNSio7qZYz66wCuRHNfQw5Bk/view?usp=drive_link" TargetMode="External"/><Relationship Id="rId7" Type="http://schemas.openxmlformats.org/officeDocument/2006/relationships/hyperlink" Target="https://drive.google.com/file/d/1rnWvSUvV-bFcs4hdmJEvsMrll0WUYmSg/view?usp=drive_link" TargetMode="External"/><Relationship Id="rId8" Type="http://schemas.openxmlformats.org/officeDocument/2006/relationships/hyperlink" Target="https://drive.google.com/file/d/1i0q2o4UL4IMbjo3BO6T-yoZ_4y_pGxLG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l0DilNHdMEzVN4pPgQ3_RGH76A7Fm6q/view?usp=drive_link" TargetMode="External"/><Relationship Id="rId10" Type="http://schemas.openxmlformats.org/officeDocument/2006/relationships/hyperlink" Target="https://drive.google.com/file/d/1WfyaHr1IhVAG6OLcPI4EFTzm3p0f0QdX/view?usp=drive_link" TargetMode="External"/><Relationship Id="rId13" Type="http://schemas.openxmlformats.org/officeDocument/2006/relationships/hyperlink" Target="https://drive.google.com/file/d/1aBNDILCyU2vhtSGwS4hRRLxtuhuuuRir/view?usp=drive_link" TargetMode="External"/><Relationship Id="rId12" Type="http://schemas.openxmlformats.org/officeDocument/2006/relationships/hyperlink" Target="https://drive.google.com/file/d/1L7jK4x0m1ZLOvfILpcjcs5L4ybvV4M15/view?usp=drive_link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O2L3jqpqiQHa5gF3qntixVnOQ-LA6KNf/view?usp=drive_link" TargetMode="External"/><Relationship Id="rId3" Type="http://schemas.openxmlformats.org/officeDocument/2006/relationships/hyperlink" Target="https://drive.google.com/file/d/1IuInkXmbFRvm3u0oKqr2s1ipKBmkeUtc/view?usp=drive_link" TargetMode="External"/><Relationship Id="rId4" Type="http://schemas.openxmlformats.org/officeDocument/2006/relationships/hyperlink" Target="https://drive.google.com/file/d/1-epWxsAETIZm7VYC916FEGkpFp5-zRSR/view?usp=drive_link" TargetMode="External"/><Relationship Id="rId9" Type="http://schemas.openxmlformats.org/officeDocument/2006/relationships/hyperlink" Target="https://drive.google.com/file/d/1fMmeexphTCQgoLDsxQ1HryvUIKgEw7TB/view?usp=drive_link" TargetMode="External"/><Relationship Id="rId15" Type="http://schemas.openxmlformats.org/officeDocument/2006/relationships/hyperlink" Target="https://drive.google.com/file/d/14z8EsLEvlheBkZZVO1H5KMILP_4p4Tos/view?usp=drive_link" TargetMode="External"/><Relationship Id="rId14" Type="http://schemas.openxmlformats.org/officeDocument/2006/relationships/hyperlink" Target="https://drive.google.com/file/d/1IPvQAyoihxRlGfMAWQph9fFDhbpJxj9S/view?usp=drive_link" TargetMode="External"/><Relationship Id="rId17" Type="http://schemas.openxmlformats.org/officeDocument/2006/relationships/hyperlink" Target="https://drive.google.com/file/d/1GJfBLbj28VverGVJkwMbOHVt9nKTFa5T/view?usp=drive_link" TargetMode="External"/><Relationship Id="rId16" Type="http://schemas.openxmlformats.org/officeDocument/2006/relationships/hyperlink" Target="https://drive.google.com/file/d/1qjeYMymWzOxqVYgMoMES_q1DON5toQgp/view?usp=drive_link" TargetMode="External"/><Relationship Id="rId5" Type="http://schemas.openxmlformats.org/officeDocument/2006/relationships/hyperlink" Target="https://drive.google.com/file/d/1pNN36aSlkD6nIm1idlql7Go5woUjb318/view?usp=drive_link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drive.google.com/file/d/12YMV-xhWChPJirIagpPzPlGoafUhDS9W/view?usp=drive_lin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rive.google.com/file/d/1fvFNwugRlNjY-fDriIlO3vyzI6FkTuRm/view?usp=drive_link" TargetMode="External"/><Relationship Id="rId8" Type="http://schemas.openxmlformats.org/officeDocument/2006/relationships/hyperlink" Target="https://drive.google.com/file/d/1fTmkNfVy1yoIKer_CjDdQc6M1EcbLvpO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0dpJI7dUlVsv9i-SjLuIrNDQaw8UKn4L/view?usp=sharing" TargetMode="External"/><Relationship Id="rId10" Type="http://schemas.openxmlformats.org/officeDocument/2006/relationships/hyperlink" Target="https://drive.google.com/file/d/1DVItosHX7QrhkTPEuhjcvAnPihhdG4Cd/view?usp=sharing" TargetMode="External"/><Relationship Id="rId13" Type="http://schemas.openxmlformats.org/officeDocument/2006/relationships/vmlDrawing" Target="../drawings/vmlDrawing3.vml"/><Relationship Id="rId12" Type="http://schemas.openxmlformats.org/officeDocument/2006/relationships/drawing" Target="../drawings/drawing3.xml"/><Relationship Id="rId1" Type="http://schemas.openxmlformats.org/officeDocument/2006/relationships/comments" Target="../comments3.xml"/><Relationship Id="rId2" Type="http://schemas.openxmlformats.org/officeDocument/2006/relationships/hyperlink" Target="https://drive.google.com/file/d/1pSOf4qjed_jEtw0QkUctDab9APbr1gB6/view?usp=sharing" TargetMode="External"/><Relationship Id="rId3" Type="http://schemas.openxmlformats.org/officeDocument/2006/relationships/hyperlink" Target="https://drive.google.com/file/d/1Qh06Ba71xxv9RNtTlT94WHpgS-KpyUJt/view?usp=sharing" TargetMode="External"/><Relationship Id="rId4" Type="http://schemas.openxmlformats.org/officeDocument/2006/relationships/hyperlink" Target="https://drive.google.com/file/d/19DkFDjrLtXlSSgaBuJpoUVVVYTWA9RRK/view?usp=sharing" TargetMode="External"/><Relationship Id="rId9" Type="http://schemas.openxmlformats.org/officeDocument/2006/relationships/hyperlink" Target="https://drive.google.com/file/d/1RR9L35xMRQF_8LtzO2WuLwzHF1nsUiu9/view?usp=sharing" TargetMode="External"/><Relationship Id="rId5" Type="http://schemas.openxmlformats.org/officeDocument/2006/relationships/hyperlink" Target="https://drive.google.com/file/d/1bxaHT-i-e6Gen8O79P_fEoTOVry771TZ/view?usp=sharing" TargetMode="External"/><Relationship Id="rId6" Type="http://schemas.openxmlformats.org/officeDocument/2006/relationships/hyperlink" Target="https://drive.google.com/file/d/1iKdfB-g9WHXCxosYv6m1U2uB-ZeKiEz8/view?usp=sharing" TargetMode="External"/><Relationship Id="rId7" Type="http://schemas.openxmlformats.org/officeDocument/2006/relationships/hyperlink" Target="https://drive.google.com/file/d/1uPxoUblGpP1ZaJbbQemQCA4363Eo5Y5y/view?usp=sharing" TargetMode="External"/><Relationship Id="rId8" Type="http://schemas.openxmlformats.org/officeDocument/2006/relationships/hyperlink" Target="https://drive.google.com/file/d/1O3DMBfU0c4GNJcMq6bRblH-RmgiWAgks/view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ybaAcfMhD7qa7WVOs9YzLrltd4rjkev/view?usp=drive_link" TargetMode="External"/><Relationship Id="rId42" Type="http://schemas.openxmlformats.org/officeDocument/2006/relationships/hyperlink" Target="https://drive.google.com/file/d/1Gb60sjy7nhIBhgErnOkyzV4p_HiqSmbA/view?usp=drive_link" TargetMode="External"/><Relationship Id="rId41" Type="http://schemas.openxmlformats.org/officeDocument/2006/relationships/hyperlink" Target="https://drive.google.com/file/d/1UWYxpKfvbG4nhpKb3vAwRgNWBp8UkAYJ/view?usp=drive_link" TargetMode="External"/><Relationship Id="rId44" Type="http://schemas.openxmlformats.org/officeDocument/2006/relationships/hyperlink" Target="https://drive.google.com/file/d/1KQETPIxg-MDExB57SkOG45Jm-oVX43JL/view?usp=drive_link" TargetMode="External"/><Relationship Id="rId43" Type="http://schemas.openxmlformats.org/officeDocument/2006/relationships/hyperlink" Target="https://drive.google.com/file/d/1WWfFb53K_2n4ol-LEY68GkLvbuPTkflM/view?usp=drive_link" TargetMode="External"/><Relationship Id="rId46" Type="http://schemas.openxmlformats.org/officeDocument/2006/relationships/hyperlink" Target="https://drive.google.com/file/d/1d7sgCo4twESbp7PRF50f_tQIBR0JTOtZ/view?usp=drive_link" TargetMode="External"/><Relationship Id="rId45" Type="http://schemas.openxmlformats.org/officeDocument/2006/relationships/hyperlink" Target="https://drive.google.com/file/d/1pyY_YJDyRC_0WuZ8DfpGETfmFp4jmVzR/view?usp=drive_link" TargetMode="External"/><Relationship Id="rId80" Type="http://schemas.openxmlformats.org/officeDocument/2006/relationships/hyperlink" Target="https://drive.google.com/file/d/1TtsoN0qmtSa9jGz8DDxcIUtkNER_kdzh/view?usp=drive_link" TargetMode="External"/><Relationship Id="rId82" Type="http://schemas.openxmlformats.org/officeDocument/2006/relationships/vmlDrawing" Target="../drawings/vmlDrawing4.vml"/><Relationship Id="rId81" Type="http://schemas.openxmlformats.org/officeDocument/2006/relationships/drawing" Target="../drawings/drawing4.xml"/><Relationship Id="rId1" Type="http://schemas.openxmlformats.org/officeDocument/2006/relationships/comments" Target="../comments4.xml"/><Relationship Id="rId2" Type="http://schemas.openxmlformats.org/officeDocument/2006/relationships/hyperlink" Target="https://drive.google.com/file/d/19RVOsU1zPlDpr16FgagCsrMAMUR0AUnp/view?usp=drive_link'" TargetMode="External"/><Relationship Id="rId3" Type="http://schemas.openxmlformats.org/officeDocument/2006/relationships/hyperlink" Target="https://drive.google.com/file/d/1wJM0BePQVUv5DinRETDtsHWfwvWU1K9N/view?usp=drive_link" TargetMode="External"/><Relationship Id="rId4" Type="http://schemas.openxmlformats.org/officeDocument/2006/relationships/hyperlink" Target="https://drive.google.com/file/d/1NU6xpV7_wWzprXBKWaf0fkI-HxwUA0zm/view?usp=drive_link" TargetMode="External"/><Relationship Id="rId9" Type="http://schemas.openxmlformats.org/officeDocument/2006/relationships/hyperlink" Target="https://drive.google.com/file/d/1a8vptND-5pV9J-it-CotS5DU5OIsBD4s/view?usp=drive_link" TargetMode="External"/><Relationship Id="rId48" Type="http://schemas.openxmlformats.org/officeDocument/2006/relationships/hyperlink" Target="https://drive.google.com/file/d/1enmTOfCiXhFDLokR4ReM9MfMOWTASrEH/view?usp=drive_link" TargetMode="External"/><Relationship Id="rId47" Type="http://schemas.openxmlformats.org/officeDocument/2006/relationships/hyperlink" Target="https://drive.google.com/file/d/1Vo4UZuDcnXr_2JMh6BNVvjWN4GbJBWrT/view?usp=drive_link" TargetMode="External"/><Relationship Id="rId49" Type="http://schemas.openxmlformats.org/officeDocument/2006/relationships/hyperlink" Target="https://drive.google.com/file/d/1YoQfrhWXNZdQlRhwrcTZfuITbkoLXeGD/view?usp=drive_link" TargetMode="External"/><Relationship Id="rId5" Type="http://schemas.openxmlformats.org/officeDocument/2006/relationships/hyperlink" Target="https://drive.google.com/file/d/1x1qdlzEgZCcarbyk-SYXOchduP8GBK0K/view?usp=drive_link" TargetMode="External"/><Relationship Id="rId6" Type="http://schemas.openxmlformats.org/officeDocument/2006/relationships/hyperlink" Target="https://drive.google.com/file/d/1QUv96wwHWOaRVmM_ntD68_RcgQYHzOwh/view?usp=drive_link" TargetMode="External"/><Relationship Id="rId7" Type="http://schemas.openxmlformats.org/officeDocument/2006/relationships/hyperlink" Target="https://drive.google.com/file/d/1xNhq88j2DnyJwYh5wq8Lq4gkcTqEdKdc/view?usp=drive_link" TargetMode="External"/><Relationship Id="rId8" Type="http://schemas.openxmlformats.org/officeDocument/2006/relationships/hyperlink" Target="https://drive.google.com/file/d/1Olzjfv-Uf1oKAgIYB0nSJQr6BNYY0hEu/view?usp=drive_link" TargetMode="External"/><Relationship Id="rId73" Type="http://schemas.openxmlformats.org/officeDocument/2006/relationships/hyperlink" Target="https://drive.google.com/file/d/13aPMMJo7xAuQiDU7kJ06A5PbszMskXst/view?usp=drive_link" TargetMode="External"/><Relationship Id="rId72" Type="http://schemas.openxmlformats.org/officeDocument/2006/relationships/hyperlink" Target="https://drive.google.com/file/d/1XwDl0Dr9-0TFq939PQQn93s6onlM4X1N/view?usp=drive_link" TargetMode="External"/><Relationship Id="rId31" Type="http://schemas.openxmlformats.org/officeDocument/2006/relationships/hyperlink" Target="https://drive.google.com/file/d/1NwUem3GlkUBv_udIm9y0aeMF458kndCP/view?usp=drive_link" TargetMode="External"/><Relationship Id="rId75" Type="http://schemas.openxmlformats.org/officeDocument/2006/relationships/hyperlink" Target="https://drive.google.com/file/d/1AuBy4nLbXg151VsaKqFbSg10ST5RzYgx/view?usp=drive_link" TargetMode="External"/><Relationship Id="rId30" Type="http://schemas.openxmlformats.org/officeDocument/2006/relationships/hyperlink" Target="https://drive.google.com/file/d/1ky_75k-ovMC8ylI-S-mxyJgTzmf72XGA/view?usp=drive_link" TargetMode="External"/><Relationship Id="rId74" Type="http://schemas.openxmlformats.org/officeDocument/2006/relationships/hyperlink" Target="https://drive.google.com/file/d/1ZcG5pnS910Yitufx1S7B51JcrqXde415/view?usp=drive_link" TargetMode="External"/><Relationship Id="rId33" Type="http://schemas.openxmlformats.org/officeDocument/2006/relationships/hyperlink" Target="https://drive.google.com/file/d/1HbnmU9I31L6-q6nmkD32va3zqNzY-zl_/view?usp=drive_link" TargetMode="External"/><Relationship Id="rId77" Type="http://schemas.openxmlformats.org/officeDocument/2006/relationships/hyperlink" Target="https://drive.google.com/file/d/1B9hsF0xJu1pk55rPk7XBD0pvmvTqnRTY/view?usp=drive_link" TargetMode="External"/><Relationship Id="rId32" Type="http://schemas.openxmlformats.org/officeDocument/2006/relationships/hyperlink" Target="https://drive.google.com/file/d/17_0b8LQQBkv13RxFdAlqt_8JG6lFvTaH/view?usp=drive_link" TargetMode="External"/><Relationship Id="rId76" Type="http://schemas.openxmlformats.org/officeDocument/2006/relationships/hyperlink" Target="https://drive.google.com/file/d/1yTOPm2MQv3SCyImUWYs0a-BTbzLGCcT0/view?usp=drive_link" TargetMode="External"/><Relationship Id="rId35" Type="http://schemas.openxmlformats.org/officeDocument/2006/relationships/hyperlink" Target="https://drive.google.com/file/d/1UbTG2l0cJ-Ob0Md26soYTmWEhivhSAsD/view?usp=drive_link" TargetMode="External"/><Relationship Id="rId79" Type="http://schemas.openxmlformats.org/officeDocument/2006/relationships/hyperlink" Target="https://drive.google.com/file/d/1L8Gy9j42DfZ0inUVnm8z0SFq4pTOdgGk/view?usp=drive_link" TargetMode="External"/><Relationship Id="rId34" Type="http://schemas.openxmlformats.org/officeDocument/2006/relationships/hyperlink" Target="https://drive.google.com/file/d/1B4swYN4FORQCRrE5Qv2-XiS20NNwCvZc/view?usp=drive_link" TargetMode="External"/><Relationship Id="rId78" Type="http://schemas.openxmlformats.org/officeDocument/2006/relationships/hyperlink" Target="https://drive.google.com/file/d/1PaVRlmCCb88W5bnaEZjUk05l_3B9KSpX/view?usp=drive_link" TargetMode="External"/><Relationship Id="rId71" Type="http://schemas.openxmlformats.org/officeDocument/2006/relationships/hyperlink" Target="https://drive.google.com/file/d/1sjIWLTKh-tJAekgY3xGNCRX3SBLN0C7n/view?usp=drive_link" TargetMode="External"/><Relationship Id="rId70" Type="http://schemas.openxmlformats.org/officeDocument/2006/relationships/hyperlink" Target="https://drive.google.com/file/d/1xe9XNSyCE0Yme9d1Fpub9cFNLthTHOJP/view?usp=drive_link" TargetMode="External"/><Relationship Id="rId37" Type="http://schemas.openxmlformats.org/officeDocument/2006/relationships/hyperlink" Target="https://drive.google.com/file/d/1L-FwrQqxeO7c3BPwhmIcLfmUkMka-69Q/view?usp=drive_link" TargetMode="External"/><Relationship Id="rId36" Type="http://schemas.openxmlformats.org/officeDocument/2006/relationships/hyperlink" Target="https://drive.google.com/file/d/1-SMCHFu9K51KdXxGTQ71Aq8XYh_RshAE/view?usp=drive_link" TargetMode="External"/><Relationship Id="rId39" Type="http://schemas.openxmlformats.org/officeDocument/2006/relationships/hyperlink" Target="https://drive.google.com/file/d/1ZXcP1mgAFcC2ChAj6Sm55_cwofrIRFxn/view?usp=drive_link" TargetMode="External"/><Relationship Id="rId38" Type="http://schemas.openxmlformats.org/officeDocument/2006/relationships/hyperlink" Target="https://drive.google.com/file/d/10IuzdOn0c7ffuLobSI5Pyitm3y5ektGj/view?usp=drive_link" TargetMode="External"/><Relationship Id="rId62" Type="http://schemas.openxmlformats.org/officeDocument/2006/relationships/hyperlink" Target="https://drive.google.com/file/d/1B--FsjbccGEmKVzVO5uSRQ-e2_E_7Bih/view?usp=drive_link" TargetMode="External"/><Relationship Id="rId61" Type="http://schemas.openxmlformats.org/officeDocument/2006/relationships/hyperlink" Target="https://drive.google.com/file/d/1i-0x9rNLzPbB_HkdlnozAgd_FSd2lfpY/view?usp=drive_link" TargetMode="External"/><Relationship Id="rId20" Type="http://schemas.openxmlformats.org/officeDocument/2006/relationships/hyperlink" Target="https://drive.google.com/file/d/1k8a4O5MhItrIeyyNBMxY2GUeA5zycwhE/view?usp=drive_link" TargetMode="External"/><Relationship Id="rId64" Type="http://schemas.openxmlformats.org/officeDocument/2006/relationships/hyperlink" Target="https://drive.google.com/file/d/1kcrd5Jo5oC_G56zZA4c6_2t055l5LW7i/view?usp=drive_link" TargetMode="External"/><Relationship Id="rId63" Type="http://schemas.openxmlformats.org/officeDocument/2006/relationships/hyperlink" Target="https://drive.google.com/file/d/10GsmwjxH57TbXjnmClhIpb9vmOaxA6T8/view?usp=drive_link" TargetMode="External"/><Relationship Id="rId22" Type="http://schemas.openxmlformats.org/officeDocument/2006/relationships/hyperlink" Target="https://drive.google.com/file/d/1PJBMMDtbU18_-9lcFvvelYGeKSyWUYhJ/view?usp=drive_link" TargetMode="External"/><Relationship Id="rId66" Type="http://schemas.openxmlformats.org/officeDocument/2006/relationships/hyperlink" Target="https://drive.google.com/file/d/1tN1prfvAE3qS-Sd43q0eWzm-k6He_pTa/view?usp=drive_link" TargetMode="External"/><Relationship Id="rId21" Type="http://schemas.openxmlformats.org/officeDocument/2006/relationships/hyperlink" Target="https://drive.google.com/file/d/1WptkZD7olP5g8h2I8GdwCT7kH5UVO6dP/view?usp=drive_link" TargetMode="External"/><Relationship Id="rId65" Type="http://schemas.openxmlformats.org/officeDocument/2006/relationships/hyperlink" Target="https://drive.google.com/file/d/15fQJ9lut0UlmLXcLG5miz_7PGwLrUYZu/view?usp=drive_link" TargetMode="External"/><Relationship Id="rId24" Type="http://schemas.openxmlformats.org/officeDocument/2006/relationships/hyperlink" Target="https://drive.google.com/file/d/1LFx2oK9mZs3LNv5hFhndNPFAXZtRz0qN/view?usp=drive_link" TargetMode="External"/><Relationship Id="rId68" Type="http://schemas.openxmlformats.org/officeDocument/2006/relationships/hyperlink" Target="https://drive.google.com/file/d/1WZWb_bU-gLHo606s_WRe8IjoaxQKkGEg/view?usp=drive_link" TargetMode="External"/><Relationship Id="rId23" Type="http://schemas.openxmlformats.org/officeDocument/2006/relationships/hyperlink" Target="https://drive.google.com/file/d/1aFmXyu0fyk1uXkMFoYzZ7g8h2_Bnrknf/view?usp=drive_link" TargetMode="External"/><Relationship Id="rId67" Type="http://schemas.openxmlformats.org/officeDocument/2006/relationships/hyperlink" Target="https://drive.google.com/file/d/1KHsqcd9apAOaNwHvv84SPtMXqkOysK-v/view?usp=drive_link" TargetMode="External"/><Relationship Id="rId60" Type="http://schemas.openxmlformats.org/officeDocument/2006/relationships/hyperlink" Target="https://drive.google.com/file/d/1gzUgHfX9vfJegGlzBUIMwnExiwVWPlg-/view?usp=drive_link" TargetMode="External"/><Relationship Id="rId26" Type="http://schemas.openxmlformats.org/officeDocument/2006/relationships/hyperlink" Target="https://drive.google.com/file/d/1q6WYmCIkaeMkZm1iFktmCOxr-yf-6978/view?usp=drive_link" TargetMode="External"/><Relationship Id="rId25" Type="http://schemas.openxmlformats.org/officeDocument/2006/relationships/hyperlink" Target="https://drive.google.com/file/d/1858CVk_xjfEh4hMe4sjDYzL7v01oih2e/view?usp=drive_link" TargetMode="External"/><Relationship Id="rId69" Type="http://schemas.openxmlformats.org/officeDocument/2006/relationships/hyperlink" Target="https://drive.google.com/file/d/1ZLgJ0pPrVddIqnNPEzPLTb1h-EO7M-p-/view?usp=drive_link" TargetMode="External"/><Relationship Id="rId28" Type="http://schemas.openxmlformats.org/officeDocument/2006/relationships/hyperlink" Target="https://drive.google.com/file/d/17909o6JcLGl8E9S4Kag3cxRTXxordlvq/view?usp=drive_link" TargetMode="External"/><Relationship Id="rId27" Type="http://schemas.openxmlformats.org/officeDocument/2006/relationships/hyperlink" Target="https://drive.google.com/file/d/184CIwAk5pWo4gAdI1rf4tmIKKqSag9ci/view?usp=drive_link" TargetMode="External"/><Relationship Id="rId29" Type="http://schemas.openxmlformats.org/officeDocument/2006/relationships/hyperlink" Target="https://drive.google.com/file/d/1Wzhe1VZRXJkZcM_OE5nKYJqVf5bZe5vs/view?usp=drive_link" TargetMode="External"/><Relationship Id="rId51" Type="http://schemas.openxmlformats.org/officeDocument/2006/relationships/hyperlink" Target="https://drive.google.com/file/d/1g1knKHot9etV_VgB4EGodYRypj7KYIR8/view?usp=drive_link" TargetMode="External"/><Relationship Id="rId50" Type="http://schemas.openxmlformats.org/officeDocument/2006/relationships/hyperlink" Target="https://drive.google.com/file/d/1RSAKzvM7SkFDtiorVkgxoTvGHoFmZwgS/view?usp=drive_link" TargetMode="External"/><Relationship Id="rId53" Type="http://schemas.openxmlformats.org/officeDocument/2006/relationships/hyperlink" Target="https://drive.google.com/file/d/17ESBjT0IbHDANPDpWNa7YAJRI6Xolhfn/view?usp=drive_link" TargetMode="External"/><Relationship Id="rId52" Type="http://schemas.openxmlformats.org/officeDocument/2006/relationships/hyperlink" Target="https://drive.google.com/file/d/1mVBAi9ZHW9hXfN-KjFxR8gTkjba1SkJ3/view?usp=drive_link" TargetMode="External"/><Relationship Id="rId11" Type="http://schemas.openxmlformats.org/officeDocument/2006/relationships/hyperlink" Target="https://drive.google.com/file/d/1UHtB5gHIkmv_eyxqkPeoAVGS00EMzUeY/view?usp=drive_link" TargetMode="External"/><Relationship Id="rId55" Type="http://schemas.openxmlformats.org/officeDocument/2006/relationships/hyperlink" Target="https://drive.google.com/file/d/1VZxOtSy1MWmgvmKYjYOkE6nZgD2ga_K6/view?usp=drive_link" TargetMode="External"/><Relationship Id="rId10" Type="http://schemas.openxmlformats.org/officeDocument/2006/relationships/hyperlink" Target="https://drive.google.com/file/d/1mP8Aka_xoxxYIPoxY3kWG4w1HymZ34Jf/view?usp=drive_link" TargetMode="External"/><Relationship Id="rId54" Type="http://schemas.openxmlformats.org/officeDocument/2006/relationships/hyperlink" Target="https://drive.google.com/file/d/1znZ9HY_KKScmCn-ubOq1hq7m66XMC59q/view?usp=drive_link" TargetMode="External"/><Relationship Id="rId13" Type="http://schemas.openxmlformats.org/officeDocument/2006/relationships/hyperlink" Target="https://drive.google.com/file/d/1rKnIZ-QSqbxM60qszRpp5Tg5-xkJ6n3v/view?usp=drive_link" TargetMode="External"/><Relationship Id="rId57" Type="http://schemas.openxmlformats.org/officeDocument/2006/relationships/hyperlink" Target="https://drive.google.com/file/d/1MfXlJHCz_HE3NVf_LZNiUxcGJ_6BYrQb/view?usp=drive_link" TargetMode="External"/><Relationship Id="rId12" Type="http://schemas.openxmlformats.org/officeDocument/2006/relationships/hyperlink" Target="https://drive.google.com/file/d/1BWk7T8Evy7dpZjtV2nQwhoJgoD1KJQ8E/view?usp=drive_link" TargetMode="External"/><Relationship Id="rId56" Type="http://schemas.openxmlformats.org/officeDocument/2006/relationships/hyperlink" Target="https://drive.google.com/file/d/1ibittPVGJE1KcjOcBs8zb7eal_WsBqsR/view?usp=drive_link" TargetMode="External"/><Relationship Id="rId15" Type="http://schemas.openxmlformats.org/officeDocument/2006/relationships/hyperlink" Target="https://drive.google.com/file/d/1u5bZZATvbX1Umx2yeyVCnPCq41tCpRnW/view?usp=drive_link" TargetMode="External"/><Relationship Id="rId59" Type="http://schemas.openxmlformats.org/officeDocument/2006/relationships/hyperlink" Target="https://drive.google.com/file/d/1mj18pPr9ODBptVSMUyWJQBQEW2lQhpdG/view?usp=drive_link" TargetMode="External"/><Relationship Id="rId14" Type="http://schemas.openxmlformats.org/officeDocument/2006/relationships/hyperlink" Target="https://drive.google.com/file/d/1t_85Cl4TZLLbxSfy4mkG-QgVQOcyeRoD/view?usp=drive_link" TargetMode="External"/><Relationship Id="rId58" Type="http://schemas.openxmlformats.org/officeDocument/2006/relationships/hyperlink" Target="https://drive.google.com/file/d/1TqOg_UXVp_M8bKQnqZNz47sm6YNU_VX3/view?usp=drive_link" TargetMode="External"/><Relationship Id="rId17" Type="http://schemas.openxmlformats.org/officeDocument/2006/relationships/hyperlink" Target="https://drive.google.com/file/d/1ctXGHL3ruR-DOAml3aYWFn50PtvVw4aB/view?usp=drive_link" TargetMode="External"/><Relationship Id="rId16" Type="http://schemas.openxmlformats.org/officeDocument/2006/relationships/hyperlink" Target="https://drive.google.com/file/d/1HtfTSJq8zUG5vp_BiSVorkGtWXcH_Ss1/view?usp=drive_link" TargetMode="External"/><Relationship Id="rId19" Type="http://schemas.openxmlformats.org/officeDocument/2006/relationships/hyperlink" Target="https://drive.google.com/file/d/1HEezycQXCAZ_K5QBXjXZzTdr0WaJc_if/view?usp=drive_link" TargetMode="External"/><Relationship Id="rId18" Type="http://schemas.openxmlformats.org/officeDocument/2006/relationships/hyperlink" Target="https://drive.google.com/file/d/17mQLYtMqdt4-ST0rYp-z0OsZMa1OQdpg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drive.google.com/file/d/15Q6nAB_30_wqislzRCPILtjqvS7qZWr5/view?usp=drive_link" TargetMode="External"/><Relationship Id="rId3" Type="http://schemas.openxmlformats.org/officeDocument/2006/relationships/hyperlink" Target="https://drive.google.com/file/d/1b-2ZHlclujq6RcoksLw7fLEvNl9xFjlw/view?usp=drive_link" TargetMode="External"/><Relationship Id="rId4" Type="http://schemas.openxmlformats.org/officeDocument/2006/relationships/hyperlink" Target="https://drive.google.com/file/d/1LDA0zzOgigaGa5SFyzjzZA_bTzI6tqHZ/view?usp=drive_link" TargetMode="External"/><Relationship Id="rId5" Type="http://schemas.openxmlformats.org/officeDocument/2006/relationships/hyperlink" Target="https://drive.google.com/file/d/1zZU-cMOQejelc5OOtCNDVZGZKGAXeeQG/view?usp=drive_link" TargetMode="External"/><Relationship Id="rId6" Type="http://schemas.openxmlformats.org/officeDocument/2006/relationships/drawing" Target="../drawings/drawing9.xml"/><Relationship Id="rId7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7.38"/>
    <col customWidth="1" min="4" max="4" width="8.88"/>
    <col customWidth="1" min="5" max="5" width="7.75"/>
    <col customWidth="1" min="10" max="10" width="15.75"/>
    <col customWidth="1" min="17" max="17" width="11.38"/>
    <col customWidth="1" min="23" max="23" width="26.38"/>
    <col customWidth="1" min="25" max="25" width="75.38"/>
  </cols>
  <sheetData>
    <row r="1">
      <c r="B1" s="1"/>
      <c r="C1" s="1"/>
      <c r="D1" s="1"/>
      <c r="E1" s="1"/>
      <c r="F1" s="1"/>
      <c r="G1" s="1"/>
      <c r="H1" s="1"/>
      <c r="I1" s="1"/>
      <c r="J1" s="1" t="s">
        <v>0</v>
      </c>
      <c r="K1" s="1"/>
      <c r="L1" s="2"/>
      <c r="M1" s="1"/>
      <c r="N1" s="2"/>
      <c r="O1" s="2"/>
      <c r="P1" s="1"/>
      <c r="Q1" s="1"/>
      <c r="R1" s="3"/>
      <c r="S1" s="4"/>
      <c r="T1" s="5"/>
      <c r="U1" s="4"/>
      <c r="V1" s="4"/>
      <c r="W1" s="6"/>
      <c r="X1" s="7"/>
      <c r="Y1" s="4"/>
      <c r="Z1" s="4"/>
      <c r="AA1" s="4"/>
      <c r="AB1" s="4"/>
      <c r="AC1" s="4"/>
      <c r="AD1" s="4"/>
      <c r="AE1" s="4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"/>
      <c r="W2" s="16" t="s">
        <v>2</v>
      </c>
      <c r="X2" s="17" t="s">
        <v>3</v>
      </c>
      <c r="Y2" s="18" t="s">
        <v>4</v>
      </c>
      <c r="Z2" s="4"/>
      <c r="AA2" s="4"/>
      <c r="AB2" s="4"/>
      <c r="AC2" s="4"/>
      <c r="AD2" s="4"/>
      <c r="AE2" s="4"/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21" t="s">
        <v>26</v>
      </c>
      <c r="W3" s="26"/>
      <c r="X3" s="27"/>
      <c r="Y3" s="28"/>
      <c r="Z3" s="4"/>
      <c r="AA3" s="4"/>
      <c r="AB3" s="4"/>
      <c r="AC3" s="4"/>
      <c r="AD3" s="4"/>
      <c r="AE3" s="4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"/>
      <c r="R4" s="32" t="s">
        <v>36</v>
      </c>
      <c r="S4" s="33" t="s">
        <v>39</v>
      </c>
      <c r="T4" s="34" t="s">
        <v>40</v>
      </c>
      <c r="U4" s="35" t="s">
        <v>41</v>
      </c>
      <c r="V4" s="36" t="s">
        <v>42</v>
      </c>
      <c r="W4" s="37"/>
      <c r="X4" s="38"/>
      <c r="Y4" s="39"/>
      <c r="Z4" s="40"/>
      <c r="AA4" s="4"/>
      <c r="AB4" s="4"/>
      <c r="AC4" s="4"/>
      <c r="AD4" s="4"/>
      <c r="AE4" s="4"/>
    </row>
    <row r="5" ht="24.75" customHeight="1">
      <c r="A5" s="41">
        <v>1.0</v>
      </c>
      <c r="B5" s="42">
        <v>1.0</v>
      </c>
      <c r="C5" s="42"/>
      <c r="D5" s="42">
        <v>1.0</v>
      </c>
      <c r="E5" s="43">
        <v>1.0</v>
      </c>
      <c r="F5" s="44" t="s">
        <v>43</v>
      </c>
      <c r="G5" s="45" t="s">
        <v>44</v>
      </c>
      <c r="H5" s="45" t="s">
        <v>45</v>
      </c>
      <c r="I5" s="43" t="s">
        <v>46</v>
      </c>
      <c r="J5" s="45"/>
      <c r="K5" s="46" t="s">
        <v>47</v>
      </c>
      <c r="L5" s="47">
        <v>25066.0</v>
      </c>
      <c r="M5" s="45" t="s">
        <v>48</v>
      </c>
      <c r="N5" s="47">
        <v>45873.0</v>
      </c>
      <c r="O5" s="47">
        <v>49525.0</v>
      </c>
      <c r="P5" s="43" t="s">
        <v>49</v>
      </c>
      <c r="Q5" s="48"/>
      <c r="R5" s="49">
        <v>45978.0</v>
      </c>
      <c r="S5" s="50" t="s">
        <v>50</v>
      </c>
      <c r="T5" s="51">
        <v>1290000.0</v>
      </c>
      <c r="U5" s="42" t="s">
        <v>51</v>
      </c>
      <c r="V5" s="52"/>
      <c r="W5" s="53" t="s">
        <v>52</v>
      </c>
      <c r="X5" s="54" t="s">
        <v>53</v>
      </c>
      <c r="Y5" s="55" t="s">
        <v>54</v>
      </c>
      <c r="Z5" s="4"/>
      <c r="AA5" s="4"/>
      <c r="AB5" s="4"/>
      <c r="AC5" s="4"/>
      <c r="AD5" s="4"/>
      <c r="AE5" s="4"/>
    </row>
    <row r="6" ht="34.5" customHeight="1">
      <c r="A6" s="41">
        <v>2.0</v>
      </c>
      <c r="B6" s="39"/>
      <c r="C6" s="39"/>
      <c r="D6" s="39"/>
      <c r="E6" s="43">
        <v>1.0</v>
      </c>
      <c r="F6" s="39"/>
      <c r="G6" s="45" t="s">
        <v>44</v>
      </c>
      <c r="H6" s="45" t="s">
        <v>55</v>
      </c>
      <c r="I6" s="43" t="s">
        <v>56</v>
      </c>
      <c r="J6" s="45"/>
      <c r="K6" s="46" t="s">
        <v>57</v>
      </c>
      <c r="L6" s="47">
        <v>25965.0</v>
      </c>
      <c r="M6" s="45" t="s">
        <v>58</v>
      </c>
      <c r="N6" s="47">
        <v>45861.0</v>
      </c>
      <c r="O6" s="47">
        <v>49513.0</v>
      </c>
      <c r="P6" s="43" t="s">
        <v>59</v>
      </c>
      <c r="Q6" s="48"/>
      <c r="R6" s="56"/>
      <c r="S6" s="50" t="s">
        <v>50</v>
      </c>
      <c r="T6" s="51">
        <v>1290000.0</v>
      </c>
      <c r="U6" s="39"/>
      <c r="V6" s="57"/>
      <c r="W6" s="58"/>
      <c r="X6" s="59"/>
      <c r="Y6" s="55" t="s">
        <v>60</v>
      </c>
      <c r="Z6" s="4"/>
      <c r="AA6" s="4"/>
      <c r="AB6" s="4"/>
      <c r="AC6" s="4"/>
      <c r="AD6" s="4"/>
      <c r="AE6" s="4"/>
    </row>
    <row r="7">
      <c r="A7" s="60">
        <v>3.0</v>
      </c>
      <c r="B7" s="42">
        <v>2.0</v>
      </c>
      <c r="C7" s="42"/>
      <c r="D7" s="61">
        <v>2.0</v>
      </c>
      <c r="E7" s="43">
        <v>2.0</v>
      </c>
      <c r="F7" s="62" t="s">
        <v>61</v>
      </c>
      <c r="G7" s="45" t="s">
        <v>62</v>
      </c>
      <c r="H7" s="45" t="s">
        <v>63</v>
      </c>
      <c r="I7" s="43" t="s">
        <v>64</v>
      </c>
      <c r="J7" s="45"/>
      <c r="K7" s="63" t="s">
        <v>47</v>
      </c>
      <c r="L7" s="47">
        <v>28170.0</v>
      </c>
      <c r="M7" s="45" t="s">
        <v>65</v>
      </c>
      <c r="N7" s="47">
        <v>45785.0</v>
      </c>
      <c r="O7" s="47">
        <v>49437.0</v>
      </c>
      <c r="P7" s="43" t="s">
        <v>66</v>
      </c>
      <c r="Q7" s="48"/>
      <c r="R7" s="64"/>
      <c r="S7" s="65" t="s">
        <v>50</v>
      </c>
      <c r="T7" s="51">
        <v>1890000.0</v>
      </c>
      <c r="U7" s="42" t="s">
        <v>67</v>
      </c>
      <c r="V7" s="57"/>
      <c r="W7" s="66" t="s">
        <v>68</v>
      </c>
      <c r="X7" s="59"/>
      <c r="Y7" s="67"/>
      <c r="Z7" s="4"/>
      <c r="AA7" s="4"/>
      <c r="AB7" s="4"/>
      <c r="AC7" s="4"/>
      <c r="AD7" s="4"/>
      <c r="AE7" s="4"/>
    </row>
    <row r="8">
      <c r="A8" s="60">
        <v>4.0</v>
      </c>
      <c r="B8" s="39"/>
      <c r="C8" s="39"/>
      <c r="D8" s="39"/>
      <c r="E8" s="43">
        <v>2.0</v>
      </c>
      <c r="F8" s="39"/>
      <c r="G8" s="68"/>
      <c r="H8" s="68"/>
      <c r="I8" s="69"/>
      <c r="J8" s="70"/>
      <c r="K8" s="46"/>
      <c r="L8" s="71"/>
      <c r="M8" s="68"/>
      <c r="N8" s="71"/>
      <c r="O8" s="71"/>
      <c r="P8" s="43"/>
      <c r="Q8" s="48"/>
      <c r="R8" s="64"/>
      <c r="S8" s="72"/>
      <c r="T8" s="51"/>
      <c r="U8" s="39"/>
      <c r="V8" s="57"/>
      <c r="W8" s="58"/>
      <c r="X8" s="59"/>
      <c r="Y8" s="67"/>
      <c r="Z8" s="4"/>
      <c r="AA8" s="4"/>
      <c r="AB8" s="4"/>
      <c r="AC8" s="4"/>
      <c r="AD8" s="4"/>
      <c r="AE8" s="4"/>
    </row>
    <row r="9">
      <c r="A9" s="41">
        <v>5.0</v>
      </c>
      <c r="B9" s="42">
        <v>3.0</v>
      </c>
      <c r="C9" s="42"/>
      <c r="D9" s="42">
        <v>3.0</v>
      </c>
      <c r="E9" s="43">
        <v>1.0</v>
      </c>
      <c r="F9" s="73" t="s">
        <v>69</v>
      </c>
      <c r="G9" s="68" t="s">
        <v>44</v>
      </c>
      <c r="H9" s="68" t="s">
        <v>70</v>
      </c>
      <c r="I9" s="74" t="s">
        <v>71</v>
      </c>
      <c r="J9" s="70"/>
      <c r="K9" s="75" t="s">
        <v>47</v>
      </c>
      <c r="L9" s="76">
        <v>15560.0</v>
      </c>
      <c r="M9" s="68" t="s">
        <v>72</v>
      </c>
      <c r="N9" s="77">
        <v>45986.0</v>
      </c>
      <c r="O9" s="77">
        <v>46351.0</v>
      </c>
      <c r="P9" s="42" t="s">
        <v>73</v>
      </c>
      <c r="Q9" s="57"/>
      <c r="R9" s="78">
        <v>45987.0</v>
      </c>
      <c r="S9" s="50" t="s">
        <v>74</v>
      </c>
      <c r="T9" s="51">
        <v>1290000.0</v>
      </c>
      <c r="U9" s="42" t="s">
        <v>75</v>
      </c>
      <c r="V9" s="57"/>
      <c r="W9" s="79" t="s">
        <v>76</v>
      </c>
      <c r="X9" s="59"/>
      <c r="Y9" s="67"/>
      <c r="Z9" s="4"/>
      <c r="AA9" s="4"/>
      <c r="AB9" s="4"/>
      <c r="AC9" s="4"/>
      <c r="AD9" s="4"/>
      <c r="AE9" s="4"/>
    </row>
    <row r="10">
      <c r="A10" s="41">
        <v>6.0</v>
      </c>
      <c r="B10" s="28"/>
      <c r="C10" s="28"/>
      <c r="D10" s="28"/>
      <c r="E10" s="43">
        <v>1.0</v>
      </c>
      <c r="F10" s="28"/>
      <c r="G10" s="68" t="s">
        <v>77</v>
      </c>
      <c r="H10" s="68" t="s">
        <v>78</v>
      </c>
      <c r="I10" s="69" t="s">
        <v>79</v>
      </c>
      <c r="J10" s="70"/>
      <c r="K10" s="75" t="s">
        <v>57</v>
      </c>
      <c r="L10" s="76">
        <v>17290.0</v>
      </c>
      <c r="M10" s="69" t="s">
        <v>80</v>
      </c>
      <c r="N10" s="77">
        <v>43858.0</v>
      </c>
      <c r="O10" s="77">
        <v>47511.0</v>
      </c>
      <c r="P10" s="28"/>
      <c r="Q10" s="57"/>
      <c r="R10" s="80"/>
      <c r="S10" s="50" t="s">
        <v>74</v>
      </c>
      <c r="T10" s="51">
        <v>1290000.0</v>
      </c>
      <c r="U10" s="28"/>
      <c r="V10" s="57"/>
      <c r="W10" s="26"/>
      <c r="X10" s="59"/>
      <c r="Y10" s="67"/>
      <c r="Z10" s="4"/>
      <c r="AA10" s="4"/>
      <c r="AB10" s="4"/>
      <c r="AC10" s="4"/>
      <c r="AD10" s="4"/>
      <c r="AE10" s="4"/>
    </row>
    <row r="11">
      <c r="A11" s="41">
        <v>7.0</v>
      </c>
      <c r="B11" s="39"/>
      <c r="C11" s="39"/>
      <c r="D11" s="28"/>
      <c r="E11" s="43">
        <v>1.0</v>
      </c>
      <c r="F11" s="39"/>
      <c r="G11" s="68" t="s">
        <v>44</v>
      </c>
      <c r="H11" s="68" t="s">
        <v>81</v>
      </c>
      <c r="I11" s="69" t="s">
        <v>82</v>
      </c>
      <c r="J11" s="70"/>
      <c r="K11" s="75" t="s">
        <v>57</v>
      </c>
      <c r="L11" s="76">
        <v>25842.0</v>
      </c>
      <c r="M11" s="68" t="s">
        <v>83</v>
      </c>
      <c r="N11" s="77">
        <v>45986.0</v>
      </c>
      <c r="O11" s="77">
        <v>49638.0</v>
      </c>
      <c r="P11" s="28"/>
      <c r="Q11" s="57"/>
      <c r="R11" s="80"/>
      <c r="S11" s="50" t="s">
        <v>74</v>
      </c>
      <c r="T11" s="51">
        <v>645000.0</v>
      </c>
      <c r="U11" s="28"/>
      <c r="V11" s="48"/>
      <c r="W11" s="26"/>
      <c r="X11" s="59"/>
      <c r="Y11" s="67"/>
      <c r="Z11" s="4"/>
      <c r="AA11" s="4"/>
      <c r="AB11" s="4"/>
      <c r="AC11" s="4"/>
      <c r="AD11" s="4"/>
      <c r="AE11" s="4"/>
    </row>
    <row r="12">
      <c r="A12" s="41">
        <v>8.0</v>
      </c>
      <c r="B12" s="42">
        <v>4.0</v>
      </c>
      <c r="C12" s="42"/>
      <c r="D12" s="28"/>
      <c r="E12" s="43">
        <v>2.0</v>
      </c>
      <c r="F12" s="62" t="s">
        <v>61</v>
      </c>
      <c r="G12" s="68" t="s">
        <v>44</v>
      </c>
      <c r="H12" s="68" t="s">
        <v>84</v>
      </c>
      <c r="I12" s="69" t="s">
        <v>85</v>
      </c>
      <c r="J12" s="70"/>
      <c r="K12" s="75" t="s">
        <v>47</v>
      </c>
      <c r="L12" s="76">
        <v>24911.0</v>
      </c>
      <c r="M12" s="68" t="s">
        <v>86</v>
      </c>
      <c r="N12" s="77">
        <v>43055.0</v>
      </c>
      <c r="O12" s="77">
        <v>46707.0</v>
      </c>
      <c r="P12" s="28"/>
      <c r="Q12" s="57"/>
      <c r="R12" s="80"/>
      <c r="S12" s="50" t="s">
        <v>74</v>
      </c>
      <c r="T12" s="51">
        <v>990000.0</v>
      </c>
      <c r="U12" s="28"/>
      <c r="V12" s="48"/>
      <c r="W12" s="26"/>
      <c r="X12" s="59"/>
      <c r="Y12" s="67"/>
      <c r="Z12" s="4"/>
      <c r="AA12" s="4"/>
      <c r="AB12" s="4"/>
      <c r="AC12" s="4"/>
      <c r="AD12" s="4"/>
      <c r="AE12" s="4"/>
    </row>
    <row r="13">
      <c r="A13" s="41">
        <v>9.0</v>
      </c>
      <c r="B13" s="39"/>
      <c r="C13" s="39"/>
      <c r="D13" s="28"/>
      <c r="E13" s="43">
        <v>2.0</v>
      </c>
      <c r="F13" s="39"/>
      <c r="G13" s="81" t="s">
        <v>44</v>
      </c>
      <c r="H13" s="81" t="s">
        <v>87</v>
      </c>
      <c r="I13" s="69" t="s">
        <v>88</v>
      </c>
      <c r="J13" s="70"/>
      <c r="K13" s="75" t="s">
        <v>57</v>
      </c>
      <c r="L13" s="82">
        <v>25518.0</v>
      </c>
      <c r="M13" s="81" t="s">
        <v>89</v>
      </c>
      <c r="N13" s="83">
        <v>45993.0</v>
      </c>
      <c r="O13" s="83">
        <v>49645.0</v>
      </c>
      <c r="P13" s="28"/>
      <c r="Q13" s="57"/>
      <c r="R13" s="80"/>
      <c r="S13" s="50" t="s">
        <v>74</v>
      </c>
      <c r="T13" s="51">
        <v>990000.0</v>
      </c>
      <c r="U13" s="28"/>
      <c r="V13" s="48"/>
      <c r="W13" s="26"/>
      <c r="X13" s="59"/>
      <c r="Y13" s="67"/>
      <c r="Z13" s="4"/>
      <c r="AA13" s="4"/>
      <c r="AB13" s="4"/>
      <c r="AC13" s="4"/>
      <c r="AD13" s="4"/>
      <c r="AE13" s="4"/>
    </row>
    <row r="14">
      <c r="A14" s="41">
        <v>10.0</v>
      </c>
      <c r="B14" s="42">
        <v>5.0</v>
      </c>
      <c r="C14" s="84"/>
      <c r="D14" s="28"/>
      <c r="E14" s="43">
        <v>3.0</v>
      </c>
      <c r="F14" s="62" t="s">
        <v>61</v>
      </c>
      <c r="G14" s="68" t="s">
        <v>44</v>
      </c>
      <c r="H14" s="68" t="s">
        <v>90</v>
      </c>
      <c r="I14" s="69" t="s">
        <v>91</v>
      </c>
      <c r="J14" s="70"/>
      <c r="K14" s="75" t="s">
        <v>47</v>
      </c>
      <c r="L14" s="76">
        <v>27228.0</v>
      </c>
      <c r="M14" s="68" t="s">
        <v>92</v>
      </c>
      <c r="N14" s="77">
        <v>45630.0</v>
      </c>
      <c r="O14" s="77">
        <v>49282.0</v>
      </c>
      <c r="P14" s="28"/>
      <c r="Q14" s="57"/>
      <c r="R14" s="80"/>
      <c r="S14" s="50" t="s">
        <v>74</v>
      </c>
      <c r="T14" s="51">
        <v>990000.0</v>
      </c>
      <c r="U14" s="28"/>
      <c r="V14" s="57"/>
      <c r="W14" s="26"/>
      <c r="X14" s="59"/>
      <c r="Y14" s="67"/>
      <c r="Z14" s="4"/>
      <c r="AA14" s="4"/>
      <c r="AB14" s="4"/>
      <c r="AC14" s="4"/>
      <c r="AD14" s="4"/>
      <c r="AE14" s="4"/>
    </row>
    <row r="15">
      <c r="A15" s="41">
        <v>11.0</v>
      </c>
      <c r="B15" s="39"/>
      <c r="C15" s="39"/>
      <c r="D15" s="39"/>
      <c r="E15" s="43">
        <v>3.0</v>
      </c>
      <c r="F15" s="39"/>
      <c r="G15" s="68" t="s">
        <v>93</v>
      </c>
      <c r="H15" s="68" t="s">
        <v>94</v>
      </c>
      <c r="I15" s="69" t="s">
        <v>95</v>
      </c>
      <c r="J15" s="70"/>
      <c r="K15" s="75" t="s">
        <v>57</v>
      </c>
      <c r="L15" s="76">
        <v>28262.0</v>
      </c>
      <c r="M15" s="68" t="s">
        <v>96</v>
      </c>
      <c r="N15" s="77">
        <v>45649.0</v>
      </c>
      <c r="O15" s="77">
        <v>49301.0</v>
      </c>
      <c r="P15" s="39"/>
      <c r="Q15" s="57"/>
      <c r="R15" s="56"/>
      <c r="S15" s="50" t="s">
        <v>74</v>
      </c>
      <c r="T15" s="51">
        <v>990000.0</v>
      </c>
      <c r="U15" s="39"/>
      <c r="V15" s="57"/>
      <c r="W15" s="58"/>
      <c r="X15" s="59"/>
      <c r="Y15" s="67"/>
      <c r="Z15" s="4"/>
      <c r="AA15" s="4"/>
      <c r="AB15" s="4"/>
      <c r="AC15" s="4"/>
      <c r="AD15" s="4"/>
      <c r="AE15" s="4"/>
    </row>
    <row r="16">
      <c r="A16" s="41">
        <v>12.0</v>
      </c>
      <c r="B16" s="42">
        <v>6.0</v>
      </c>
      <c r="C16" s="84"/>
      <c r="D16" s="42">
        <v>4.0</v>
      </c>
      <c r="E16" s="43">
        <v>1.0</v>
      </c>
      <c r="F16" s="44" t="s">
        <v>43</v>
      </c>
      <c r="G16" s="45" t="s">
        <v>97</v>
      </c>
      <c r="H16" s="45" t="s">
        <v>98</v>
      </c>
      <c r="I16" s="43" t="s">
        <v>99</v>
      </c>
      <c r="J16" s="70"/>
      <c r="K16" s="46" t="s">
        <v>47</v>
      </c>
      <c r="L16" s="47">
        <v>21488.0</v>
      </c>
      <c r="M16" s="45" t="s">
        <v>100</v>
      </c>
      <c r="N16" s="47">
        <v>43724.0</v>
      </c>
      <c r="O16" s="47">
        <v>47377.0</v>
      </c>
      <c r="P16" s="43" t="s">
        <v>101</v>
      </c>
      <c r="Q16" s="57"/>
      <c r="R16" s="49">
        <v>45992.0</v>
      </c>
      <c r="S16" s="50" t="s">
        <v>102</v>
      </c>
      <c r="T16" s="51">
        <v>1290000.0</v>
      </c>
      <c r="U16" s="42" t="s">
        <v>103</v>
      </c>
      <c r="V16" s="57"/>
      <c r="W16" s="85"/>
      <c r="X16" s="59"/>
      <c r="Y16" s="55" t="s">
        <v>104</v>
      </c>
      <c r="Z16" s="4"/>
      <c r="AA16" s="4"/>
      <c r="AB16" s="4"/>
      <c r="AC16" s="4"/>
      <c r="AD16" s="4"/>
      <c r="AE16" s="4"/>
    </row>
    <row r="17">
      <c r="A17" s="41">
        <v>13.0</v>
      </c>
      <c r="B17" s="39"/>
      <c r="C17" s="39"/>
      <c r="D17" s="28"/>
      <c r="E17" s="43">
        <v>1.0</v>
      </c>
      <c r="F17" s="39"/>
      <c r="G17" s="45" t="s">
        <v>44</v>
      </c>
      <c r="H17" s="45" t="s">
        <v>105</v>
      </c>
      <c r="I17" s="43" t="s">
        <v>106</v>
      </c>
      <c r="J17" s="70"/>
      <c r="K17" s="46" t="s">
        <v>47</v>
      </c>
      <c r="L17" s="47">
        <v>21777.0</v>
      </c>
      <c r="M17" s="45" t="s">
        <v>107</v>
      </c>
      <c r="N17" s="47">
        <v>43599.0</v>
      </c>
      <c r="O17" s="47">
        <v>47252.0</v>
      </c>
      <c r="P17" s="43" t="s">
        <v>108</v>
      </c>
      <c r="Q17" s="57"/>
      <c r="R17" s="80"/>
      <c r="S17" s="50" t="s">
        <v>102</v>
      </c>
      <c r="T17" s="51">
        <v>1290000.0</v>
      </c>
      <c r="U17" s="28"/>
      <c r="V17" s="57"/>
      <c r="W17" s="26"/>
      <c r="X17" s="59"/>
      <c r="Y17" s="55" t="s">
        <v>109</v>
      </c>
      <c r="Z17" s="4"/>
      <c r="AA17" s="4"/>
      <c r="AB17" s="4"/>
      <c r="AC17" s="4"/>
      <c r="AD17" s="4"/>
      <c r="AE17" s="4"/>
    </row>
    <row r="18">
      <c r="A18" s="41">
        <v>14.0</v>
      </c>
      <c r="B18" s="42">
        <v>7.0</v>
      </c>
      <c r="C18" s="84"/>
      <c r="D18" s="28"/>
      <c r="E18" s="43">
        <v>2.0</v>
      </c>
      <c r="F18" s="73" t="s">
        <v>69</v>
      </c>
      <c r="G18" s="45" t="s">
        <v>44</v>
      </c>
      <c r="H18" s="45" t="s">
        <v>110</v>
      </c>
      <c r="I18" s="43" t="s">
        <v>111</v>
      </c>
      <c r="J18" s="70"/>
      <c r="K18" s="46" t="s">
        <v>47</v>
      </c>
      <c r="L18" s="47">
        <v>20861.0</v>
      </c>
      <c r="M18" s="45" t="s">
        <v>112</v>
      </c>
      <c r="N18" s="47">
        <v>42983.0</v>
      </c>
      <c r="O18" s="47">
        <v>46635.0</v>
      </c>
      <c r="P18" s="43" t="s">
        <v>113</v>
      </c>
      <c r="Q18" s="57"/>
      <c r="R18" s="80"/>
      <c r="S18" s="50" t="s">
        <v>102</v>
      </c>
      <c r="T18" s="51">
        <v>1290000.0</v>
      </c>
      <c r="U18" s="28"/>
      <c r="V18" s="57"/>
      <c r="W18" s="26"/>
      <c r="X18" s="59"/>
      <c r="Y18" s="55" t="s">
        <v>114</v>
      </c>
      <c r="Z18" s="4"/>
      <c r="AA18" s="4"/>
      <c r="AB18" s="4"/>
      <c r="AC18" s="4"/>
      <c r="AD18" s="4"/>
      <c r="AE18" s="4"/>
    </row>
    <row r="19">
      <c r="A19" s="41">
        <v>15.0</v>
      </c>
      <c r="B19" s="28"/>
      <c r="C19" s="28"/>
      <c r="D19" s="28"/>
      <c r="E19" s="43">
        <v>2.0</v>
      </c>
      <c r="F19" s="28"/>
      <c r="G19" s="45" t="s">
        <v>115</v>
      </c>
      <c r="H19" s="45" t="s">
        <v>116</v>
      </c>
      <c r="I19" s="43" t="s">
        <v>117</v>
      </c>
      <c r="J19" s="70"/>
      <c r="K19" s="46" t="s">
        <v>47</v>
      </c>
      <c r="L19" s="47">
        <v>21068.0</v>
      </c>
      <c r="M19" s="45" t="s">
        <v>118</v>
      </c>
      <c r="N19" s="47">
        <v>42901.0</v>
      </c>
      <c r="O19" s="47">
        <v>46553.0</v>
      </c>
      <c r="P19" s="43" t="s">
        <v>119</v>
      </c>
      <c r="Q19" s="57"/>
      <c r="R19" s="80"/>
      <c r="S19" s="50" t="s">
        <v>102</v>
      </c>
      <c r="T19" s="51">
        <v>1290000.0</v>
      </c>
      <c r="U19" s="28"/>
      <c r="V19" s="57"/>
      <c r="W19" s="26"/>
      <c r="X19" s="59"/>
      <c r="Y19" s="86" t="s">
        <v>120</v>
      </c>
      <c r="Z19" s="4"/>
      <c r="AA19" s="4"/>
      <c r="AB19" s="4"/>
      <c r="AC19" s="4"/>
      <c r="AD19" s="4"/>
      <c r="AE19" s="4"/>
    </row>
    <row r="20">
      <c r="A20" s="41">
        <v>16.0</v>
      </c>
      <c r="B20" s="39"/>
      <c r="C20" s="39"/>
      <c r="D20" s="39"/>
      <c r="E20" s="43">
        <v>2.0</v>
      </c>
      <c r="F20" s="39"/>
      <c r="G20" s="45" t="s">
        <v>121</v>
      </c>
      <c r="H20" s="45" t="s">
        <v>122</v>
      </c>
      <c r="I20" s="43" t="s">
        <v>123</v>
      </c>
      <c r="J20" s="70"/>
      <c r="K20" s="46" t="s">
        <v>47</v>
      </c>
      <c r="L20" s="47">
        <v>22134.0</v>
      </c>
      <c r="M20" s="45" t="s">
        <v>124</v>
      </c>
      <c r="N20" s="47">
        <v>43599.0</v>
      </c>
      <c r="O20" s="47">
        <v>47252.0</v>
      </c>
      <c r="P20" s="43" t="s">
        <v>125</v>
      </c>
      <c r="Q20" s="57"/>
      <c r="R20" s="56"/>
      <c r="S20" s="50" t="s">
        <v>102</v>
      </c>
      <c r="T20" s="51">
        <v>645000.0</v>
      </c>
      <c r="U20" s="39"/>
      <c r="V20" s="57"/>
      <c r="W20" s="58"/>
      <c r="X20" s="59"/>
      <c r="Y20" s="86" t="s">
        <v>126</v>
      </c>
      <c r="Z20" s="4"/>
      <c r="AA20" s="4"/>
      <c r="AB20" s="4"/>
      <c r="AC20" s="4"/>
      <c r="AD20" s="4"/>
      <c r="AE20" s="4"/>
    </row>
    <row r="21">
      <c r="A21" s="41">
        <v>17.0</v>
      </c>
      <c r="B21" s="42">
        <v>8.0</v>
      </c>
      <c r="C21" s="84"/>
      <c r="D21" s="42">
        <v>5.0</v>
      </c>
      <c r="E21" s="43">
        <v>1.0</v>
      </c>
      <c r="F21" s="73" t="s">
        <v>69</v>
      </c>
      <c r="G21" s="45" t="s">
        <v>127</v>
      </c>
      <c r="H21" s="45" t="s">
        <v>128</v>
      </c>
      <c r="I21" s="43" t="s">
        <v>129</v>
      </c>
      <c r="J21" s="87"/>
      <c r="K21" s="46" t="s">
        <v>47</v>
      </c>
      <c r="L21" s="47">
        <v>30671.0</v>
      </c>
      <c r="M21" s="45" t="s">
        <v>130</v>
      </c>
      <c r="N21" s="47">
        <v>44969.0</v>
      </c>
      <c r="O21" s="47">
        <v>48622.0</v>
      </c>
      <c r="P21" s="43" t="s">
        <v>131</v>
      </c>
      <c r="Q21" s="57"/>
      <c r="R21" s="49">
        <v>45993.0</v>
      </c>
      <c r="S21" s="50" t="s">
        <v>132</v>
      </c>
      <c r="T21" s="51">
        <v>1290000.0</v>
      </c>
      <c r="U21" s="42" t="s">
        <v>103</v>
      </c>
      <c r="V21" s="57"/>
      <c r="W21" s="85"/>
      <c r="X21" s="59"/>
      <c r="Y21" s="55" t="s">
        <v>133</v>
      </c>
      <c r="Z21" s="4"/>
      <c r="AA21" s="4"/>
      <c r="AB21" s="4"/>
      <c r="AC21" s="4"/>
      <c r="AD21" s="4"/>
      <c r="AE21" s="4"/>
    </row>
    <row r="22">
      <c r="A22" s="41">
        <v>18.0</v>
      </c>
      <c r="B22" s="28"/>
      <c r="C22" s="28"/>
      <c r="D22" s="28"/>
      <c r="E22" s="43">
        <v>1.0</v>
      </c>
      <c r="F22" s="28"/>
      <c r="G22" s="45" t="s">
        <v>134</v>
      </c>
      <c r="H22" s="45" t="s">
        <v>135</v>
      </c>
      <c r="I22" s="43" t="s">
        <v>136</v>
      </c>
      <c r="J22" s="87"/>
      <c r="K22" s="46" t="s">
        <v>47</v>
      </c>
      <c r="L22" s="47">
        <v>30575.0</v>
      </c>
      <c r="M22" s="45" t="s">
        <v>137</v>
      </c>
      <c r="N22" s="47">
        <v>44964.0</v>
      </c>
      <c r="O22" s="47">
        <v>48617.0</v>
      </c>
      <c r="P22" s="43" t="s">
        <v>138</v>
      </c>
      <c r="Q22" s="57"/>
      <c r="R22" s="80"/>
      <c r="S22" s="50" t="s">
        <v>132</v>
      </c>
      <c r="T22" s="51">
        <v>1290000.0</v>
      </c>
      <c r="U22" s="28"/>
      <c r="V22" s="57"/>
      <c r="W22" s="26"/>
      <c r="X22" s="59"/>
      <c r="Y22" s="55" t="s">
        <v>139</v>
      </c>
      <c r="Z22" s="4"/>
      <c r="AA22" s="4"/>
      <c r="AB22" s="4"/>
      <c r="AC22" s="4"/>
      <c r="AD22" s="4"/>
      <c r="AE22" s="4"/>
    </row>
    <row r="23">
      <c r="A23" s="41">
        <v>19.0</v>
      </c>
      <c r="B23" s="39"/>
      <c r="C23" s="39"/>
      <c r="D23" s="39"/>
      <c r="E23" s="43">
        <v>1.0</v>
      </c>
      <c r="F23" s="39"/>
      <c r="G23" s="45" t="s">
        <v>31</v>
      </c>
      <c r="H23" s="45" t="s">
        <v>140</v>
      </c>
      <c r="I23" s="43" t="s">
        <v>141</v>
      </c>
      <c r="J23" s="68"/>
      <c r="K23" s="46" t="s">
        <v>47</v>
      </c>
      <c r="L23" s="47">
        <v>30513.0</v>
      </c>
      <c r="M23" s="45" t="s">
        <v>142</v>
      </c>
      <c r="N23" s="47">
        <v>46013.0</v>
      </c>
      <c r="O23" s="47">
        <v>49665.0</v>
      </c>
      <c r="P23" s="43" t="s">
        <v>143</v>
      </c>
      <c r="Q23" s="57"/>
      <c r="R23" s="56"/>
      <c r="S23" s="50" t="s">
        <v>132</v>
      </c>
      <c r="T23" s="51">
        <v>645000.0</v>
      </c>
      <c r="U23" s="39"/>
      <c r="V23" s="57"/>
      <c r="W23" s="58"/>
      <c r="X23" s="59"/>
      <c r="Y23" s="55" t="s">
        <v>144</v>
      </c>
      <c r="Z23" s="4"/>
      <c r="AA23" s="4"/>
      <c r="AB23" s="4"/>
      <c r="AC23" s="4"/>
      <c r="AD23" s="4"/>
      <c r="AE23" s="4"/>
    </row>
    <row r="24">
      <c r="A24" s="60">
        <v>20.0</v>
      </c>
      <c r="B24" s="42">
        <v>9.0</v>
      </c>
      <c r="C24" s="84"/>
      <c r="D24" s="42">
        <v>6.0</v>
      </c>
      <c r="E24" s="43">
        <v>1.0</v>
      </c>
      <c r="F24" s="73" t="s">
        <v>69</v>
      </c>
      <c r="G24" s="45" t="s">
        <v>121</v>
      </c>
      <c r="H24" s="45" t="s">
        <v>145</v>
      </c>
      <c r="I24" s="43" t="s">
        <v>146</v>
      </c>
      <c r="J24" s="68"/>
      <c r="K24" s="46" t="s">
        <v>57</v>
      </c>
      <c r="L24" s="47">
        <v>23248.0</v>
      </c>
      <c r="M24" s="45" t="s">
        <v>147</v>
      </c>
      <c r="N24" s="88">
        <v>45404.0</v>
      </c>
      <c r="O24" s="88">
        <v>49056.0</v>
      </c>
      <c r="P24" s="68"/>
      <c r="Q24" s="57"/>
      <c r="R24" s="49">
        <v>45993.0</v>
      </c>
      <c r="S24" s="50" t="s">
        <v>102</v>
      </c>
      <c r="T24" s="89">
        <v>3225000.0</v>
      </c>
      <c r="U24" s="42" t="s">
        <v>148</v>
      </c>
      <c r="V24" s="57"/>
      <c r="W24" s="85"/>
      <c r="X24" s="59"/>
      <c r="Y24" s="67"/>
      <c r="Z24" s="4"/>
      <c r="AA24" s="4"/>
      <c r="AB24" s="4"/>
      <c r="AC24" s="4"/>
      <c r="AD24" s="4"/>
      <c r="AE24" s="4"/>
    </row>
    <row r="25">
      <c r="A25" s="60">
        <v>21.0</v>
      </c>
      <c r="B25" s="28"/>
      <c r="C25" s="28"/>
      <c r="D25" s="28"/>
      <c r="E25" s="43">
        <v>1.0</v>
      </c>
      <c r="F25" s="28"/>
      <c r="G25" s="43" t="s">
        <v>149</v>
      </c>
      <c r="H25" s="43" t="s">
        <v>150</v>
      </c>
      <c r="I25" s="43" t="s">
        <v>151</v>
      </c>
      <c r="J25" s="68"/>
      <c r="K25" s="46" t="s">
        <v>47</v>
      </c>
      <c r="L25" s="47">
        <v>24126.0</v>
      </c>
      <c r="M25" s="45" t="s">
        <v>152</v>
      </c>
      <c r="N25" s="47">
        <v>43875.0</v>
      </c>
      <c r="O25" s="47">
        <v>47528.0</v>
      </c>
      <c r="P25" s="69"/>
      <c r="Q25" s="57"/>
      <c r="R25" s="80"/>
      <c r="S25" s="50" t="s">
        <v>102</v>
      </c>
      <c r="T25" s="28"/>
      <c r="U25" s="28"/>
      <c r="V25" s="57"/>
      <c r="W25" s="26"/>
      <c r="X25" s="59"/>
      <c r="Y25" s="67"/>
      <c r="Z25" s="4"/>
      <c r="AA25" s="4"/>
      <c r="AB25" s="4"/>
      <c r="AC25" s="4"/>
      <c r="AD25" s="4"/>
      <c r="AE25" s="4"/>
    </row>
    <row r="26">
      <c r="A26" s="60">
        <v>22.0</v>
      </c>
      <c r="B26" s="39"/>
      <c r="C26" s="39"/>
      <c r="D26" s="39"/>
      <c r="E26" s="43">
        <v>1.0</v>
      </c>
      <c r="F26" s="39"/>
      <c r="G26" s="43" t="s">
        <v>121</v>
      </c>
      <c r="H26" s="43" t="s">
        <v>153</v>
      </c>
      <c r="I26" s="43" t="s">
        <v>154</v>
      </c>
      <c r="J26" s="69"/>
      <c r="K26" s="46"/>
      <c r="L26" s="47">
        <v>24310.0</v>
      </c>
      <c r="M26" s="43" t="s">
        <v>155</v>
      </c>
      <c r="N26" s="47">
        <v>45407.0</v>
      </c>
      <c r="O26" s="47">
        <v>49059.0</v>
      </c>
      <c r="P26" s="69"/>
      <c r="Q26" s="57"/>
      <c r="R26" s="56"/>
      <c r="S26" s="50" t="s">
        <v>102</v>
      </c>
      <c r="T26" s="39"/>
      <c r="U26" s="39"/>
      <c r="V26" s="57"/>
      <c r="W26" s="58"/>
      <c r="X26" s="59"/>
      <c r="Y26" s="67"/>
      <c r="Z26" s="4"/>
      <c r="AA26" s="4"/>
      <c r="AB26" s="4"/>
      <c r="AC26" s="4"/>
      <c r="AD26" s="4"/>
      <c r="AE26" s="4"/>
    </row>
    <row r="27">
      <c r="A27" s="41">
        <v>23.0</v>
      </c>
      <c r="B27" s="42">
        <v>10.0</v>
      </c>
      <c r="C27" s="84"/>
      <c r="D27" s="42">
        <v>7.0</v>
      </c>
      <c r="E27" s="43">
        <v>1.0</v>
      </c>
      <c r="F27" s="44" t="s">
        <v>43</v>
      </c>
      <c r="G27" s="69" t="s">
        <v>31</v>
      </c>
      <c r="H27" s="69" t="s">
        <v>78</v>
      </c>
      <c r="I27" s="74" t="s">
        <v>156</v>
      </c>
      <c r="J27" s="69"/>
      <c r="K27" s="90" t="s">
        <v>47</v>
      </c>
      <c r="L27" s="91">
        <v>25672.0</v>
      </c>
      <c r="M27" s="69" t="s">
        <v>157</v>
      </c>
      <c r="N27" s="77">
        <v>42844.0</v>
      </c>
      <c r="O27" s="77">
        <v>46496.0</v>
      </c>
      <c r="P27" s="43" t="s">
        <v>158</v>
      </c>
      <c r="Q27" s="57"/>
      <c r="R27" s="49">
        <v>45994.0</v>
      </c>
      <c r="S27" s="50" t="s">
        <v>132</v>
      </c>
      <c r="T27" s="89">
        <v>2580000.0</v>
      </c>
      <c r="U27" s="42" t="s">
        <v>75</v>
      </c>
      <c r="V27" s="57"/>
      <c r="W27" s="85"/>
      <c r="X27" s="59"/>
      <c r="Y27" s="67"/>
      <c r="Z27" s="4"/>
      <c r="AA27" s="4"/>
      <c r="AB27" s="4"/>
      <c r="AC27" s="4"/>
      <c r="AD27" s="4"/>
      <c r="AE27" s="4"/>
    </row>
    <row r="28">
      <c r="A28" s="41">
        <v>24.0</v>
      </c>
      <c r="B28" s="39"/>
      <c r="C28" s="39"/>
      <c r="D28" s="39"/>
      <c r="E28" s="43">
        <v>1.0</v>
      </c>
      <c r="F28" s="39"/>
      <c r="G28" s="69" t="s">
        <v>159</v>
      </c>
      <c r="H28" s="69" t="s">
        <v>160</v>
      </c>
      <c r="I28" s="74" t="s">
        <v>161</v>
      </c>
      <c r="J28" s="68"/>
      <c r="K28" s="90" t="s">
        <v>57</v>
      </c>
      <c r="L28" s="91">
        <v>26196.0</v>
      </c>
      <c r="M28" s="68" t="s">
        <v>162</v>
      </c>
      <c r="N28" s="77">
        <v>45323.0</v>
      </c>
      <c r="O28" s="77">
        <v>48976.0</v>
      </c>
      <c r="P28" s="43" t="s">
        <v>163</v>
      </c>
      <c r="Q28" s="57"/>
      <c r="R28" s="56"/>
      <c r="S28" s="50" t="s">
        <v>132</v>
      </c>
      <c r="T28" s="39"/>
      <c r="U28" s="39"/>
      <c r="V28" s="57"/>
      <c r="W28" s="58"/>
      <c r="X28" s="59"/>
      <c r="Y28" s="67"/>
      <c r="Z28" s="4"/>
      <c r="AA28" s="4"/>
      <c r="AB28" s="4"/>
      <c r="AC28" s="4"/>
      <c r="AD28" s="4"/>
      <c r="AE28" s="4"/>
    </row>
    <row r="29">
      <c r="A29" s="41">
        <v>25.0</v>
      </c>
      <c r="B29" s="42">
        <v>11.0</v>
      </c>
      <c r="C29" s="84"/>
      <c r="D29" s="42">
        <v>8.0</v>
      </c>
      <c r="E29" s="43">
        <v>1.0</v>
      </c>
      <c r="F29" s="92" t="s">
        <v>164</v>
      </c>
      <c r="G29" s="69" t="s">
        <v>165</v>
      </c>
      <c r="H29" s="69" t="s">
        <v>166</v>
      </c>
      <c r="I29" s="74" t="s">
        <v>167</v>
      </c>
      <c r="J29" s="68"/>
      <c r="K29" s="90" t="s">
        <v>47</v>
      </c>
      <c r="L29" s="91">
        <v>27737.0</v>
      </c>
      <c r="M29" s="68" t="s">
        <v>168</v>
      </c>
      <c r="N29" s="77">
        <v>44840.0</v>
      </c>
      <c r="O29" s="77">
        <v>48493.0</v>
      </c>
      <c r="P29" s="43" t="s">
        <v>169</v>
      </c>
      <c r="Q29" s="57"/>
      <c r="R29" s="49">
        <v>45994.0</v>
      </c>
      <c r="S29" s="50" t="s">
        <v>132</v>
      </c>
      <c r="T29" s="51">
        <v>1290000.0</v>
      </c>
      <c r="U29" s="42" t="s">
        <v>75</v>
      </c>
      <c r="V29" s="57"/>
      <c r="W29" s="85"/>
      <c r="X29" s="59"/>
      <c r="Y29" s="67"/>
      <c r="Z29" s="4"/>
      <c r="AA29" s="4"/>
      <c r="AB29" s="4"/>
      <c r="AC29" s="4"/>
      <c r="AD29" s="4"/>
      <c r="AE29" s="4"/>
    </row>
    <row r="30">
      <c r="A30" s="41">
        <v>26.0</v>
      </c>
      <c r="B30" s="28"/>
      <c r="C30" s="28"/>
      <c r="D30" s="28"/>
      <c r="E30" s="43">
        <v>1.0</v>
      </c>
      <c r="F30" s="28"/>
      <c r="G30" s="69" t="s">
        <v>170</v>
      </c>
      <c r="H30" s="69" t="s">
        <v>171</v>
      </c>
      <c r="I30" s="74" t="s">
        <v>172</v>
      </c>
      <c r="J30" s="68"/>
      <c r="K30" s="90" t="s">
        <v>57</v>
      </c>
      <c r="L30" s="91">
        <v>28885.0</v>
      </c>
      <c r="M30" s="68" t="s">
        <v>173</v>
      </c>
      <c r="N30" s="77">
        <v>45575.0</v>
      </c>
      <c r="O30" s="77">
        <v>49227.0</v>
      </c>
      <c r="P30" s="43" t="s">
        <v>163</v>
      </c>
      <c r="Q30" s="57"/>
      <c r="R30" s="80"/>
      <c r="S30" s="50" t="s">
        <v>132</v>
      </c>
      <c r="T30" s="51">
        <v>1290000.0</v>
      </c>
      <c r="U30" s="28"/>
      <c r="V30" s="57"/>
      <c r="W30" s="26"/>
      <c r="X30" s="59"/>
      <c r="Y30" s="67"/>
      <c r="Z30" s="4"/>
      <c r="AA30" s="4"/>
      <c r="AB30" s="4"/>
      <c r="AC30" s="4"/>
      <c r="AD30" s="4"/>
      <c r="AE30" s="4"/>
    </row>
    <row r="31">
      <c r="A31" s="41">
        <v>27.0</v>
      </c>
      <c r="B31" s="28"/>
      <c r="C31" s="28"/>
      <c r="D31" s="28"/>
      <c r="E31" s="43">
        <v>1.0</v>
      </c>
      <c r="F31" s="28"/>
      <c r="G31" s="68" t="s">
        <v>165</v>
      </c>
      <c r="H31" s="68" t="s">
        <v>174</v>
      </c>
      <c r="I31" s="74" t="s">
        <v>175</v>
      </c>
      <c r="J31" s="68"/>
      <c r="K31" s="90" t="s">
        <v>57</v>
      </c>
      <c r="L31" s="91">
        <v>40850.0</v>
      </c>
      <c r="M31" s="68" t="s">
        <v>176</v>
      </c>
      <c r="N31" s="77">
        <v>45575.0</v>
      </c>
      <c r="O31" s="77">
        <v>47401.0</v>
      </c>
      <c r="P31" s="43" t="s">
        <v>163</v>
      </c>
      <c r="Q31" s="57"/>
      <c r="R31" s="80"/>
      <c r="S31" s="50" t="s">
        <v>132</v>
      </c>
      <c r="T31" s="51">
        <v>200000.0</v>
      </c>
      <c r="U31" s="28"/>
      <c r="V31" s="57"/>
      <c r="W31" s="26"/>
      <c r="X31" s="59"/>
      <c r="Y31" s="67"/>
      <c r="Z31" s="4"/>
      <c r="AA31" s="4"/>
      <c r="AB31" s="4"/>
      <c r="AC31" s="4"/>
      <c r="AD31" s="4"/>
      <c r="AE31" s="4"/>
    </row>
    <row r="32">
      <c r="A32" s="41">
        <v>28.0</v>
      </c>
      <c r="B32" s="39"/>
      <c r="C32" s="39"/>
      <c r="D32" s="39"/>
      <c r="E32" s="43">
        <v>1.0</v>
      </c>
      <c r="F32" s="39"/>
      <c r="G32" s="68" t="s">
        <v>165</v>
      </c>
      <c r="H32" s="68" t="s">
        <v>177</v>
      </c>
      <c r="I32" s="74" t="s">
        <v>178</v>
      </c>
      <c r="J32" s="68"/>
      <c r="K32" s="90" t="s">
        <v>57</v>
      </c>
      <c r="L32" s="91">
        <v>42282.0</v>
      </c>
      <c r="M32" s="68" t="s">
        <v>179</v>
      </c>
      <c r="N32" s="77">
        <v>45575.0</v>
      </c>
      <c r="O32" s="77">
        <v>47401.0</v>
      </c>
      <c r="P32" s="43" t="s">
        <v>163</v>
      </c>
      <c r="Q32" s="57"/>
      <c r="R32" s="56"/>
      <c r="S32" s="50" t="s">
        <v>132</v>
      </c>
      <c r="T32" s="51">
        <v>200000.0</v>
      </c>
      <c r="U32" s="39"/>
      <c r="V32" s="57"/>
      <c r="W32" s="58"/>
      <c r="X32" s="59"/>
      <c r="Y32" s="67"/>
      <c r="Z32" s="4"/>
      <c r="AA32" s="4"/>
      <c r="AB32" s="4"/>
      <c r="AC32" s="4"/>
      <c r="AD32" s="4"/>
      <c r="AE32" s="4"/>
    </row>
    <row r="33">
      <c r="A33" s="41">
        <v>29.0</v>
      </c>
      <c r="B33" s="42">
        <v>12.0</v>
      </c>
      <c r="C33" s="84"/>
      <c r="D33" s="42">
        <v>9.0</v>
      </c>
      <c r="E33" s="43">
        <v>1.0</v>
      </c>
      <c r="F33" s="92" t="s">
        <v>164</v>
      </c>
      <c r="G33" s="45" t="s">
        <v>115</v>
      </c>
      <c r="H33" s="45" t="s">
        <v>180</v>
      </c>
      <c r="I33" s="43" t="s">
        <v>181</v>
      </c>
      <c r="J33" s="68"/>
      <c r="K33" s="46" t="s">
        <v>47</v>
      </c>
      <c r="L33" s="47">
        <v>31122.0</v>
      </c>
      <c r="M33" s="45" t="s">
        <v>182</v>
      </c>
      <c r="N33" s="47">
        <v>45639.0</v>
      </c>
      <c r="O33" s="47">
        <v>49291.0</v>
      </c>
      <c r="P33" s="43" t="s">
        <v>183</v>
      </c>
      <c r="Q33" s="57"/>
      <c r="R33" s="49">
        <v>45994.0</v>
      </c>
      <c r="S33" s="50" t="s">
        <v>184</v>
      </c>
      <c r="T33" s="51">
        <v>1290000.0</v>
      </c>
      <c r="U33" s="42" t="s">
        <v>51</v>
      </c>
      <c r="V33" s="57"/>
      <c r="W33" s="93" t="s">
        <v>185</v>
      </c>
      <c r="X33" s="94" t="s">
        <v>186</v>
      </c>
      <c r="Y33" s="55" t="s">
        <v>187</v>
      </c>
      <c r="Z33" s="4"/>
      <c r="AA33" s="4"/>
      <c r="AB33" s="4"/>
      <c r="AC33" s="4"/>
      <c r="AD33" s="4"/>
      <c r="AE33" s="4"/>
    </row>
    <row r="34">
      <c r="A34" s="41">
        <v>30.0</v>
      </c>
      <c r="B34" s="28"/>
      <c r="C34" s="28"/>
      <c r="D34" s="28"/>
      <c r="E34" s="43">
        <v>1.0</v>
      </c>
      <c r="F34" s="28"/>
      <c r="G34" s="45" t="s">
        <v>134</v>
      </c>
      <c r="H34" s="45" t="s">
        <v>188</v>
      </c>
      <c r="I34" s="45" t="s">
        <v>189</v>
      </c>
      <c r="J34" s="68"/>
      <c r="K34" s="46" t="s">
        <v>57</v>
      </c>
      <c r="L34" s="47">
        <v>18556.0</v>
      </c>
      <c r="M34" s="45" t="s">
        <v>190</v>
      </c>
      <c r="N34" s="47">
        <v>43718.0</v>
      </c>
      <c r="O34" s="47">
        <v>47371.0</v>
      </c>
      <c r="P34" s="43" t="s">
        <v>191</v>
      </c>
      <c r="Q34" s="57"/>
      <c r="R34" s="80"/>
      <c r="S34" s="50" t="s">
        <v>184</v>
      </c>
      <c r="T34" s="51">
        <v>1290000.0</v>
      </c>
      <c r="U34" s="28"/>
      <c r="V34" s="57"/>
      <c r="W34" s="26"/>
      <c r="X34" s="59"/>
      <c r="Y34" s="55" t="s">
        <v>192</v>
      </c>
      <c r="Z34" s="4"/>
      <c r="AA34" s="4"/>
      <c r="AB34" s="4"/>
      <c r="AC34" s="4"/>
      <c r="AD34" s="4"/>
      <c r="AE34" s="4"/>
    </row>
    <row r="35">
      <c r="A35" s="41">
        <v>31.0</v>
      </c>
      <c r="B35" s="28"/>
      <c r="C35" s="28"/>
      <c r="D35" s="28"/>
      <c r="E35" s="43">
        <v>1.0</v>
      </c>
      <c r="F35" s="28"/>
      <c r="G35" s="45" t="s">
        <v>115</v>
      </c>
      <c r="H35" s="45" t="s">
        <v>193</v>
      </c>
      <c r="I35" s="45" t="s">
        <v>194</v>
      </c>
      <c r="J35" s="68"/>
      <c r="K35" s="46" t="s">
        <v>47</v>
      </c>
      <c r="L35" s="47">
        <v>43223.0</v>
      </c>
      <c r="M35" s="45" t="s">
        <v>195</v>
      </c>
      <c r="N35" s="47">
        <v>45040.0</v>
      </c>
      <c r="O35" s="47">
        <v>46867.0</v>
      </c>
      <c r="P35" s="43" t="s">
        <v>196</v>
      </c>
      <c r="Q35" s="57"/>
      <c r="R35" s="80"/>
      <c r="S35" s="50" t="s">
        <v>184</v>
      </c>
      <c r="T35" s="51">
        <v>200000.0</v>
      </c>
      <c r="U35" s="28"/>
      <c r="V35" s="57"/>
      <c r="W35" s="26"/>
      <c r="X35" s="59"/>
      <c r="Y35" s="55" t="s">
        <v>197</v>
      </c>
      <c r="Z35" s="4"/>
      <c r="AA35" s="4"/>
      <c r="AB35" s="4"/>
      <c r="AC35" s="4"/>
      <c r="AD35" s="4"/>
      <c r="AE35" s="4"/>
    </row>
    <row r="36">
      <c r="A36" s="41">
        <v>32.0</v>
      </c>
      <c r="B36" s="39"/>
      <c r="C36" s="39"/>
      <c r="D36" s="28"/>
      <c r="E36" s="43">
        <v>1.0</v>
      </c>
      <c r="F36" s="39"/>
      <c r="G36" s="45" t="s">
        <v>115</v>
      </c>
      <c r="H36" s="45" t="s">
        <v>198</v>
      </c>
      <c r="I36" s="45" t="s">
        <v>199</v>
      </c>
      <c r="J36" s="68"/>
      <c r="K36" s="46" t="s">
        <v>47</v>
      </c>
      <c r="L36" s="47">
        <v>42563.0</v>
      </c>
      <c r="M36" s="45" t="s">
        <v>200</v>
      </c>
      <c r="N36" s="47">
        <v>45040.0</v>
      </c>
      <c r="O36" s="47">
        <v>46867.0</v>
      </c>
      <c r="P36" s="43" t="s">
        <v>201</v>
      </c>
      <c r="Q36" s="57"/>
      <c r="R36" s="80"/>
      <c r="S36" s="50" t="s">
        <v>184</v>
      </c>
      <c r="T36" s="51">
        <v>200000.0</v>
      </c>
      <c r="U36" s="28"/>
      <c r="V36" s="57"/>
      <c r="W36" s="26"/>
      <c r="X36" s="59"/>
      <c r="Y36" s="55" t="s">
        <v>202</v>
      </c>
      <c r="Z36" s="4"/>
      <c r="AA36" s="4"/>
      <c r="AB36" s="4"/>
      <c r="AC36" s="4"/>
      <c r="AD36" s="4"/>
      <c r="AE36" s="4"/>
    </row>
    <row r="37">
      <c r="A37" s="41">
        <v>33.0</v>
      </c>
      <c r="B37" s="42">
        <v>13.0</v>
      </c>
      <c r="C37" s="84"/>
      <c r="D37" s="28"/>
      <c r="E37" s="43">
        <v>2.0</v>
      </c>
      <c r="F37" s="92" t="s">
        <v>164</v>
      </c>
      <c r="G37" s="45" t="s">
        <v>203</v>
      </c>
      <c r="H37" s="45" t="s">
        <v>204</v>
      </c>
      <c r="I37" s="45" t="s">
        <v>205</v>
      </c>
      <c r="J37" s="68"/>
      <c r="K37" s="46" t="s">
        <v>47</v>
      </c>
      <c r="L37" s="47">
        <v>31368.0</v>
      </c>
      <c r="M37" s="45" t="s">
        <v>206</v>
      </c>
      <c r="N37" s="47">
        <v>45336.0</v>
      </c>
      <c r="O37" s="47">
        <v>48989.0</v>
      </c>
      <c r="P37" s="43" t="s">
        <v>207</v>
      </c>
      <c r="Q37" s="57"/>
      <c r="R37" s="80"/>
      <c r="S37" s="50" t="s">
        <v>184</v>
      </c>
      <c r="T37" s="51">
        <v>1290000.0</v>
      </c>
      <c r="U37" s="28"/>
      <c r="V37" s="57"/>
      <c r="W37" s="26"/>
      <c r="X37" s="59"/>
      <c r="Y37" s="55" t="s">
        <v>208</v>
      </c>
      <c r="Z37" s="4"/>
      <c r="AA37" s="4"/>
      <c r="AB37" s="4"/>
      <c r="AC37" s="4"/>
      <c r="AD37" s="4"/>
      <c r="AE37" s="4"/>
    </row>
    <row r="38">
      <c r="A38" s="41">
        <v>34.0</v>
      </c>
      <c r="B38" s="28"/>
      <c r="C38" s="28"/>
      <c r="D38" s="28"/>
      <c r="E38" s="43">
        <v>2.0</v>
      </c>
      <c r="F38" s="28"/>
      <c r="G38" s="45" t="s">
        <v>209</v>
      </c>
      <c r="H38" s="45" t="s">
        <v>210</v>
      </c>
      <c r="I38" s="45" t="s">
        <v>211</v>
      </c>
      <c r="J38" s="68"/>
      <c r="K38" s="46" t="s">
        <v>57</v>
      </c>
      <c r="L38" s="47">
        <v>31453.0</v>
      </c>
      <c r="M38" s="45" t="s">
        <v>212</v>
      </c>
      <c r="N38" s="47">
        <v>45819.0</v>
      </c>
      <c r="O38" s="47">
        <v>49471.0</v>
      </c>
      <c r="P38" s="43" t="s">
        <v>213</v>
      </c>
      <c r="Q38" s="57"/>
      <c r="R38" s="80"/>
      <c r="S38" s="50" t="s">
        <v>184</v>
      </c>
      <c r="T38" s="51">
        <v>1290000.0</v>
      </c>
      <c r="U38" s="28"/>
      <c r="V38" s="57"/>
      <c r="W38" s="26"/>
      <c r="X38" s="59"/>
      <c r="Y38" s="55" t="s">
        <v>214</v>
      </c>
      <c r="Z38" s="4"/>
      <c r="AA38" s="4"/>
      <c r="AB38" s="4"/>
      <c r="AC38" s="4"/>
      <c r="AD38" s="4"/>
      <c r="AE38" s="4"/>
    </row>
    <row r="39">
      <c r="A39" s="41">
        <v>35.0</v>
      </c>
      <c r="B39" s="28"/>
      <c r="C39" s="28"/>
      <c r="D39" s="28"/>
      <c r="E39" s="43">
        <v>2.0</v>
      </c>
      <c r="F39" s="28"/>
      <c r="G39" s="45" t="s">
        <v>203</v>
      </c>
      <c r="H39" s="45" t="s">
        <v>215</v>
      </c>
      <c r="I39" s="45" t="s">
        <v>216</v>
      </c>
      <c r="J39" s="68"/>
      <c r="K39" s="46" t="s">
        <v>57</v>
      </c>
      <c r="L39" s="47">
        <v>41442.0</v>
      </c>
      <c r="M39" s="45" t="s">
        <v>217</v>
      </c>
      <c r="N39" s="47">
        <v>45819.0</v>
      </c>
      <c r="O39" s="47">
        <v>47645.0</v>
      </c>
      <c r="P39" s="43" t="s">
        <v>163</v>
      </c>
      <c r="Q39" s="57"/>
      <c r="R39" s="80"/>
      <c r="S39" s="50" t="s">
        <v>184</v>
      </c>
      <c r="T39" s="51">
        <v>200000.0</v>
      </c>
      <c r="U39" s="28"/>
      <c r="V39" s="57"/>
      <c r="W39" s="26"/>
      <c r="X39" s="59"/>
      <c r="Y39" s="55" t="s">
        <v>218</v>
      </c>
      <c r="Z39" s="4"/>
      <c r="AA39" s="4"/>
      <c r="AB39" s="4"/>
      <c r="AC39" s="4"/>
      <c r="AD39" s="4"/>
      <c r="AE39" s="4"/>
    </row>
    <row r="40">
      <c r="A40" s="41">
        <v>36.0</v>
      </c>
      <c r="B40" s="39"/>
      <c r="C40" s="39"/>
      <c r="D40" s="39"/>
      <c r="E40" s="43">
        <v>2.0</v>
      </c>
      <c r="F40" s="39"/>
      <c r="G40" s="45" t="s">
        <v>203</v>
      </c>
      <c r="H40" s="45" t="s">
        <v>219</v>
      </c>
      <c r="I40" s="45" t="s">
        <v>220</v>
      </c>
      <c r="J40" s="68"/>
      <c r="K40" s="46" t="s">
        <v>47</v>
      </c>
      <c r="L40" s="47">
        <v>43029.0</v>
      </c>
      <c r="M40" s="45" t="s">
        <v>221</v>
      </c>
      <c r="N40" s="47">
        <v>45819.0</v>
      </c>
      <c r="O40" s="47">
        <v>47645.0</v>
      </c>
      <c r="P40" s="43" t="s">
        <v>163</v>
      </c>
      <c r="Q40" s="57"/>
      <c r="R40" s="56"/>
      <c r="S40" s="50" t="s">
        <v>184</v>
      </c>
      <c r="T40" s="51">
        <v>200000.0</v>
      </c>
      <c r="U40" s="39"/>
      <c r="V40" s="57"/>
      <c r="W40" s="58"/>
      <c r="X40" s="59"/>
      <c r="Y40" s="55" t="s">
        <v>222</v>
      </c>
      <c r="Z40" s="4"/>
      <c r="AA40" s="4"/>
      <c r="AB40" s="4"/>
      <c r="AC40" s="4"/>
      <c r="AD40" s="4"/>
      <c r="AE40" s="4"/>
    </row>
    <row r="41">
      <c r="A41" s="41">
        <v>37.0</v>
      </c>
      <c r="B41" s="42">
        <v>14.0</v>
      </c>
      <c r="C41" s="69"/>
      <c r="D41" s="42">
        <v>10.0</v>
      </c>
      <c r="E41" s="43">
        <v>1.0</v>
      </c>
      <c r="F41" s="44" t="s">
        <v>43</v>
      </c>
      <c r="G41" s="95" t="s">
        <v>223</v>
      </c>
      <c r="H41" s="68" t="s">
        <v>224</v>
      </c>
      <c r="I41" s="74" t="s">
        <v>225</v>
      </c>
      <c r="J41" s="68"/>
      <c r="K41" s="90" t="s">
        <v>47</v>
      </c>
      <c r="L41" s="71">
        <v>21892.0</v>
      </c>
      <c r="M41" s="68" t="s">
        <v>226</v>
      </c>
      <c r="N41" s="77">
        <v>44834.0</v>
      </c>
      <c r="O41" s="77">
        <v>48487.0</v>
      </c>
      <c r="P41" s="43" t="s">
        <v>227</v>
      </c>
      <c r="Q41" s="57"/>
      <c r="R41" s="49">
        <v>46003.0</v>
      </c>
      <c r="S41" s="96" t="s">
        <v>228</v>
      </c>
      <c r="T41" s="51">
        <v>1290000.0</v>
      </c>
      <c r="U41" s="42" t="s">
        <v>75</v>
      </c>
      <c r="V41" s="57"/>
      <c r="W41" s="79" t="s">
        <v>229</v>
      </c>
      <c r="X41" s="59"/>
      <c r="Y41" s="67"/>
      <c r="Z41" s="4"/>
      <c r="AA41" s="4"/>
      <c r="AB41" s="4"/>
      <c r="AC41" s="4"/>
      <c r="AD41" s="4"/>
      <c r="AE41" s="4"/>
    </row>
    <row r="42">
      <c r="A42" s="41">
        <v>38.0</v>
      </c>
      <c r="B42" s="39"/>
      <c r="C42" s="69"/>
      <c r="D42" s="39"/>
      <c r="E42" s="43">
        <v>1.0</v>
      </c>
      <c r="F42" s="39"/>
      <c r="G42" s="68" t="s">
        <v>230</v>
      </c>
      <c r="H42" s="68" t="s">
        <v>231</v>
      </c>
      <c r="I42" s="69" t="s">
        <v>232</v>
      </c>
      <c r="J42" s="68"/>
      <c r="K42" s="90" t="s">
        <v>57</v>
      </c>
      <c r="L42" s="71">
        <v>21870.0</v>
      </c>
      <c r="M42" s="68" t="s">
        <v>233</v>
      </c>
      <c r="N42" s="77">
        <v>45951.0</v>
      </c>
      <c r="O42" s="77">
        <v>49603.0</v>
      </c>
      <c r="P42" s="43" t="s">
        <v>163</v>
      </c>
      <c r="Q42" s="57"/>
      <c r="R42" s="56"/>
      <c r="S42" s="96" t="s">
        <v>234</v>
      </c>
      <c r="T42" s="51">
        <v>1290000.0</v>
      </c>
      <c r="U42" s="39"/>
      <c r="V42" s="57"/>
      <c r="W42" s="58"/>
      <c r="X42" s="59"/>
      <c r="Y42" s="67"/>
      <c r="Z42" s="4"/>
      <c r="AA42" s="4"/>
      <c r="AB42" s="4"/>
      <c r="AC42" s="4"/>
      <c r="AD42" s="4"/>
      <c r="AE42" s="4"/>
    </row>
    <row r="43">
      <c r="A43" s="97">
        <v>39.0</v>
      </c>
      <c r="B43" s="98"/>
      <c r="C43" s="99"/>
      <c r="D43" s="100">
        <v>9.0</v>
      </c>
      <c r="E43" s="98">
        <v>3.0</v>
      </c>
      <c r="F43" s="100" t="s">
        <v>235</v>
      </c>
      <c r="G43" s="101"/>
      <c r="H43" s="101"/>
      <c r="I43" s="98" t="s">
        <v>236</v>
      </c>
      <c r="J43" s="101"/>
      <c r="K43" s="102"/>
      <c r="L43" s="103"/>
      <c r="M43" s="101"/>
      <c r="N43" s="103"/>
      <c r="O43" s="103"/>
      <c r="P43" s="101"/>
      <c r="Q43" s="104"/>
      <c r="R43" s="105">
        <v>46037.0</v>
      </c>
      <c r="S43" s="106" t="s">
        <v>132</v>
      </c>
      <c r="T43" s="107">
        <v>990000.0</v>
      </c>
      <c r="U43" s="100" t="s">
        <v>51</v>
      </c>
      <c r="V43" s="104"/>
      <c r="W43" s="108" t="s">
        <v>237</v>
      </c>
      <c r="X43" s="109" t="s">
        <v>238</v>
      </c>
      <c r="Y43" s="110"/>
      <c r="Z43" s="111"/>
      <c r="AA43" s="111"/>
      <c r="AB43" s="111"/>
      <c r="AC43" s="111"/>
      <c r="AD43" s="111"/>
      <c r="AE43" s="111"/>
    </row>
    <row r="44">
      <c r="A44" s="97">
        <v>40.0</v>
      </c>
      <c r="B44" s="98"/>
      <c r="C44" s="28"/>
      <c r="D44" s="28"/>
      <c r="E44" s="98">
        <v>3.0</v>
      </c>
      <c r="F44" s="28"/>
      <c r="G44" s="101"/>
      <c r="H44" s="101"/>
      <c r="I44" s="98" t="s">
        <v>239</v>
      </c>
      <c r="J44" s="101"/>
      <c r="K44" s="102"/>
      <c r="L44" s="103"/>
      <c r="M44" s="101"/>
      <c r="N44" s="103"/>
      <c r="O44" s="103"/>
      <c r="P44" s="101"/>
      <c r="Q44" s="104"/>
      <c r="R44" s="80"/>
      <c r="S44" s="106" t="s">
        <v>132</v>
      </c>
      <c r="T44" s="107">
        <v>990000.0</v>
      </c>
      <c r="U44" s="28"/>
      <c r="V44" s="104"/>
      <c r="W44" s="26"/>
      <c r="X44" s="109" t="s">
        <v>240</v>
      </c>
      <c r="Y44" s="110"/>
      <c r="Z44" s="111"/>
      <c r="AA44" s="111"/>
      <c r="AB44" s="111"/>
      <c r="AC44" s="111"/>
      <c r="AD44" s="111"/>
      <c r="AE44" s="111"/>
    </row>
    <row r="45">
      <c r="A45" s="97">
        <v>41.0</v>
      </c>
      <c r="B45" s="98"/>
      <c r="C45" s="28"/>
      <c r="D45" s="28"/>
      <c r="E45" s="98">
        <v>3.0</v>
      </c>
      <c r="F45" s="28"/>
      <c r="G45" s="101"/>
      <c r="H45" s="101"/>
      <c r="I45" s="98" t="s">
        <v>241</v>
      </c>
      <c r="J45" s="101"/>
      <c r="K45" s="102"/>
      <c r="L45" s="103"/>
      <c r="M45" s="101"/>
      <c r="N45" s="103"/>
      <c r="O45" s="103"/>
      <c r="P45" s="101"/>
      <c r="Q45" s="104"/>
      <c r="R45" s="80"/>
      <c r="S45" s="106" t="s">
        <v>132</v>
      </c>
      <c r="T45" s="107">
        <v>200000.0</v>
      </c>
      <c r="U45" s="28"/>
      <c r="V45" s="104"/>
      <c r="W45" s="26"/>
      <c r="X45" s="112"/>
      <c r="Y45" s="110"/>
      <c r="Z45" s="111"/>
      <c r="AA45" s="111"/>
      <c r="AB45" s="111"/>
      <c r="AC45" s="111"/>
      <c r="AD45" s="111"/>
      <c r="AE45" s="111"/>
    </row>
    <row r="46">
      <c r="A46" s="97">
        <v>42.0</v>
      </c>
      <c r="B46" s="98"/>
      <c r="C46" s="39"/>
      <c r="D46" s="39"/>
      <c r="E46" s="98">
        <v>3.0</v>
      </c>
      <c r="F46" s="39"/>
      <c r="G46" s="101"/>
      <c r="H46" s="101"/>
      <c r="I46" s="98" t="s">
        <v>241</v>
      </c>
      <c r="J46" s="101"/>
      <c r="K46" s="102"/>
      <c r="L46" s="103"/>
      <c r="M46" s="101"/>
      <c r="N46" s="103"/>
      <c r="O46" s="103"/>
      <c r="P46" s="101"/>
      <c r="Q46" s="104"/>
      <c r="R46" s="56"/>
      <c r="S46" s="106" t="s">
        <v>132</v>
      </c>
      <c r="T46" s="107">
        <v>200000.0</v>
      </c>
      <c r="U46" s="39"/>
      <c r="V46" s="104"/>
      <c r="W46" s="58"/>
      <c r="X46" s="112"/>
      <c r="Y46" s="110"/>
      <c r="Z46" s="111"/>
      <c r="AA46" s="111"/>
      <c r="AB46" s="111"/>
      <c r="AC46" s="111"/>
      <c r="AD46" s="111"/>
      <c r="AE46" s="111"/>
    </row>
    <row r="47">
      <c r="A47" s="60">
        <v>43.0</v>
      </c>
      <c r="B47" s="69"/>
      <c r="C47" s="69"/>
      <c r="D47" s="42">
        <v>11.0</v>
      </c>
      <c r="E47" s="43">
        <v>1.0</v>
      </c>
      <c r="F47" s="62" t="s">
        <v>43</v>
      </c>
      <c r="G47" s="113" t="s">
        <v>242</v>
      </c>
      <c r="H47" s="45" t="s">
        <v>243</v>
      </c>
      <c r="I47" s="43" t="s">
        <v>244</v>
      </c>
      <c r="J47" s="68"/>
      <c r="K47" s="90" t="s">
        <v>47</v>
      </c>
      <c r="L47" s="47">
        <v>20771.0</v>
      </c>
      <c r="M47" s="45" t="s">
        <v>245</v>
      </c>
      <c r="N47" s="47">
        <v>45408.0</v>
      </c>
      <c r="O47" s="47">
        <v>49060.0</v>
      </c>
      <c r="P47" s="45" t="s">
        <v>246</v>
      </c>
      <c r="Q47" s="57"/>
      <c r="R47" s="49">
        <v>46044.0</v>
      </c>
      <c r="S47" s="65" t="s">
        <v>132</v>
      </c>
      <c r="T47" s="51">
        <v>990000.0</v>
      </c>
      <c r="U47" s="42" t="s">
        <v>103</v>
      </c>
      <c r="V47" s="57"/>
      <c r="W47" s="79" t="s">
        <v>247</v>
      </c>
      <c r="X47" s="59"/>
      <c r="Y47" s="55" t="s">
        <v>248</v>
      </c>
      <c r="Z47" s="4"/>
      <c r="AA47" s="4"/>
      <c r="AB47" s="4"/>
      <c r="AC47" s="4"/>
      <c r="AD47" s="4"/>
      <c r="AE47" s="4"/>
    </row>
    <row r="48">
      <c r="A48" s="60">
        <v>44.0</v>
      </c>
      <c r="B48" s="69"/>
      <c r="C48" s="69"/>
      <c r="D48" s="39"/>
      <c r="E48" s="43">
        <v>1.0</v>
      </c>
      <c r="F48" s="39"/>
      <c r="G48" s="45" t="s">
        <v>249</v>
      </c>
      <c r="H48" s="45" t="s">
        <v>250</v>
      </c>
      <c r="I48" s="43" t="s">
        <v>251</v>
      </c>
      <c r="J48" s="68"/>
      <c r="K48" s="90" t="s">
        <v>57</v>
      </c>
      <c r="L48" s="47">
        <v>22339.0</v>
      </c>
      <c r="M48" s="45" t="s">
        <v>252</v>
      </c>
      <c r="N48" s="47">
        <v>43665.0</v>
      </c>
      <c r="O48" s="47">
        <v>47318.0</v>
      </c>
      <c r="P48" s="69"/>
      <c r="Q48" s="57"/>
      <c r="R48" s="56"/>
      <c r="S48" s="65" t="s">
        <v>132</v>
      </c>
      <c r="T48" s="51">
        <v>990000.0</v>
      </c>
      <c r="U48" s="39"/>
      <c r="V48" s="57"/>
      <c r="W48" s="58"/>
      <c r="X48" s="59"/>
      <c r="Y48" s="55" t="s">
        <v>253</v>
      </c>
      <c r="Z48" s="4"/>
      <c r="AA48" s="4"/>
      <c r="AB48" s="4"/>
      <c r="AC48" s="4"/>
      <c r="AD48" s="4"/>
      <c r="AE48" s="4"/>
    </row>
    <row r="49">
      <c r="A49" s="60">
        <v>45.0</v>
      </c>
      <c r="B49" s="69"/>
      <c r="C49" s="69"/>
      <c r="D49" s="42">
        <v>12.0</v>
      </c>
      <c r="E49" s="43">
        <v>1.0</v>
      </c>
      <c r="F49" s="62" t="s">
        <v>61</v>
      </c>
      <c r="G49" s="45" t="s">
        <v>31</v>
      </c>
      <c r="H49" s="45" t="s">
        <v>254</v>
      </c>
      <c r="I49" s="43" t="s">
        <v>255</v>
      </c>
      <c r="J49" s="68"/>
      <c r="K49" s="46" t="s">
        <v>57</v>
      </c>
      <c r="L49" s="47">
        <v>20925.0</v>
      </c>
      <c r="M49" s="45" t="s">
        <v>256</v>
      </c>
      <c r="N49" s="47">
        <v>45965.0</v>
      </c>
      <c r="O49" s="47">
        <v>49617.0</v>
      </c>
      <c r="P49" s="43" t="s">
        <v>257</v>
      </c>
      <c r="Q49" s="57"/>
      <c r="R49" s="49">
        <v>46044.0</v>
      </c>
      <c r="S49" s="50" t="s">
        <v>184</v>
      </c>
      <c r="T49" s="51">
        <v>990000.0</v>
      </c>
      <c r="U49" s="42" t="s">
        <v>258</v>
      </c>
      <c r="V49" s="57"/>
      <c r="W49" s="85"/>
      <c r="X49" s="59"/>
      <c r="Y49" s="67"/>
      <c r="Z49" s="4"/>
      <c r="AA49" s="4"/>
      <c r="AB49" s="4"/>
      <c r="AC49" s="4"/>
      <c r="AD49" s="4"/>
      <c r="AE49" s="4"/>
    </row>
    <row r="50">
      <c r="A50" s="60">
        <v>46.0</v>
      </c>
      <c r="B50" s="69"/>
      <c r="C50" s="69"/>
      <c r="D50" s="28"/>
      <c r="E50" s="43">
        <v>1.0</v>
      </c>
      <c r="F50" s="39"/>
      <c r="G50" s="45" t="s">
        <v>115</v>
      </c>
      <c r="H50" s="45" t="s">
        <v>259</v>
      </c>
      <c r="I50" s="43" t="s">
        <v>260</v>
      </c>
      <c r="J50" s="68"/>
      <c r="K50" s="46" t="s">
        <v>47</v>
      </c>
      <c r="L50" s="47">
        <v>21207.0</v>
      </c>
      <c r="M50" s="45" t="s">
        <v>261</v>
      </c>
      <c r="N50" s="47">
        <v>44153.0</v>
      </c>
      <c r="O50" s="47">
        <v>47805.0</v>
      </c>
      <c r="P50" s="69"/>
      <c r="Q50" s="57"/>
      <c r="R50" s="80"/>
      <c r="S50" s="50" t="s">
        <v>184</v>
      </c>
      <c r="T50" s="51">
        <v>990000.0</v>
      </c>
      <c r="U50" s="28"/>
      <c r="V50" s="57"/>
      <c r="W50" s="26"/>
      <c r="X50" s="59"/>
      <c r="Y50" s="67"/>
      <c r="Z50" s="4"/>
      <c r="AA50" s="4"/>
      <c r="AB50" s="4"/>
      <c r="AC50" s="4"/>
      <c r="AD50" s="4"/>
      <c r="AE50" s="4"/>
    </row>
    <row r="51">
      <c r="A51" s="60">
        <v>47.0</v>
      </c>
      <c r="B51" s="69"/>
      <c r="C51" s="69"/>
      <c r="D51" s="28"/>
      <c r="E51" s="43">
        <v>2.0</v>
      </c>
      <c r="F51" s="62" t="s">
        <v>61</v>
      </c>
      <c r="G51" s="45" t="s">
        <v>31</v>
      </c>
      <c r="H51" s="45" t="s">
        <v>262</v>
      </c>
      <c r="I51" s="43" t="s">
        <v>263</v>
      </c>
      <c r="J51" s="68"/>
      <c r="K51" s="46" t="s">
        <v>47</v>
      </c>
      <c r="L51" s="47">
        <v>17767.0</v>
      </c>
      <c r="M51" s="45" t="s">
        <v>264</v>
      </c>
      <c r="N51" s="47">
        <v>44984.0</v>
      </c>
      <c r="O51" s="47">
        <v>48637.0</v>
      </c>
      <c r="P51" s="69"/>
      <c r="Q51" s="57"/>
      <c r="R51" s="80"/>
      <c r="S51" s="50" t="s">
        <v>184</v>
      </c>
      <c r="T51" s="51">
        <v>990000.0</v>
      </c>
      <c r="U51" s="28"/>
      <c r="V51" s="57"/>
      <c r="W51" s="26"/>
      <c r="X51" s="59"/>
      <c r="Y51" s="67"/>
      <c r="Z51" s="4"/>
      <c r="AA51" s="4"/>
      <c r="AB51" s="4"/>
      <c r="AC51" s="4"/>
      <c r="AD51" s="4"/>
      <c r="AE51" s="4"/>
    </row>
    <row r="52">
      <c r="A52" s="60">
        <v>48.0</v>
      </c>
      <c r="B52" s="69"/>
      <c r="C52" s="69"/>
      <c r="D52" s="28"/>
      <c r="E52" s="43">
        <v>2.0</v>
      </c>
      <c r="F52" s="39"/>
      <c r="G52" s="45" t="s">
        <v>31</v>
      </c>
      <c r="H52" s="45" t="s">
        <v>265</v>
      </c>
      <c r="I52" s="43" t="s">
        <v>266</v>
      </c>
      <c r="J52" s="68"/>
      <c r="K52" s="46" t="s">
        <v>57</v>
      </c>
      <c r="L52" s="47">
        <v>16016.0</v>
      </c>
      <c r="M52" s="45" t="s">
        <v>267</v>
      </c>
      <c r="N52" s="47">
        <v>44882.0</v>
      </c>
      <c r="O52" s="47">
        <v>48535.0</v>
      </c>
      <c r="P52" s="69"/>
      <c r="Q52" s="57"/>
      <c r="R52" s="80"/>
      <c r="S52" s="50" t="s">
        <v>184</v>
      </c>
      <c r="T52" s="51">
        <v>990000.0</v>
      </c>
      <c r="U52" s="28"/>
      <c r="V52" s="57"/>
      <c r="W52" s="26"/>
      <c r="X52" s="59"/>
      <c r="Y52" s="67"/>
      <c r="Z52" s="4"/>
      <c r="AA52" s="4"/>
      <c r="AB52" s="4"/>
      <c r="AC52" s="4"/>
      <c r="AD52" s="4"/>
      <c r="AE52" s="4"/>
    </row>
    <row r="53">
      <c r="A53" s="60">
        <v>49.0</v>
      </c>
      <c r="B53" s="69"/>
      <c r="C53" s="69"/>
      <c r="D53" s="28"/>
      <c r="E53" s="43">
        <v>3.0</v>
      </c>
      <c r="F53" s="62" t="s">
        <v>61</v>
      </c>
      <c r="G53" s="45" t="s">
        <v>31</v>
      </c>
      <c r="H53" s="45" t="s">
        <v>268</v>
      </c>
      <c r="I53" s="43" t="s">
        <v>269</v>
      </c>
      <c r="J53" s="68"/>
      <c r="K53" s="46" t="s">
        <v>47</v>
      </c>
      <c r="L53" s="47">
        <v>18420.0</v>
      </c>
      <c r="M53" s="45" t="s">
        <v>270</v>
      </c>
      <c r="N53" s="47">
        <v>46014.0</v>
      </c>
      <c r="O53" s="47">
        <v>49666.0</v>
      </c>
      <c r="P53" s="69"/>
      <c r="Q53" s="57"/>
      <c r="R53" s="80"/>
      <c r="S53" s="50" t="s">
        <v>184</v>
      </c>
      <c r="T53" s="51">
        <v>990000.0</v>
      </c>
      <c r="U53" s="28"/>
      <c r="V53" s="57"/>
      <c r="W53" s="26"/>
      <c r="X53" s="59"/>
      <c r="Y53" s="67"/>
      <c r="Z53" s="4"/>
      <c r="AA53" s="4"/>
      <c r="AB53" s="4"/>
      <c r="AC53" s="4"/>
      <c r="AD53" s="4"/>
      <c r="AE53" s="4"/>
    </row>
    <row r="54">
      <c r="A54" s="60">
        <v>50.0</v>
      </c>
      <c r="B54" s="69"/>
      <c r="C54" s="69"/>
      <c r="D54" s="28"/>
      <c r="E54" s="43">
        <v>3.0</v>
      </c>
      <c r="F54" s="39"/>
      <c r="G54" s="45" t="s">
        <v>271</v>
      </c>
      <c r="H54" s="45" t="s">
        <v>272</v>
      </c>
      <c r="I54" s="43" t="s">
        <v>273</v>
      </c>
      <c r="J54" s="68"/>
      <c r="K54" s="46" t="s">
        <v>57</v>
      </c>
      <c r="L54" s="47">
        <v>18667.0</v>
      </c>
      <c r="M54" s="45" t="s">
        <v>274</v>
      </c>
      <c r="N54" s="47">
        <v>46014.0</v>
      </c>
      <c r="O54" s="47">
        <v>49666.0</v>
      </c>
      <c r="P54" s="69"/>
      <c r="Q54" s="57"/>
      <c r="R54" s="80"/>
      <c r="S54" s="50" t="s">
        <v>184</v>
      </c>
      <c r="T54" s="51">
        <v>990000.0</v>
      </c>
      <c r="U54" s="28"/>
      <c r="V54" s="57"/>
      <c r="W54" s="26"/>
      <c r="X54" s="59"/>
      <c r="Y54" s="67"/>
      <c r="Z54" s="4"/>
      <c r="AA54" s="4"/>
      <c r="AB54" s="4"/>
      <c r="AC54" s="4"/>
      <c r="AD54" s="4"/>
      <c r="AE54" s="4"/>
    </row>
    <row r="55">
      <c r="A55" s="60">
        <v>51.0</v>
      </c>
      <c r="B55" s="69"/>
      <c r="C55" s="69"/>
      <c r="D55" s="28"/>
      <c r="E55" s="43">
        <v>4.0</v>
      </c>
      <c r="F55" s="62" t="s">
        <v>61</v>
      </c>
      <c r="G55" s="45" t="s">
        <v>31</v>
      </c>
      <c r="H55" s="45" t="s">
        <v>275</v>
      </c>
      <c r="I55" s="43" t="s">
        <v>276</v>
      </c>
      <c r="J55" s="45" t="s">
        <v>277</v>
      </c>
      <c r="K55" s="46" t="s">
        <v>57</v>
      </c>
      <c r="L55" s="47">
        <v>22142.0</v>
      </c>
      <c r="M55" s="45" t="s">
        <v>278</v>
      </c>
      <c r="N55" s="47">
        <v>42808.0</v>
      </c>
      <c r="O55" s="47">
        <v>46460.0</v>
      </c>
      <c r="P55" s="69"/>
      <c r="R55" s="80"/>
      <c r="S55" s="50" t="s">
        <v>184</v>
      </c>
      <c r="T55" s="51">
        <v>990000.0</v>
      </c>
      <c r="U55" s="28"/>
      <c r="V55" s="57"/>
      <c r="W55" s="26"/>
      <c r="X55" s="59"/>
      <c r="Y55" s="67"/>
      <c r="Z55" s="4"/>
      <c r="AA55" s="4"/>
      <c r="AB55" s="4"/>
      <c r="AC55" s="4"/>
      <c r="AD55" s="4"/>
      <c r="AE55" s="4"/>
    </row>
    <row r="56">
      <c r="A56" s="60">
        <v>52.0</v>
      </c>
      <c r="B56" s="69"/>
      <c r="C56" s="69"/>
      <c r="D56" s="28"/>
      <c r="E56" s="43">
        <v>4.0</v>
      </c>
      <c r="F56" s="39"/>
      <c r="G56" s="98" t="s">
        <v>279</v>
      </c>
      <c r="H56" s="98" t="s">
        <v>280</v>
      </c>
      <c r="I56" s="98" t="s">
        <v>281</v>
      </c>
      <c r="J56" s="114"/>
      <c r="K56" s="46" t="s">
        <v>47</v>
      </c>
      <c r="L56" s="47">
        <v>16603.0</v>
      </c>
      <c r="M56" s="45" t="s">
        <v>282</v>
      </c>
      <c r="N56" s="47">
        <v>45028.0</v>
      </c>
      <c r="O56" s="47">
        <v>46824.0</v>
      </c>
      <c r="P56" s="69"/>
      <c r="Q56" s="57"/>
      <c r="R56" s="80"/>
      <c r="S56" s="50" t="s">
        <v>184</v>
      </c>
      <c r="T56" s="51">
        <v>990000.0</v>
      </c>
      <c r="U56" s="28"/>
      <c r="V56" s="57"/>
      <c r="W56" s="26"/>
      <c r="X56" s="59"/>
      <c r="Y56" s="67"/>
      <c r="Z56" s="4"/>
      <c r="AA56" s="4"/>
      <c r="AB56" s="4"/>
      <c r="AC56" s="4"/>
      <c r="AD56" s="4"/>
      <c r="AE56" s="4"/>
    </row>
    <row r="57">
      <c r="A57" s="97">
        <v>53.0</v>
      </c>
      <c r="B57" s="101"/>
      <c r="C57" s="100"/>
      <c r="D57" s="28"/>
      <c r="E57" s="98">
        <v>5.0</v>
      </c>
      <c r="F57" s="115" t="s">
        <v>61</v>
      </c>
      <c r="G57" s="116" t="s">
        <v>31</v>
      </c>
      <c r="H57" s="116" t="s">
        <v>283</v>
      </c>
      <c r="I57" s="116" t="s">
        <v>284</v>
      </c>
      <c r="J57" s="101"/>
      <c r="K57" s="116" t="s">
        <v>57</v>
      </c>
      <c r="L57" s="117">
        <v>22746.0</v>
      </c>
      <c r="M57" s="116" t="s">
        <v>285</v>
      </c>
      <c r="N57" s="117">
        <v>46026.0</v>
      </c>
      <c r="O57" s="117">
        <v>49678.0</v>
      </c>
      <c r="P57" s="101"/>
      <c r="Q57" s="104"/>
      <c r="R57" s="80"/>
      <c r="S57" s="118" t="s">
        <v>184</v>
      </c>
      <c r="T57" s="107">
        <v>990000.0</v>
      </c>
      <c r="U57" s="28"/>
      <c r="V57" s="119"/>
      <c r="W57" s="26"/>
      <c r="X57" s="120" t="s">
        <v>286</v>
      </c>
      <c r="Y57" s="110"/>
      <c r="Z57" s="111"/>
      <c r="AA57" s="111"/>
      <c r="AB57" s="111"/>
      <c r="AC57" s="111"/>
      <c r="AD57" s="111"/>
      <c r="AE57" s="111"/>
    </row>
    <row r="58">
      <c r="A58" s="97">
        <v>54.0</v>
      </c>
      <c r="B58" s="101"/>
      <c r="C58" s="39"/>
      <c r="D58" s="39"/>
      <c r="E58" s="98">
        <v>5.0</v>
      </c>
      <c r="F58" s="39"/>
      <c r="G58" s="98" t="s">
        <v>97</v>
      </c>
      <c r="H58" s="98" t="s">
        <v>287</v>
      </c>
      <c r="I58" s="98" t="s">
        <v>288</v>
      </c>
      <c r="J58" s="101"/>
      <c r="K58" s="102" t="s">
        <v>47</v>
      </c>
      <c r="L58" s="121">
        <v>22999.0</v>
      </c>
      <c r="M58" s="98" t="s">
        <v>289</v>
      </c>
      <c r="N58" s="121">
        <v>46026.0</v>
      </c>
      <c r="O58" s="121">
        <v>49678.0</v>
      </c>
      <c r="P58" s="101"/>
      <c r="Q58" s="104"/>
      <c r="R58" s="56"/>
      <c r="S58" s="118" t="s">
        <v>184</v>
      </c>
      <c r="T58" s="107">
        <v>990000.0</v>
      </c>
      <c r="U58" s="39"/>
      <c r="V58" s="119"/>
      <c r="W58" s="58"/>
      <c r="X58" s="122"/>
      <c r="Y58" s="110"/>
      <c r="Z58" s="111"/>
      <c r="AA58" s="111"/>
      <c r="AB58" s="111"/>
      <c r="AC58" s="111"/>
      <c r="AD58" s="111"/>
      <c r="AE58" s="111"/>
    </row>
    <row r="59">
      <c r="A59" s="60">
        <v>55.0</v>
      </c>
      <c r="B59" s="123">
        <v>1.0</v>
      </c>
      <c r="C59" s="84"/>
      <c r="D59" s="84"/>
      <c r="E59" s="69"/>
      <c r="F59" s="42"/>
      <c r="G59" s="124"/>
      <c r="H59" s="124"/>
      <c r="I59" s="124"/>
      <c r="J59" s="124"/>
      <c r="K59" s="124"/>
      <c r="L59" s="124"/>
      <c r="M59" s="124"/>
      <c r="N59" s="124"/>
      <c r="O59" s="124"/>
      <c r="P59" s="68"/>
      <c r="Q59" s="57"/>
      <c r="R59" s="78"/>
      <c r="S59" s="125"/>
      <c r="T59" s="126"/>
      <c r="U59" s="84"/>
      <c r="V59" s="127"/>
      <c r="W59" s="85"/>
      <c r="X59" s="128"/>
      <c r="Y59" s="129"/>
      <c r="AA59" s="4"/>
      <c r="AB59" s="4"/>
      <c r="AC59" s="4"/>
      <c r="AD59" s="4"/>
      <c r="AE59" s="4"/>
    </row>
    <row r="60">
      <c r="A60" s="60">
        <v>56.0</v>
      </c>
      <c r="B60" s="39"/>
      <c r="C60" s="39"/>
      <c r="D60" s="39"/>
      <c r="E60" s="69"/>
      <c r="F60" s="39"/>
      <c r="G60" s="68"/>
      <c r="H60" s="68"/>
      <c r="I60" s="69"/>
      <c r="J60" s="68"/>
      <c r="K60" s="69"/>
      <c r="L60" s="71"/>
      <c r="M60" s="68"/>
      <c r="N60" s="130"/>
      <c r="O60" s="130"/>
      <c r="P60" s="68"/>
      <c r="Q60" s="57"/>
      <c r="R60" s="78"/>
      <c r="S60" s="125"/>
      <c r="T60" s="126"/>
      <c r="U60" s="84"/>
      <c r="V60" s="127"/>
      <c r="W60" s="85"/>
      <c r="X60" s="128"/>
      <c r="Y60" s="129"/>
      <c r="AA60" s="4"/>
      <c r="AB60" s="4"/>
      <c r="AC60" s="4"/>
      <c r="AD60" s="4"/>
      <c r="AE60" s="4"/>
    </row>
    <row r="61">
      <c r="A61" s="60">
        <v>57.0</v>
      </c>
      <c r="B61" s="123">
        <v>2.0</v>
      </c>
      <c r="C61" s="84"/>
      <c r="D61" s="84"/>
      <c r="E61" s="69"/>
      <c r="F61" s="84"/>
      <c r="G61" s="68"/>
      <c r="H61" s="68"/>
      <c r="I61" s="69"/>
      <c r="J61" s="68"/>
      <c r="K61" s="69"/>
      <c r="L61" s="71"/>
      <c r="M61" s="68"/>
      <c r="N61" s="130"/>
      <c r="O61" s="130"/>
      <c r="P61" s="68"/>
      <c r="Q61" s="57"/>
      <c r="R61" s="78"/>
      <c r="S61" s="125"/>
      <c r="T61" s="126"/>
      <c r="U61" s="84"/>
      <c r="V61" s="127"/>
      <c r="W61" s="85"/>
      <c r="X61" s="128"/>
      <c r="Y61" s="129"/>
      <c r="AA61" s="4"/>
      <c r="AB61" s="4"/>
      <c r="AC61" s="4"/>
      <c r="AD61" s="4"/>
      <c r="AE61" s="4"/>
    </row>
    <row r="62">
      <c r="A62" s="60">
        <v>58.0</v>
      </c>
      <c r="B62" s="39"/>
      <c r="C62" s="39"/>
      <c r="D62" s="39"/>
      <c r="E62" s="69"/>
      <c r="F62" s="39"/>
      <c r="G62" s="68"/>
      <c r="H62" s="68"/>
      <c r="I62" s="69"/>
      <c r="J62" s="68"/>
      <c r="K62" s="69"/>
      <c r="L62" s="71"/>
      <c r="M62" s="68"/>
      <c r="N62" s="130"/>
      <c r="O62" s="130"/>
      <c r="P62" s="68"/>
      <c r="Q62" s="57"/>
      <c r="R62" s="78"/>
      <c r="S62" s="125"/>
      <c r="T62" s="126"/>
      <c r="U62" s="84"/>
      <c r="V62" s="127"/>
      <c r="W62" s="85"/>
      <c r="X62" s="128"/>
      <c r="Y62" s="129"/>
      <c r="AA62" s="4"/>
      <c r="AB62" s="4"/>
      <c r="AC62" s="4"/>
      <c r="AD62" s="4"/>
      <c r="AE62" s="4"/>
    </row>
    <row r="63">
      <c r="A63" s="60">
        <v>59.0</v>
      </c>
      <c r="B63" s="123">
        <v>3.0</v>
      </c>
      <c r="C63" s="84"/>
      <c r="D63" s="84"/>
      <c r="E63" s="69"/>
      <c r="F63" s="84"/>
      <c r="G63" s="68"/>
      <c r="H63" s="68"/>
      <c r="I63" s="69"/>
      <c r="J63" s="68"/>
      <c r="K63" s="69"/>
      <c r="L63" s="71"/>
      <c r="M63" s="68"/>
      <c r="N63" s="130"/>
      <c r="O63" s="130"/>
      <c r="P63" s="68"/>
      <c r="Q63" s="57"/>
      <c r="R63" s="78"/>
      <c r="S63" s="125"/>
      <c r="T63" s="126"/>
      <c r="U63" s="84"/>
      <c r="V63" s="127"/>
      <c r="W63" s="85"/>
      <c r="X63" s="128"/>
      <c r="Y63" s="129"/>
      <c r="AA63" s="4"/>
      <c r="AB63" s="4"/>
      <c r="AC63" s="4"/>
      <c r="AD63" s="4"/>
      <c r="AE63" s="4"/>
    </row>
    <row r="64">
      <c r="A64" s="60">
        <v>60.0</v>
      </c>
      <c r="B64" s="39"/>
      <c r="C64" s="39"/>
      <c r="D64" s="39"/>
      <c r="E64" s="69"/>
      <c r="F64" s="39"/>
      <c r="G64" s="68"/>
      <c r="H64" s="68"/>
      <c r="I64" s="69"/>
      <c r="J64" s="68"/>
      <c r="K64" s="69"/>
      <c r="L64" s="71"/>
      <c r="M64" s="68"/>
      <c r="N64" s="130"/>
      <c r="O64" s="130"/>
      <c r="P64" s="68"/>
      <c r="Q64" s="57"/>
      <c r="R64" s="78"/>
      <c r="S64" s="125"/>
      <c r="T64" s="126"/>
      <c r="U64" s="84"/>
      <c r="V64" s="127"/>
      <c r="W64" s="85"/>
      <c r="X64" s="128"/>
      <c r="Y64" s="129"/>
      <c r="AA64" s="4"/>
      <c r="AB64" s="4"/>
      <c r="AC64" s="4"/>
      <c r="AD64" s="4"/>
      <c r="AE64" s="4"/>
    </row>
    <row r="65">
      <c r="A65" s="60">
        <v>61.0</v>
      </c>
      <c r="B65" s="123">
        <v>4.0</v>
      </c>
      <c r="C65" s="84"/>
      <c r="D65" s="84"/>
      <c r="E65" s="69"/>
      <c r="F65" s="84"/>
      <c r="G65" s="68"/>
      <c r="H65" s="68"/>
      <c r="I65" s="69"/>
      <c r="J65" s="68"/>
      <c r="K65" s="69"/>
      <c r="L65" s="71"/>
      <c r="M65" s="68"/>
      <c r="N65" s="130"/>
      <c r="O65" s="130"/>
      <c r="P65" s="68"/>
      <c r="Q65" s="57"/>
      <c r="R65" s="78"/>
      <c r="S65" s="125"/>
      <c r="T65" s="126"/>
      <c r="U65" s="84"/>
      <c r="V65" s="127"/>
      <c r="W65" s="85"/>
      <c r="X65" s="128"/>
      <c r="Y65" s="129"/>
      <c r="AA65" s="4"/>
      <c r="AB65" s="4"/>
      <c r="AC65" s="4"/>
      <c r="AD65" s="4"/>
      <c r="AE65" s="4"/>
    </row>
    <row r="66">
      <c r="A66" s="60">
        <v>62.0</v>
      </c>
      <c r="B66" s="39"/>
      <c r="C66" s="39"/>
      <c r="D66" s="39"/>
      <c r="E66" s="69"/>
      <c r="F66" s="39"/>
      <c r="G66" s="68"/>
      <c r="H66" s="68"/>
      <c r="I66" s="69"/>
      <c r="J66" s="68"/>
      <c r="K66" s="69"/>
      <c r="L66" s="71"/>
      <c r="M66" s="68"/>
      <c r="N66" s="130"/>
      <c r="O66" s="130"/>
      <c r="P66" s="68"/>
      <c r="Q66" s="57"/>
      <c r="R66" s="78"/>
      <c r="S66" s="125"/>
      <c r="T66" s="126"/>
      <c r="U66" s="84"/>
      <c r="V66" s="127"/>
      <c r="W66" s="85"/>
      <c r="X66" s="128"/>
      <c r="Y66" s="129"/>
      <c r="AA66" s="4"/>
      <c r="AB66" s="4"/>
      <c r="AC66" s="4"/>
      <c r="AD66" s="4"/>
      <c r="AE66" s="4"/>
    </row>
    <row r="67">
      <c r="A67" s="60">
        <v>63.0</v>
      </c>
      <c r="B67" s="123">
        <v>5.0</v>
      </c>
      <c r="C67" s="84"/>
      <c r="D67" s="84"/>
      <c r="E67" s="69"/>
      <c r="F67" s="84"/>
      <c r="G67" s="68"/>
      <c r="H67" s="68"/>
      <c r="I67" s="69"/>
      <c r="J67" s="68"/>
      <c r="K67" s="69"/>
      <c r="L67" s="71"/>
      <c r="M67" s="68"/>
      <c r="N67" s="130"/>
      <c r="O67" s="130"/>
      <c r="P67" s="68"/>
      <c r="Q67" s="57"/>
      <c r="R67" s="78"/>
      <c r="S67" s="125"/>
      <c r="T67" s="126"/>
      <c r="U67" s="84"/>
      <c r="V67" s="127"/>
      <c r="W67" s="85"/>
      <c r="X67" s="128"/>
      <c r="Y67" s="129"/>
      <c r="AA67" s="4"/>
      <c r="AB67" s="4"/>
      <c r="AC67" s="4"/>
      <c r="AD67" s="4"/>
      <c r="AE67" s="4"/>
    </row>
    <row r="68">
      <c r="A68" s="60">
        <v>64.0</v>
      </c>
      <c r="B68" s="39"/>
      <c r="C68" s="39"/>
      <c r="D68" s="39"/>
      <c r="E68" s="69"/>
      <c r="F68" s="39"/>
      <c r="G68" s="68"/>
      <c r="H68" s="68"/>
      <c r="I68" s="69"/>
      <c r="J68" s="68"/>
      <c r="K68" s="69"/>
      <c r="L68" s="71"/>
      <c r="M68" s="68"/>
      <c r="N68" s="130"/>
      <c r="O68" s="130"/>
      <c r="P68" s="68"/>
      <c r="Q68" s="57"/>
      <c r="R68" s="78"/>
      <c r="S68" s="125"/>
      <c r="T68" s="126"/>
      <c r="U68" s="84"/>
      <c r="V68" s="127"/>
      <c r="W68" s="85"/>
      <c r="X68" s="128"/>
      <c r="Y68" s="129"/>
      <c r="AA68" s="4"/>
      <c r="AB68" s="4"/>
      <c r="AC68" s="4"/>
      <c r="AD68" s="4"/>
      <c r="AE68" s="4"/>
    </row>
    <row r="69">
      <c r="A69" s="60">
        <v>65.0</v>
      </c>
      <c r="B69" s="123">
        <v>6.0</v>
      </c>
      <c r="C69" s="84"/>
      <c r="D69" s="84"/>
      <c r="E69" s="69"/>
      <c r="F69" s="84"/>
      <c r="G69" s="68"/>
      <c r="H69" s="68"/>
      <c r="I69" s="69"/>
      <c r="J69" s="68"/>
      <c r="K69" s="69"/>
      <c r="L69" s="71"/>
      <c r="M69" s="68"/>
      <c r="N69" s="130"/>
      <c r="O69" s="130"/>
      <c r="P69" s="68"/>
      <c r="Q69" s="57"/>
      <c r="R69" s="78"/>
      <c r="S69" s="125"/>
      <c r="T69" s="126"/>
      <c r="U69" s="84"/>
      <c r="V69" s="127"/>
      <c r="W69" s="85"/>
      <c r="X69" s="128"/>
      <c r="Y69" s="129"/>
      <c r="AA69" s="4"/>
      <c r="AB69" s="4"/>
      <c r="AC69" s="4"/>
      <c r="AD69" s="4"/>
      <c r="AE69" s="4"/>
    </row>
    <row r="70">
      <c r="A70" s="60">
        <v>66.0</v>
      </c>
      <c r="B70" s="39"/>
      <c r="C70" s="39"/>
      <c r="D70" s="39"/>
      <c r="E70" s="69"/>
      <c r="F70" s="39"/>
      <c r="G70" s="68"/>
      <c r="H70" s="68"/>
      <c r="I70" s="69"/>
      <c r="J70" s="68"/>
      <c r="K70" s="69"/>
      <c r="L70" s="71"/>
      <c r="M70" s="68"/>
      <c r="N70" s="130"/>
      <c r="O70" s="130"/>
      <c r="P70" s="68"/>
      <c r="Q70" s="57"/>
      <c r="R70" s="78"/>
      <c r="S70" s="125"/>
      <c r="T70" s="126"/>
      <c r="U70" s="84"/>
      <c r="V70" s="127"/>
      <c r="W70" s="85"/>
      <c r="X70" s="128"/>
      <c r="Y70" s="129"/>
      <c r="AA70" s="4"/>
      <c r="AB70" s="4"/>
      <c r="AC70" s="4"/>
      <c r="AD70" s="4"/>
      <c r="AE70" s="4"/>
    </row>
    <row r="71">
      <c r="A71" s="60">
        <v>67.0</v>
      </c>
      <c r="B71" s="123">
        <v>7.0</v>
      </c>
      <c r="C71" s="84"/>
      <c r="D71" s="84"/>
      <c r="E71" s="69"/>
      <c r="F71" s="84"/>
      <c r="G71" s="68"/>
      <c r="H71" s="68"/>
      <c r="I71" s="69"/>
      <c r="J71" s="68"/>
      <c r="K71" s="69"/>
      <c r="L71" s="71"/>
      <c r="M71" s="68"/>
      <c r="N71" s="130"/>
      <c r="O71" s="130"/>
      <c r="P71" s="68"/>
      <c r="Q71" s="57"/>
      <c r="R71" s="78"/>
      <c r="S71" s="125"/>
      <c r="T71" s="126"/>
      <c r="U71" s="84"/>
      <c r="V71" s="127"/>
      <c r="W71" s="85"/>
      <c r="X71" s="128"/>
      <c r="Y71" s="129"/>
      <c r="AA71" s="4"/>
      <c r="AB71" s="4"/>
      <c r="AC71" s="4"/>
      <c r="AD71" s="4"/>
      <c r="AE71" s="4"/>
    </row>
    <row r="72">
      <c r="A72" s="60">
        <v>68.0</v>
      </c>
      <c r="B72" s="39"/>
      <c r="C72" s="39"/>
      <c r="D72" s="39"/>
      <c r="E72" s="69"/>
      <c r="F72" s="39"/>
      <c r="G72" s="68"/>
      <c r="H72" s="68"/>
      <c r="I72" s="69"/>
      <c r="J72" s="68"/>
      <c r="K72" s="69"/>
      <c r="L72" s="71"/>
      <c r="M72" s="68"/>
      <c r="N72" s="130"/>
      <c r="O72" s="130"/>
      <c r="P72" s="68"/>
      <c r="Q72" s="57"/>
      <c r="R72" s="78"/>
      <c r="S72" s="125"/>
      <c r="T72" s="126"/>
      <c r="U72" s="84"/>
      <c r="V72" s="127"/>
      <c r="W72" s="85"/>
      <c r="X72" s="128"/>
      <c r="Y72" s="129"/>
      <c r="AA72" s="4"/>
      <c r="AB72" s="4"/>
      <c r="AC72" s="4"/>
      <c r="AD72" s="4"/>
      <c r="AE72" s="4"/>
    </row>
    <row r="73">
      <c r="A73" s="60">
        <v>69.0</v>
      </c>
      <c r="B73" s="123">
        <v>8.0</v>
      </c>
      <c r="C73" s="84"/>
      <c r="D73" s="84"/>
      <c r="E73" s="69"/>
      <c r="F73" s="84"/>
      <c r="G73" s="68"/>
      <c r="H73" s="68"/>
      <c r="I73" s="69"/>
      <c r="J73" s="68"/>
      <c r="K73" s="69"/>
      <c r="L73" s="71"/>
      <c r="M73" s="68"/>
      <c r="N73" s="130"/>
      <c r="O73" s="130"/>
      <c r="P73" s="68"/>
      <c r="Q73" s="57"/>
      <c r="R73" s="78"/>
      <c r="S73" s="125"/>
      <c r="T73" s="126"/>
      <c r="U73" s="84"/>
      <c r="V73" s="127"/>
      <c r="W73" s="85"/>
      <c r="X73" s="128"/>
      <c r="Y73" s="129"/>
      <c r="AA73" s="4"/>
      <c r="AB73" s="4"/>
      <c r="AC73" s="4"/>
      <c r="AD73" s="4"/>
      <c r="AE73" s="4"/>
    </row>
    <row r="74">
      <c r="A74" s="60">
        <v>70.0</v>
      </c>
      <c r="B74" s="39"/>
      <c r="C74" s="39"/>
      <c r="D74" s="39"/>
      <c r="E74" s="69"/>
      <c r="F74" s="39"/>
      <c r="G74" s="68"/>
      <c r="H74" s="68"/>
      <c r="I74" s="69"/>
      <c r="J74" s="68"/>
      <c r="K74" s="69"/>
      <c r="L74" s="71"/>
      <c r="M74" s="68"/>
      <c r="N74" s="130"/>
      <c r="O74" s="130"/>
      <c r="P74" s="68"/>
      <c r="Q74" s="57"/>
      <c r="R74" s="78"/>
      <c r="S74" s="125"/>
      <c r="T74" s="126"/>
      <c r="U74" s="84"/>
      <c r="V74" s="127"/>
      <c r="W74" s="85"/>
      <c r="X74" s="128"/>
      <c r="Y74" s="129"/>
      <c r="AA74" s="4"/>
      <c r="AB74" s="4"/>
      <c r="AC74" s="4"/>
      <c r="AD74" s="4"/>
      <c r="AE74" s="4"/>
    </row>
    <row r="75">
      <c r="A75" s="60">
        <v>71.0</v>
      </c>
      <c r="B75" s="123">
        <v>9.0</v>
      </c>
      <c r="C75" s="84"/>
      <c r="D75" s="84"/>
      <c r="E75" s="69"/>
      <c r="F75" s="84"/>
      <c r="G75" s="68"/>
      <c r="H75" s="68"/>
      <c r="I75" s="69"/>
      <c r="J75" s="68"/>
      <c r="K75" s="69"/>
      <c r="L75" s="71"/>
      <c r="M75" s="68"/>
      <c r="N75" s="130"/>
      <c r="O75" s="130"/>
      <c r="P75" s="68"/>
      <c r="Q75" s="57"/>
      <c r="R75" s="78"/>
      <c r="S75" s="125"/>
      <c r="T75" s="126"/>
      <c r="U75" s="84"/>
      <c r="V75" s="127"/>
      <c r="W75" s="85"/>
      <c r="X75" s="128"/>
      <c r="Y75" s="129"/>
      <c r="AA75" s="4"/>
      <c r="AB75" s="4"/>
      <c r="AC75" s="4"/>
      <c r="AD75" s="4"/>
      <c r="AE75" s="4"/>
    </row>
    <row r="76">
      <c r="A76" s="60">
        <v>72.0</v>
      </c>
      <c r="B76" s="39"/>
      <c r="C76" s="39"/>
      <c r="D76" s="39"/>
      <c r="E76" s="69"/>
      <c r="F76" s="39"/>
      <c r="G76" s="68"/>
      <c r="H76" s="68"/>
      <c r="I76" s="69"/>
      <c r="J76" s="68"/>
      <c r="K76" s="69"/>
      <c r="L76" s="71"/>
      <c r="M76" s="68"/>
      <c r="N76" s="130"/>
      <c r="O76" s="130"/>
      <c r="P76" s="68"/>
      <c r="Q76" s="57"/>
      <c r="R76" s="78"/>
      <c r="S76" s="125"/>
      <c r="T76" s="126"/>
      <c r="U76" s="84"/>
      <c r="V76" s="127"/>
      <c r="W76" s="85"/>
      <c r="X76" s="128"/>
      <c r="Y76" s="129"/>
      <c r="AA76" s="4"/>
      <c r="AB76" s="4"/>
      <c r="AC76" s="4"/>
      <c r="AD76" s="4"/>
      <c r="AE76" s="4"/>
    </row>
    <row r="77">
      <c r="A77" s="60">
        <v>73.0</v>
      </c>
      <c r="B77" s="123">
        <v>10.0</v>
      </c>
      <c r="C77" s="84"/>
      <c r="D77" s="84"/>
      <c r="E77" s="69"/>
      <c r="F77" s="84"/>
      <c r="G77" s="68"/>
      <c r="H77" s="68"/>
      <c r="I77" s="69"/>
      <c r="J77" s="68"/>
      <c r="K77" s="69"/>
      <c r="L77" s="71"/>
      <c r="M77" s="68"/>
      <c r="N77" s="130"/>
      <c r="O77" s="130"/>
      <c r="P77" s="68"/>
      <c r="Q77" s="57"/>
      <c r="R77" s="78"/>
      <c r="S77" s="125"/>
      <c r="T77" s="126"/>
      <c r="U77" s="84"/>
      <c r="V77" s="127"/>
      <c r="W77" s="85"/>
      <c r="X77" s="128"/>
      <c r="Y77" s="129"/>
      <c r="AA77" s="4"/>
      <c r="AB77" s="4"/>
      <c r="AC77" s="4"/>
      <c r="AD77" s="4"/>
      <c r="AE77" s="4"/>
    </row>
    <row r="78">
      <c r="A78" s="60">
        <v>74.0</v>
      </c>
      <c r="B78" s="39"/>
      <c r="C78" s="39"/>
      <c r="D78" s="39"/>
      <c r="E78" s="69"/>
      <c r="F78" s="39"/>
      <c r="G78" s="68"/>
      <c r="H78" s="68"/>
      <c r="I78" s="69"/>
      <c r="J78" s="68"/>
      <c r="K78" s="69"/>
      <c r="L78" s="71"/>
      <c r="M78" s="68"/>
      <c r="N78" s="130"/>
      <c r="O78" s="130"/>
      <c r="P78" s="68"/>
      <c r="Q78" s="57"/>
      <c r="R78" s="78"/>
      <c r="S78" s="125"/>
      <c r="T78" s="126"/>
      <c r="U78" s="84"/>
      <c r="V78" s="127"/>
      <c r="W78" s="85"/>
      <c r="X78" s="128"/>
      <c r="Y78" s="129"/>
      <c r="AA78" s="4"/>
      <c r="AB78" s="4"/>
      <c r="AC78" s="4"/>
      <c r="AD78" s="4"/>
      <c r="AE78" s="4"/>
    </row>
    <row r="79">
      <c r="A79" s="60">
        <v>75.0</v>
      </c>
      <c r="B79" s="123">
        <v>11.0</v>
      </c>
      <c r="C79" s="84"/>
      <c r="D79" s="84"/>
      <c r="E79" s="69"/>
      <c r="F79" s="84"/>
      <c r="G79" s="68"/>
      <c r="H79" s="68"/>
      <c r="I79" s="69"/>
      <c r="J79" s="68"/>
      <c r="K79" s="69"/>
      <c r="L79" s="71"/>
      <c r="M79" s="68"/>
      <c r="N79" s="130"/>
      <c r="O79" s="130"/>
      <c r="P79" s="68"/>
      <c r="Q79" s="57"/>
      <c r="R79" s="78"/>
      <c r="S79" s="125"/>
      <c r="T79" s="126"/>
      <c r="U79" s="84"/>
      <c r="V79" s="127"/>
      <c r="W79" s="85"/>
      <c r="X79" s="128"/>
      <c r="Y79" s="129"/>
      <c r="AA79" s="4"/>
      <c r="AB79" s="4"/>
      <c r="AC79" s="4"/>
      <c r="AD79" s="4"/>
      <c r="AE79" s="4"/>
    </row>
    <row r="80">
      <c r="A80" s="60">
        <v>76.0</v>
      </c>
      <c r="B80" s="39"/>
      <c r="C80" s="39"/>
      <c r="D80" s="39"/>
      <c r="E80" s="69"/>
      <c r="F80" s="39"/>
      <c r="G80" s="68"/>
      <c r="H80" s="68"/>
      <c r="I80" s="69"/>
      <c r="J80" s="68"/>
      <c r="K80" s="69"/>
      <c r="L80" s="71"/>
      <c r="M80" s="68"/>
      <c r="N80" s="130"/>
      <c r="O80" s="130"/>
      <c r="P80" s="68"/>
      <c r="Q80" s="57"/>
      <c r="R80" s="78"/>
      <c r="S80" s="125"/>
      <c r="T80" s="126"/>
      <c r="U80" s="84"/>
      <c r="V80" s="127"/>
      <c r="W80" s="85"/>
      <c r="X80" s="128"/>
      <c r="Y80" s="129"/>
      <c r="AA80" s="4"/>
      <c r="AB80" s="4"/>
      <c r="AC80" s="4"/>
      <c r="AD80" s="4"/>
      <c r="AE80" s="4"/>
    </row>
    <row r="81">
      <c r="A81" s="60">
        <v>77.0</v>
      </c>
      <c r="B81" s="123">
        <v>12.0</v>
      </c>
      <c r="C81" s="84"/>
      <c r="D81" s="84"/>
      <c r="E81" s="69"/>
      <c r="F81" s="84"/>
      <c r="G81" s="68"/>
      <c r="H81" s="68"/>
      <c r="I81" s="69"/>
      <c r="J81" s="68"/>
      <c r="K81" s="69"/>
      <c r="L81" s="71"/>
      <c r="M81" s="68"/>
      <c r="N81" s="130"/>
      <c r="O81" s="130"/>
      <c r="P81" s="68"/>
      <c r="Q81" s="57"/>
      <c r="R81" s="78"/>
      <c r="S81" s="125"/>
      <c r="T81" s="126"/>
      <c r="U81" s="84"/>
      <c r="V81" s="127"/>
      <c r="W81" s="85"/>
      <c r="X81" s="128"/>
      <c r="Y81" s="129"/>
      <c r="AA81" s="4"/>
      <c r="AB81" s="4"/>
      <c r="AC81" s="4"/>
      <c r="AD81" s="4"/>
      <c r="AE81" s="4"/>
    </row>
    <row r="82">
      <c r="A82" s="60">
        <v>78.0</v>
      </c>
      <c r="B82" s="39"/>
      <c r="C82" s="39"/>
      <c r="D82" s="39"/>
      <c r="E82" s="69"/>
      <c r="F82" s="39"/>
      <c r="G82" s="68"/>
      <c r="H82" s="68"/>
      <c r="I82" s="69"/>
      <c r="J82" s="68"/>
      <c r="K82" s="69"/>
      <c r="L82" s="71"/>
      <c r="M82" s="68"/>
      <c r="N82" s="130"/>
      <c r="O82" s="130"/>
      <c r="P82" s="68"/>
      <c r="Q82" s="57"/>
      <c r="R82" s="78"/>
      <c r="S82" s="125"/>
      <c r="T82" s="126"/>
      <c r="U82" s="84"/>
      <c r="V82" s="127"/>
      <c r="W82" s="85"/>
      <c r="X82" s="128"/>
      <c r="Y82" s="129"/>
      <c r="AA82" s="4"/>
      <c r="AB82" s="4"/>
      <c r="AC82" s="4"/>
      <c r="AD82" s="4"/>
      <c r="AE82" s="4"/>
    </row>
    <row r="83">
      <c r="A83" s="60">
        <v>79.0</v>
      </c>
      <c r="B83" s="123">
        <v>13.0</v>
      </c>
      <c r="C83" s="42"/>
      <c r="D83" s="42"/>
      <c r="E83" s="69"/>
      <c r="F83" s="42"/>
      <c r="G83" s="68"/>
      <c r="H83" s="68"/>
      <c r="I83" s="69"/>
      <c r="J83" s="68"/>
      <c r="K83" s="69"/>
      <c r="L83" s="71"/>
      <c r="M83" s="68"/>
      <c r="N83" s="130"/>
      <c r="O83" s="130"/>
      <c r="P83" s="68"/>
      <c r="Q83" s="57"/>
      <c r="R83" s="78"/>
      <c r="S83" s="125"/>
      <c r="T83" s="126"/>
      <c r="U83" s="84"/>
      <c r="V83" s="127"/>
      <c r="W83" s="85"/>
      <c r="X83" s="128"/>
      <c r="Y83" s="129"/>
      <c r="AA83" s="4"/>
      <c r="AB83" s="4"/>
      <c r="AC83" s="4"/>
      <c r="AD83" s="4"/>
      <c r="AE83" s="4"/>
    </row>
    <row r="84">
      <c r="A84" s="60">
        <v>80.0</v>
      </c>
      <c r="B84" s="39"/>
      <c r="C84" s="39"/>
      <c r="D84" s="39"/>
      <c r="E84" s="69"/>
      <c r="F84" s="39"/>
      <c r="G84" s="68"/>
      <c r="H84" s="68"/>
      <c r="I84" s="69"/>
      <c r="J84" s="68"/>
      <c r="K84" s="69"/>
      <c r="L84" s="71"/>
      <c r="M84" s="68"/>
      <c r="N84" s="130"/>
      <c r="O84" s="130"/>
      <c r="P84" s="68"/>
      <c r="Q84" s="57"/>
      <c r="R84" s="78"/>
      <c r="S84" s="125"/>
      <c r="T84" s="126"/>
      <c r="U84" s="84"/>
      <c r="V84" s="127"/>
      <c r="W84" s="85"/>
      <c r="X84" s="128"/>
      <c r="Y84" s="129"/>
      <c r="AA84" s="4"/>
      <c r="AB84" s="4"/>
      <c r="AC84" s="4"/>
      <c r="AD84" s="4"/>
      <c r="AE84" s="4"/>
    </row>
    <row r="85">
      <c r="A85" s="60">
        <v>81.0</v>
      </c>
      <c r="B85" s="123">
        <v>14.0</v>
      </c>
      <c r="C85" s="42"/>
      <c r="D85" s="42"/>
      <c r="E85" s="69"/>
      <c r="F85" s="42"/>
      <c r="G85" s="68"/>
      <c r="H85" s="68"/>
      <c r="I85" s="69"/>
      <c r="J85" s="68"/>
      <c r="K85" s="69"/>
      <c r="L85" s="71"/>
      <c r="M85" s="68"/>
      <c r="N85" s="130"/>
      <c r="O85" s="130"/>
      <c r="P85" s="68"/>
      <c r="Q85" s="57"/>
      <c r="R85" s="78"/>
      <c r="S85" s="125"/>
      <c r="T85" s="126"/>
      <c r="U85" s="84"/>
      <c r="V85" s="127"/>
      <c r="W85" s="85"/>
      <c r="X85" s="128"/>
      <c r="Y85" s="129"/>
      <c r="AA85" s="4"/>
      <c r="AB85" s="4"/>
      <c r="AC85" s="4"/>
      <c r="AD85" s="4"/>
      <c r="AE85" s="4"/>
    </row>
    <row r="86">
      <c r="A86" s="60">
        <v>82.0</v>
      </c>
      <c r="B86" s="39"/>
      <c r="C86" s="39"/>
      <c r="D86" s="39"/>
      <c r="E86" s="69"/>
      <c r="F86" s="39"/>
      <c r="G86" s="68"/>
      <c r="H86" s="68"/>
      <c r="I86" s="69"/>
      <c r="J86" s="68"/>
      <c r="K86" s="69"/>
      <c r="L86" s="71"/>
      <c r="M86" s="68"/>
      <c r="N86" s="130"/>
      <c r="O86" s="130"/>
      <c r="P86" s="68"/>
      <c r="Q86" s="57"/>
      <c r="R86" s="78"/>
      <c r="S86" s="125"/>
      <c r="T86" s="126"/>
      <c r="U86" s="84"/>
      <c r="V86" s="127"/>
      <c r="W86" s="85"/>
      <c r="X86" s="128"/>
      <c r="Y86" s="129"/>
      <c r="AA86" s="4"/>
      <c r="AB86" s="4"/>
      <c r="AC86" s="4"/>
      <c r="AD86" s="4"/>
      <c r="AE86" s="4"/>
    </row>
    <row r="87">
      <c r="A87" s="60">
        <v>83.0</v>
      </c>
      <c r="B87" s="123">
        <v>15.0</v>
      </c>
      <c r="C87" s="42"/>
      <c r="D87" s="42"/>
      <c r="E87" s="69"/>
      <c r="F87" s="42"/>
      <c r="G87" s="68"/>
      <c r="H87" s="68"/>
      <c r="I87" s="69"/>
      <c r="J87" s="68"/>
      <c r="K87" s="69"/>
      <c r="L87" s="71"/>
      <c r="M87" s="68"/>
      <c r="N87" s="130"/>
      <c r="O87" s="130"/>
      <c r="P87" s="68"/>
      <c r="Q87" s="57"/>
      <c r="R87" s="78"/>
      <c r="S87" s="125"/>
      <c r="T87" s="126"/>
      <c r="U87" s="84"/>
      <c r="V87" s="127"/>
      <c r="W87" s="85"/>
      <c r="X87" s="128"/>
      <c r="Y87" s="129"/>
      <c r="AA87" s="4"/>
      <c r="AB87" s="4"/>
      <c r="AC87" s="4"/>
      <c r="AD87" s="4"/>
      <c r="AE87" s="4"/>
    </row>
    <row r="88">
      <c r="A88" s="60">
        <v>84.0</v>
      </c>
      <c r="B88" s="39"/>
      <c r="C88" s="39"/>
      <c r="D88" s="39"/>
      <c r="E88" s="69"/>
      <c r="F88" s="39"/>
      <c r="G88" s="68"/>
      <c r="H88" s="68"/>
      <c r="I88" s="69"/>
      <c r="J88" s="68"/>
      <c r="K88" s="69"/>
      <c r="L88" s="71"/>
      <c r="M88" s="68"/>
      <c r="N88" s="130"/>
      <c r="O88" s="130"/>
      <c r="P88" s="68"/>
      <c r="Q88" s="57"/>
      <c r="R88" s="78"/>
      <c r="S88" s="125"/>
      <c r="T88" s="126"/>
      <c r="U88" s="84"/>
      <c r="V88" s="127"/>
      <c r="W88" s="85"/>
      <c r="X88" s="128"/>
      <c r="Y88" s="129"/>
      <c r="AA88" s="4"/>
      <c r="AB88" s="4"/>
      <c r="AC88" s="4"/>
      <c r="AD88" s="4"/>
      <c r="AE88" s="4"/>
    </row>
    <row r="89">
      <c r="A89" s="60">
        <v>85.0</v>
      </c>
      <c r="B89" s="123">
        <v>16.0</v>
      </c>
      <c r="C89" s="84"/>
      <c r="D89" s="84"/>
      <c r="E89" s="69"/>
      <c r="F89" s="84"/>
      <c r="G89" s="68"/>
      <c r="H89" s="68"/>
      <c r="I89" s="69"/>
      <c r="J89" s="68"/>
      <c r="K89" s="69"/>
      <c r="L89" s="71"/>
      <c r="M89" s="68"/>
      <c r="N89" s="130"/>
      <c r="O89" s="130"/>
      <c r="P89" s="68"/>
      <c r="Q89" s="57"/>
      <c r="R89" s="78"/>
      <c r="S89" s="125"/>
      <c r="T89" s="126"/>
      <c r="U89" s="84"/>
      <c r="V89" s="127"/>
      <c r="W89" s="85"/>
      <c r="X89" s="128"/>
      <c r="Y89" s="129"/>
      <c r="AA89" s="4"/>
      <c r="AB89" s="4"/>
      <c r="AC89" s="4"/>
      <c r="AD89" s="4"/>
      <c r="AE89" s="4"/>
    </row>
    <row r="90">
      <c r="A90" s="60">
        <v>86.0</v>
      </c>
      <c r="B90" s="39"/>
      <c r="C90" s="39"/>
      <c r="D90" s="39"/>
      <c r="E90" s="69"/>
      <c r="F90" s="39"/>
      <c r="G90" s="68"/>
      <c r="H90" s="68"/>
      <c r="I90" s="69"/>
      <c r="J90" s="68"/>
      <c r="K90" s="69"/>
      <c r="L90" s="71"/>
      <c r="M90" s="68"/>
      <c r="N90" s="130"/>
      <c r="O90" s="130"/>
      <c r="P90" s="68"/>
      <c r="Q90" s="57"/>
      <c r="R90" s="78"/>
      <c r="S90" s="125"/>
      <c r="T90" s="126"/>
      <c r="U90" s="84"/>
      <c r="V90" s="127"/>
      <c r="W90" s="85"/>
      <c r="X90" s="128"/>
      <c r="Y90" s="129"/>
      <c r="AA90" s="4"/>
      <c r="AB90" s="4"/>
      <c r="AC90" s="4"/>
      <c r="AD90" s="4"/>
      <c r="AE90" s="4"/>
    </row>
    <row r="91">
      <c r="A91" s="60"/>
      <c r="B91" s="69"/>
      <c r="C91" s="60" t="s">
        <v>290</v>
      </c>
      <c r="D91" s="69"/>
      <c r="E91" s="69"/>
      <c r="F91" s="69"/>
      <c r="G91" s="68"/>
      <c r="H91" s="68"/>
      <c r="I91" s="69"/>
      <c r="J91" s="68"/>
      <c r="K91" s="69"/>
      <c r="L91" s="71"/>
      <c r="M91" s="68"/>
      <c r="N91" s="130"/>
      <c r="O91" s="130"/>
      <c r="P91" s="68"/>
      <c r="Q91" s="57"/>
      <c r="R91" s="131"/>
      <c r="S91" s="132"/>
      <c r="T91" s="133"/>
      <c r="U91" s="134"/>
      <c r="V91" s="135"/>
      <c r="W91" s="136"/>
      <c r="X91" s="137"/>
      <c r="Y91" s="129"/>
      <c r="AA91" s="4"/>
      <c r="AB91" s="4"/>
      <c r="AC91" s="4"/>
      <c r="AD91" s="4"/>
      <c r="AE91" s="4"/>
    </row>
    <row r="92">
      <c r="A92" s="60"/>
      <c r="B92" s="138"/>
      <c r="C92" s="138"/>
      <c r="D92" s="138"/>
      <c r="E92" s="138"/>
      <c r="F92" s="138"/>
      <c r="G92" s="138"/>
      <c r="H92" s="138"/>
      <c r="I92" s="138"/>
      <c r="J92" s="138" t="s">
        <v>291</v>
      </c>
      <c r="K92" s="138"/>
      <c r="L92" s="139"/>
      <c r="M92" s="138"/>
      <c r="N92" s="139"/>
      <c r="O92" s="139"/>
      <c r="P92" s="138"/>
      <c r="Q92" s="138"/>
      <c r="R92" s="3"/>
      <c r="S92" s="4"/>
      <c r="T92" s="5"/>
      <c r="U92" s="4"/>
      <c r="V92" s="4"/>
      <c r="W92" s="6"/>
      <c r="X92" s="67"/>
      <c r="Y92" s="67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3"/>
      <c r="M93" s="4"/>
      <c r="N93" s="3"/>
      <c r="O93" s="3"/>
      <c r="P93" s="4"/>
      <c r="Q93" s="4"/>
      <c r="R93" s="3"/>
      <c r="S93" s="4"/>
      <c r="T93" s="5"/>
      <c r="U93" s="4"/>
      <c r="V93" s="4"/>
      <c r="W93" s="6"/>
      <c r="X93" s="67"/>
      <c r="Y93" s="67"/>
      <c r="Z93" s="4"/>
      <c r="AA93" s="4"/>
      <c r="AB93" s="4"/>
      <c r="AC93" s="4"/>
      <c r="AD93" s="4"/>
      <c r="AE93" s="4"/>
    </row>
    <row r="94">
      <c r="A94" s="140" t="s">
        <v>292</v>
      </c>
      <c r="H94" s="4"/>
      <c r="I94" s="4"/>
      <c r="J94" s="4"/>
      <c r="K94" s="4"/>
      <c r="L94" s="3"/>
      <c r="M94" s="4"/>
      <c r="N94" s="3"/>
      <c r="O94" s="3"/>
      <c r="P94" s="4"/>
      <c r="Q94" s="4"/>
      <c r="R94" s="3"/>
      <c r="S94" s="4"/>
      <c r="T94" s="5"/>
      <c r="U94" s="4"/>
      <c r="V94" s="4"/>
      <c r="W94" s="6"/>
      <c r="X94" s="67"/>
      <c r="Y94" s="67"/>
      <c r="Z94" s="4"/>
      <c r="AA94" s="4"/>
      <c r="AB94" s="4"/>
      <c r="AC94" s="4"/>
      <c r="AD94" s="4"/>
      <c r="AE94" s="4"/>
    </row>
    <row r="95">
      <c r="A95" s="141" t="s">
        <v>293</v>
      </c>
      <c r="B95" s="141" t="s">
        <v>294</v>
      </c>
      <c r="C95" s="142" t="s">
        <v>295</v>
      </c>
      <c r="D95" s="143"/>
      <c r="E95" s="142" t="s">
        <v>296</v>
      </c>
      <c r="F95" s="143"/>
      <c r="G95" s="141" t="s">
        <v>297</v>
      </c>
      <c r="H95" s="40" t="s">
        <v>298</v>
      </c>
      <c r="I95" s="4"/>
      <c r="J95" s="4"/>
      <c r="K95" s="4"/>
      <c r="L95" s="3"/>
      <c r="M95" s="4"/>
      <c r="N95" s="3"/>
      <c r="O95" s="3"/>
      <c r="P95" s="4"/>
      <c r="Q95" s="4"/>
      <c r="R95" s="3"/>
      <c r="S95" s="4"/>
      <c r="T95" s="5"/>
      <c r="U95" s="4"/>
      <c r="V95" s="4"/>
      <c r="W95" s="6"/>
      <c r="X95" s="67"/>
      <c r="Y95" s="67"/>
      <c r="Z95" s="4"/>
      <c r="AA95" s="4"/>
      <c r="AB95" s="4"/>
      <c r="AC95" s="4"/>
      <c r="AD95" s="4"/>
      <c r="AE95" s="4"/>
    </row>
    <row r="96">
      <c r="A96" s="144">
        <v>45787.0</v>
      </c>
      <c r="B96" s="145" t="s">
        <v>43</v>
      </c>
      <c r="C96" s="146">
        <v>7.0</v>
      </c>
      <c r="D96" s="143"/>
      <c r="E96" s="146">
        <f>countif($F$59:$F$90,"발코니")</f>
        <v>0</v>
      </c>
      <c r="F96" s="143"/>
      <c r="G96" s="145">
        <f t="shared" ref="G96:G99" si="1">C96-E96</f>
        <v>7</v>
      </c>
      <c r="H96" s="147" t="s">
        <v>299</v>
      </c>
      <c r="I96" s="4"/>
      <c r="J96" s="4"/>
      <c r="K96" s="4"/>
      <c r="L96" s="3"/>
      <c r="N96" s="3"/>
      <c r="O96" s="3"/>
      <c r="P96" s="4"/>
      <c r="Q96" s="4"/>
      <c r="R96" s="3"/>
      <c r="S96" s="4"/>
      <c r="T96" s="5"/>
      <c r="U96" s="4"/>
      <c r="V96" s="4"/>
      <c r="W96" s="6"/>
      <c r="X96" s="67"/>
      <c r="Y96" s="67"/>
      <c r="Z96" s="4"/>
      <c r="AA96" s="4"/>
      <c r="AB96" s="4"/>
      <c r="AC96" s="4"/>
      <c r="AD96" s="4"/>
      <c r="AE96" s="4"/>
    </row>
    <row r="97">
      <c r="A97" s="39"/>
      <c r="B97" s="145" t="s">
        <v>61</v>
      </c>
      <c r="C97" s="146">
        <v>9.0</v>
      </c>
      <c r="D97" s="143"/>
      <c r="E97" s="146">
        <f>countif($F$59:$F$90,"내측")</f>
        <v>0</v>
      </c>
      <c r="F97" s="143"/>
      <c r="G97" s="145">
        <f t="shared" si="1"/>
        <v>9</v>
      </c>
      <c r="H97" s="147" t="s">
        <v>300</v>
      </c>
      <c r="I97" s="4"/>
      <c r="J97" s="4"/>
      <c r="K97" s="4"/>
      <c r="L97" s="3"/>
      <c r="N97" s="4"/>
      <c r="O97" s="3"/>
      <c r="P97" s="4"/>
      <c r="Q97" s="4"/>
      <c r="R97" s="3"/>
      <c r="S97" s="4"/>
      <c r="T97" s="5"/>
      <c r="U97" s="4"/>
      <c r="V97" s="4"/>
      <c r="W97" s="6"/>
      <c r="X97" s="67"/>
      <c r="Y97" s="67"/>
      <c r="Z97" s="4"/>
      <c r="AA97" s="4"/>
      <c r="AB97" s="4"/>
      <c r="AC97" s="4"/>
      <c r="AD97" s="4"/>
      <c r="AE97" s="4"/>
    </row>
    <row r="98">
      <c r="A98" s="144">
        <v>45791.0</v>
      </c>
      <c r="B98" s="145" t="s">
        <v>43</v>
      </c>
      <c r="C98" s="148">
        <v>3.0</v>
      </c>
      <c r="D98" s="143"/>
      <c r="E98" s="148">
        <f>'26.05.14 MSC (부산 출발) 2항차'!E79</f>
        <v>3</v>
      </c>
      <c r="F98" s="143"/>
      <c r="G98" s="149">
        <f t="shared" si="1"/>
        <v>0</v>
      </c>
      <c r="H98" s="147" t="s">
        <v>300</v>
      </c>
      <c r="I98" s="4"/>
      <c r="J98" s="4"/>
      <c r="K98" s="4"/>
      <c r="L98" s="3"/>
      <c r="M98" s="4"/>
      <c r="N98" s="4"/>
      <c r="O98" s="3"/>
      <c r="P98" s="4"/>
      <c r="Q98" s="4"/>
      <c r="R98" s="3"/>
      <c r="S98" s="4"/>
      <c r="T98" s="5"/>
      <c r="U98" s="4"/>
      <c r="V98" s="4"/>
      <c r="W98" s="6"/>
      <c r="X98" s="67"/>
      <c r="Y98" s="67"/>
      <c r="Z98" s="4"/>
      <c r="AA98" s="4"/>
      <c r="AB98" s="4"/>
      <c r="AC98" s="4"/>
      <c r="AD98" s="4"/>
      <c r="AE98" s="4"/>
    </row>
    <row r="99">
      <c r="A99" s="39"/>
      <c r="B99" s="145" t="s">
        <v>61</v>
      </c>
      <c r="C99" s="148">
        <v>9.0</v>
      </c>
      <c r="D99" s="143"/>
      <c r="E99" s="148">
        <f>'26.05.14 MSC (부산 출발) 2항차'!E80</f>
        <v>3</v>
      </c>
      <c r="F99" s="143"/>
      <c r="G99" s="149">
        <f t="shared" si="1"/>
        <v>6</v>
      </c>
      <c r="H99" s="147" t="s">
        <v>300</v>
      </c>
      <c r="I99" s="4"/>
      <c r="J99" s="4"/>
      <c r="K99" s="4"/>
      <c r="L99" s="3"/>
      <c r="M99" s="4"/>
      <c r="N99" s="3"/>
      <c r="O99" s="3"/>
      <c r="P99" s="4"/>
      <c r="Q99" s="4"/>
      <c r="R99" s="3"/>
      <c r="S99" s="4"/>
      <c r="T99" s="5"/>
      <c r="U99" s="4"/>
      <c r="V99" s="4"/>
      <c r="W99" s="6"/>
      <c r="X99" s="67"/>
      <c r="Y99" s="67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3"/>
      <c r="M100" s="4"/>
      <c r="N100" s="3"/>
      <c r="O100" s="3"/>
      <c r="P100" s="4"/>
      <c r="Q100" s="4"/>
      <c r="R100" s="3"/>
      <c r="S100" s="4"/>
      <c r="T100" s="5"/>
      <c r="U100" s="4"/>
      <c r="V100" s="4"/>
      <c r="W100" s="6"/>
      <c r="X100" s="67"/>
      <c r="Y100" s="67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3"/>
      <c r="M101" s="4"/>
      <c r="N101" s="3"/>
      <c r="O101" s="3"/>
      <c r="P101" s="4"/>
      <c r="Q101" s="4"/>
      <c r="R101" s="3"/>
      <c r="S101" s="4"/>
      <c r="T101" s="5"/>
      <c r="U101" s="4"/>
      <c r="V101" s="4"/>
      <c r="W101" s="6"/>
      <c r="X101" s="67"/>
      <c r="Y101" s="67"/>
      <c r="Z101" s="4"/>
      <c r="AA101" s="4"/>
      <c r="AB101" s="4"/>
      <c r="AC101" s="4"/>
      <c r="AD101" s="4"/>
      <c r="AE101" s="4"/>
    </row>
    <row r="102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4"/>
      <c r="N102" s="3"/>
      <c r="O102" s="3"/>
      <c r="P102" s="4"/>
      <c r="Q102" s="4"/>
      <c r="R102" s="3"/>
      <c r="S102" s="4"/>
      <c r="T102" s="5"/>
      <c r="U102" s="4"/>
      <c r="V102" s="4"/>
      <c r="W102" s="6"/>
      <c r="X102" s="67"/>
      <c r="Y102" s="67"/>
      <c r="Z102" s="4"/>
      <c r="AA102" s="4"/>
      <c r="AB102" s="4"/>
      <c r="AC102" s="4"/>
      <c r="AD102" s="4"/>
      <c r="AE102" s="4"/>
    </row>
    <row r="103">
      <c r="A103" s="150" t="s">
        <v>293</v>
      </c>
      <c r="B103" s="150" t="s">
        <v>294</v>
      </c>
      <c r="C103" s="150" t="s">
        <v>301</v>
      </c>
      <c r="D103" s="150" t="s">
        <v>302</v>
      </c>
      <c r="E103" s="150" t="s">
        <v>303</v>
      </c>
      <c r="F103" s="150" t="s">
        <v>304</v>
      </c>
      <c r="G103" s="150" t="s">
        <v>297</v>
      </c>
      <c r="H103" s="4"/>
      <c r="I103" s="4"/>
      <c r="J103" s="4"/>
      <c r="K103" s="4"/>
      <c r="L103" s="3"/>
      <c r="M103" s="4"/>
      <c r="N103" s="3"/>
      <c r="O103" s="3"/>
      <c r="P103" s="4"/>
      <c r="Q103" s="4"/>
      <c r="R103" s="3"/>
      <c r="S103" s="4"/>
      <c r="T103" s="5"/>
      <c r="U103" s="4"/>
      <c r="V103" s="4"/>
      <c r="W103" s="6"/>
      <c r="X103" s="67"/>
      <c r="Y103" s="67"/>
      <c r="Z103" s="4"/>
      <c r="AA103" s="4"/>
      <c r="AB103" s="4"/>
      <c r="AC103" s="4"/>
      <c r="AD103" s="4"/>
      <c r="AE103" s="4"/>
    </row>
    <row r="104">
      <c r="A104" s="151">
        <v>45787.0</v>
      </c>
      <c r="B104" s="43" t="s">
        <v>43</v>
      </c>
      <c r="C104" s="43">
        <v>4.0</v>
      </c>
      <c r="D104" s="43">
        <v>4.0</v>
      </c>
      <c r="E104" s="43">
        <v>3.0</v>
      </c>
      <c r="F104" s="69">
        <f t="shared" ref="F104:F107" si="2">SUM(C104:E104)</f>
        <v>11</v>
      </c>
      <c r="G104" s="43">
        <f t="shared" ref="G104:G107" si="3">8-F104</f>
        <v>-3</v>
      </c>
      <c r="H104" s="40" t="s">
        <v>305</v>
      </c>
      <c r="I104" s="40" t="s">
        <v>43</v>
      </c>
      <c r="J104" s="40">
        <v>4.0</v>
      </c>
      <c r="K104" s="40" t="s">
        <v>306</v>
      </c>
      <c r="L104" s="3"/>
      <c r="M104" s="4"/>
      <c r="N104" s="3"/>
      <c r="O104" s="3"/>
      <c r="P104" s="4"/>
      <c r="Q104" s="4"/>
      <c r="R104" s="3"/>
      <c r="S104" s="4"/>
      <c r="T104" s="5"/>
      <c r="U104" s="4"/>
      <c r="V104" s="4"/>
      <c r="W104" s="6"/>
      <c r="X104" s="67"/>
      <c r="Y104" s="67"/>
      <c r="Z104" s="4"/>
      <c r="AA104" s="4"/>
      <c r="AB104" s="4"/>
      <c r="AC104" s="4"/>
      <c r="AD104" s="4"/>
      <c r="AE104" s="4"/>
    </row>
    <row r="105">
      <c r="A105" s="39"/>
      <c r="B105" s="43" t="s">
        <v>61</v>
      </c>
      <c r="C105" s="43">
        <v>3.0</v>
      </c>
      <c r="D105" s="69"/>
      <c r="E105" s="69"/>
      <c r="F105" s="69">
        <f t="shared" si="2"/>
        <v>3</v>
      </c>
      <c r="G105" s="43">
        <f t="shared" si="3"/>
        <v>5</v>
      </c>
      <c r="H105" s="4"/>
      <c r="I105" s="40" t="s">
        <v>61</v>
      </c>
      <c r="J105" s="40">
        <v>2.0</v>
      </c>
      <c r="K105" s="40" t="s">
        <v>307</v>
      </c>
      <c r="L105" s="3"/>
      <c r="M105" s="4"/>
      <c r="N105" s="3"/>
      <c r="O105" s="3"/>
      <c r="P105" s="4"/>
      <c r="Q105" s="4"/>
      <c r="R105" s="3"/>
      <c r="S105" s="4"/>
      <c r="T105" s="5"/>
      <c r="U105" s="4"/>
      <c r="V105" s="4"/>
      <c r="W105" s="6"/>
      <c r="X105" s="67"/>
      <c r="Y105" s="67"/>
      <c r="Z105" s="4"/>
      <c r="AA105" s="4"/>
      <c r="AB105" s="4"/>
      <c r="AC105" s="4"/>
      <c r="AD105" s="4"/>
      <c r="AE105" s="4"/>
    </row>
    <row r="106">
      <c r="A106" s="151">
        <v>45791.0</v>
      </c>
      <c r="B106" s="43" t="s">
        <v>43</v>
      </c>
      <c r="C106" s="43">
        <v>5.0</v>
      </c>
      <c r="D106" s="43">
        <v>2.0</v>
      </c>
      <c r="E106" s="43">
        <v>1.0</v>
      </c>
      <c r="F106" s="69">
        <f t="shared" si="2"/>
        <v>8</v>
      </c>
      <c r="G106" s="43">
        <f t="shared" si="3"/>
        <v>0</v>
      </c>
      <c r="H106" s="4"/>
      <c r="I106" s="4"/>
      <c r="J106" s="4"/>
      <c r="K106" s="4"/>
      <c r="L106" s="3"/>
      <c r="M106" s="4"/>
      <c r="N106" s="3"/>
      <c r="O106" s="3"/>
      <c r="P106" s="4"/>
      <c r="Q106" s="4"/>
      <c r="R106" s="3"/>
      <c r="S106" s="4"/>
      <c r="T106" s="5"/>
      <c r="U106" s="4"/>
      <c r="V106" s="4"/>
      <c r="W106" s="6"/>
      <c r="X106" s="67"/>
      <c r="Y106" s="67"/>
      <c r="Z106" s="4"/>
      <c r="AA106" s="4"/>
      <c r="AB106" s="4"/>
      <c r="AC106" s="4"/>
      <c r="AD106" s="4"/>
      <c r="AE106" s="4"/>
    </row>
    <row r="107">
      <c r="A107" s="39"/>
      <c r="B107" s="43" t="s">
        <v>61</v>
      </c>
      <c r="C107" s="43">
        <v>2.0</v>
      </c>
      <c r="D107" s="43">
        <v>1.0</v>
      </c>
      <c r="E107" s="43">
        <v>3.0</v>
      </c>
      <c r="F107" s="69">
        <f t="shared" si="2"/>
        <v>6</v>
      </c>
      <c r="G107" s="43">
        <f t="shared" si="3"/>
        <v>2</v>
      </c>
      <c r="H107" s="4"/>
      <c r="I107" s="4"/>
      <c r="J107" s="4"/>
      <c r="K107" s="4"/>
      <c r="L107" s="3"/>
      <c r="M107" s="4"/>
      <c r="N107" s="3"/>
      <c r="O107" s="3"/>
      <c r="P107" s="4"/>
      <c r="Q107" s="4"/>
      <c r="R107" s="3"/>
      <c r="S107" s="4"/>
      <c r="T107" s="5"/>
      <c r="U107" s="4"/>
      <c r="V107" s="4"/>
      <c r="W107" s="6"/>
      <c r="X107" s="67"/>
      <c r="Y107" s="67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3"/>
      <c r="M108" s="4"/>
      <c r="N108" s="3"/>
      <c r="O108" s="3"/>
      <c r="P108" s="4"/>
      <c r="Q108" s="4"/>
      <c r="R108" s="3"/>
      <c r="S108" s="4"/>
      <c r="T108" s="5"/>
      <c r="U108" s="4"/>
      <c r="V108" s="4"/>
      <c r="W108" s="6"/>
      <c r="X108" s="67"/>
      <c r="Y108" s="67"/>
      <c r="Z108" s="4"/>
      <c r="AA108" s="4"/>
      <c r="AB108" s="4"/>
      <c r="AC108" s="4"/>
      <c r="AD108" s="4"/>
      <c r="AE108" s="4"/>
    </row>
    <row r="109">
      <c r="I109" s="4"/>
      <c r="J109" s="4"/>
      <c r="K109" s="4"/>
      <c r="L109" s="3"/>
      <c r="M109" s="4"/>
      <c r="N109" s="3"/>
      <c r="O109" s="3"/>
      <c r="P109" s="4"/>
      <c r="Q109" s="4"/>
      <c r="R109" s="3"/>
      <c r="S109" s="4"/>
      <c r="T109" s="5"/>
      <c r="U109" s="4"/>
      <c r="V109" s="4"/>
      <c r="W109" s="6"/>
      <c r="X109" s="67"/>
      <c r="Y109" s="67"/>
      <c r="Z109" s="4"/>
      <c r="AA109" s="4"/>
      <c r="AB109" s="4"/>
      <c r="AC109" s="4"/>
      <c r="AD109" s="4"/>
      <c r="AE109" s="4"/>
    </row>
    <row r="110">
      <c r="H110" s="4"/>
      <c r="I110" s="4"/>
      <c r="J110" s="4"/>
      <c r="K110" s="4"/>
      <c r="L110" s="3"/>
      <c r="M110" s="4"/>
      <c r="N110" s="3"/>
      <c r="O110" s="3"/>
      <c r="P110" s="4"/>
      <c r="Q110" s="4"/>
      <c r="R110" s="3"/>
      <c r="S110" s="4"/>
      <c r="T110" s="5"/>
      <c r="U110" s="4"/>
      <c r="V110" s="4"/>
      <c r="W110" s="6"/>
      <c r="X110" s="67"/>
      <c r="Y110" s="67"/>
      <c r="Z110" s="4"/>
      <c r="AA110" s="4"/>
      <c r="AB110" s="4"/>
      <c r="AC110" s="4"/>
      <c r="AD110" s="4"/>
      <c r="AE110" s="4"/>
    </row>
    <row r="111">
      <c r="H111" s="4"/>
      <c r="I111" s="4"/>
      <c r="J111" s="4"/>
      <c r="K111" s="4"/>
      <c r="L111" s="3"/>
      <c r="M111" s="4"/>
      <c r="N111" s="3"/>
      <c r="O111" s="3"/>
      <c r="P111" s="4"/>
      <c r="Q111" s="4"/>
      <c r="R111" s="3"/>
      <c r="S111" s="4"/>
      <c r="T111" s="5"/>
      <c r="U111" s="4"/>
      <c r="V111" s="4"/>
      <c r="W111" s="6"/>
      <c r="X111" s="67"/>
      <c r="Y111" s="67"/>
      <c r="Z111" s="4"/>
      <c r="AA111" s="4"/>
      <c r="AB111" s="4"/>
      <c r="AC111" s="4"/>
      <c r="AD111" s="4"/>
      <c r="AE111" s="4"/>
    </row>
    <row r="112">
      <c r="H112" s="4"/>
      <c r="I112" s="4"/>
      <c r="J112" s="4"/>
      <c r="K112" s="4"/>
      <c r="L112" s="3"/>
      <c r="M112" s="4"/>
      <c r="N112" s="3"/>
      <c r="O112" s="3"/>
      <c r="P112" s="4"/>
      <c r="Q112" s="4"/>
      <c r="R112" s="3"/>
      <c r="S112" s="4"/>
      <c r="T112" s="5"/>
      <c r="U112" s="4"/>
      <c r="V112" s="4"/>
      <c r="W112" s="6"/>
      <c r="X112" s="67"/>
      <c r="Y112" s="67"/>
      <c r="Z112" s="4"/>
      <c r="AA112" s="4"/>
      <c r="AB112" s="4"/>
      <c r="AC112" s="4"/>
      <c r="AD112" s="4"/>
      <c r="AE112" s="4"/>
    </row>
    <row r="113">
      <c r="H113" s="4"/>
      <c r="I113" s="4"/>
      <c r="J113" s="4"/>
      <c r="K113" s="4"/>
      <c r="L113" s="3"/>
      <c r="M113" s="4"/>
      <c r="N113" s="3"/>
      <c r="O113" s="3"/>
      <c r="P113" s="4"/>
      <c r="Q113" s="4"/>
      <c r="R113" s="3"/>
      <c r="S113" s="4"/>
      <c r="T113" s="5"/>
      <c r="U113" s="4"/>
      <c r="V113" s="4"/>
      <c r="W113" s="6"/>
      <c r="X113" s="67"/>
      <c r="Y113" s="67"/>
      <c r="Z113" s="4"/>
      <c r="AA113" s="4"/>
      <c r="AB113" s="4"/>
      <c r="AC113" s="4"/>
      <c r="AD113" s="4"/>
      <c r="AE113" s="4"/>
    </row>
    <row r="114">
      <c r="H114" s="4"/>
      <c r="I114" s="4"/>
      <c r="J114" s="4"/>
      <c r="K114" s="4"/>
      <c r="L114" s="3"/>
      <c r="M114" s="4"/>
      <c r="N114" s="3"/>
      <c r="O114" s="3"/>
      <c r="P114" s="4"/>
      <c r="Q114" s="4"/>
      <c r="R114" s="3"/>
      <c r="S114" s="4"/>
      <c r="T114" s="5"/>
      <c r="U114" s="4"/>
      <c r="V114" s="4"/>
      <c r="W114" s="6"/>
      <c r="X114" s="67"/>
      <c r="Y114" s="67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3"/>
      <c r="M115" s="4"/>
      <c r="N115" s="3"/>
      <c r="O115" s="3"/>
      <c r="P115" s="4"/>
      <c r="Q115" s="4"/>
      <c r="R115" s="3"/>
      <c r="S115" s="4"/>
      <c r="T115" s="5"/>
      <c r="U115" s="4"/>
      <c r="V115" s="4"/>
      <c r="W115" s="6"/>
      <c r="X115" s="67"/>
      <c r="Y115" s="67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3"/>
      <c r="M116" s="4"/>
      <c r="N116" s="3"/>
      <c r="O116" s="3"/>
      <c r="P116" s="4"/>
      <c r="Q116" s="4"/>
      <c r="R116" s="3"/>
      <c r="S116" s="4"/>
      <c r="T116" s="5"/>
      <c r="U116" s="4"/>
      <c r="V116" s="4"/>
      <c r="W116" s="6"/>
      <c r="X116" s="67"/>
      <c r="Y116" s="67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4"/>
      <c r="N117" s="3"/>
      <c r="O117" s="3"/>
      <c r="P117" s="4"/>
      <c r="Q117" s="4"/>
      <c r="R117" s="3"/>
      <c r="S117" s="4"/>
      <c r="T117" s="5"/>
      <c r="U117" s="4"/>
      <c r="V117" s="4"/>
      <c r="W117" s="6"/>
      <c r="X117" s="67"/>
      <c r="Y117" s="67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4"/>
      <c r="N118" s="3"/>
      <c r="O118" s="3"/>
      <c r="P118" s="4"/>
      <c r="Q118" s="4"/>
      <c r="R118" s="3"/>
      <c r="S118" s="4"/>
      <c r="T118" s="5"/>
      <c r="U118" s="4"/>
      <c r="V118" s="4"/>
      <c r="W118" s="6"/>
      <c r="X118" s="67"/>
      <c r="Y118" s="67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4"/>
      <c r="N119" s="3"/>
      <c r="O119" s="3"/>
      <c r="P119" s="4"/>
      <c r="Q119" s="4"/>
      <c r="R119" s="3"/>
      <c r="S119" s="4"/>
      <c r="T119" s="5"/>
      <c r="U119" s="4"/>
      <c r="V119" s="4"/>
      <c r="W119" s="6"/>
      <c r="X119" s="67"/>
      <c r="Y119" s="67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4"/>
      <c r="N120" s="3"/>
      <c r="O120" s="3"/>
      <c r="P120" s="4"/>
      <c r="Q120" s="4"/>
      <c r="R120" s="3"/>
      <c r="S120" s="4"/>
      <c r="T120" s="5"/>
      <c r="U120" s="4"/>
      <c r="V120" s="4"/>
      <c r="W120" s="6"/>
      <c r="X120" s="67"/>
      <c r="Y120" s="67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4"/>
      <c r="N121" s="3"/>
      <c r="O121" s="3"/>
      <c r="P121" s="4"/>
      <c r="Q121" s="4"/>
      <c r="R121" s="3"/>
      <c r="S121" s="4"/>
      <c r="T121" s="5"/>
      <c r="U121" s="4"/>
      <c r="V121" s="4"/>
      <c r="W121" s="6"/>
      <c r="X121" s="67"/>
      <c r="Y121" s="67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3"/>
      <c r="M122" s="4"/>
      <c r="N122" s="3"/>
      <c r="O122" s="3"/>
      <c r="P122" s="4"/>
      <c r="Q122" s="4"/>
      <c r="R122" s="3"/>
      <c r="S122" s="4"/>
      <c r="T122" s="5"/>
      <c r="U122" s="4"/>
      <c r="V122" s="4"/>
      <c r="W122" s="6"/>
      <c r="X122" s="67"/>
      <c r="Y122" s="67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3"/>
      <c r="M123" s="4"/>
      <c r="N123" s="3"/>
      <c r="O123" s="3"/>
      <c r="P123" s="4"/>
      <c r="Q123" s="4"/>
      <c r="R123" s="3"/>
      <c r="S123" s="4"/>
      <c r="T123" s="5"/>
      <c r="U123" s="4"/>
      <c r="V123" s="4"/>
      <c r="W123" s="6"/>
      <c r="X123" s="67"/>
      <c r="Y123" s="67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3"/>
      <c r="M124" s="4"/>
      <c r="N124" s="3"/>
      <c r="O124" s="3"/>
      <c r="P124" s="4"/>
      <c r="Q124" s="4"/>
      <c r="R124" s="3"/>
      <c r="S124" s="4"/>
      <c r="T124" s="5"/>
      <c r="U124" s="4"/>
      <c r="V124" s="4"/>
      <c r="W124" s="6"/>
      <c r="X124" s="67"/>
      <c r="Y124" s="67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3"/>
      <c r="M125" s="4"/>
      <c r="N125" s="3"/>
      <c r="O125" s="3"/>
      <c r="P125" s="4"/>
      <c r="Q125" s="4"/>
      <c r="R125" s="3"/>
      <c r="S125" s="4"/>
      <c r="T125" s="5"/>
      <c r="U125" s="4"/>
      <c r="V125" s="4"/>
      <c r="W125" s="6"/>
      <c r="X125" s="67"/>
      <c r="Y125" s="67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3"/>
      <c r="M126" s="4"/>
      <c r="N126" s="3"/>
      <c r="O126" s="3"/>
      <c r="P126" s="4"/>
      <c r="Q126" s="4"/>
      <c r="R126" s="3"/>
      <c r="S126" s="4"/>
      <c r="T126" s="5"/>
      <c r="U126" s="4"/>
      <c r="V126" s="4"/>
      <c r="W126" s="6"/>
      <c r="X126" s="67"/>
      <c r="Y126" s="67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3"/>
      <c r="M127" s="4"/>
      <c r="N127" s="3"/>
      <c r="O127" s="3"/>
      <c r="P127" s="4"/>
      <c r="Q127" s="4"/>
      <c r="R127" s="3"/>
      <c r="S127" s="4"/>
      <c r="T127" s="5"/>
      <c r="U127" s="4"/>
      <c r="V127" s="4"/>
      <c r="W127" s="6"/>
      <c r="X127" s="67"/>
      <c r="Y127" s="67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3"/>
      <c r="M128" s="4"/>
      <c r="N128" s="3"/>
      <c r="O128" s="3"/>
      <c r="P128" s="4"/>
      <c r="Q128" s="4"/>
      <c r="R128" s="3"/>
      <c r="S128" s="4"/>
      <c r="T128" s="5"/>
      <c r="U128" s="4"/>
      <c r="V128" s="4"/>
      <c r="W128" s="6"/>
      <c r="X128" s="67"/>
      <c r="Y128" s="67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3"/>
      <c r="M129" s="4"/>
      <c r="N129" s="3"/>
      <c r="O129" s="3"/>
      <c r="P129" s="4"/>
      <c r="Q129" s="4"/>
      <c r="R129" s="3"/>
      <c r="S129" s="4"/>
      <c r="T129" s="5"/>
      <c r="U129" s="4"/>
      <c r="V129" s="4"/>
      <c r="W129" s="6"/>
      <c r="X129" s="67"/>
      <c r="Y129" s="67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3"/>
      <c r="M130" s="4"/>
      <c r="N130" s="3"/>
      <c r="O130" s="3"/>
      <c r="P130" s="4"/>
      <c r="Q130" s="4"/>
      <c r="R130" s="3"/>
      <c r="S130" s="4"/>
      <c r="T130" s="5"/>
      <c r="U130" s="4"/>
      <c r="V130" s="4"/>
      <c r="W130" s="6"/>
      <c r="X130" s="67"/>
      <c r="Y130" s="67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3"/>
      <c r="M131" s="4"/>
      <c r="N131" s="3"/>
      <c r="O131" s="3"/>
      <c r="P131" s="4"/>
      <c r="Q131" s="4"/>
      <c r="R131" s="3"/>
      <c r="S131" s="4"/>
      <c r="T131" s="5"/>
      <c r="U131" s="4"/>
      <c r="V131" s="4"/>
      <c r="W131" s="6"/>
      <c r="X131" s="67"/>
      <c r="Y131" s="67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3"/>
      <c r="M132" s="4"/>
      <c r="N132" s="3"/>
      <c r="O132" s="3"/>
      <c r="P132" s="4"/>
      <c r="Q132" s="4"/>
      <c r="R132" s="3"/>
      <c r="S132" s="4"/>
      <c r="T132" s="5"/>
      <c r="U132" s="4"/>
      <c r="V132" s="4"/>
      <c r="W132" s="6"/>
      <c r="X132" s="67"/>
      <c r="Y132" s="67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3"/>
      <c r="M133" s="4"/>
      <c r="N133" s="3"/>
      <c r="O133" s="3"/>
      <c r="P133" s="4"/>
      <c r="Q133" s="4"/>
      <c r="R133" s="3"/>
      <c r="S133" s="4"/>
      <c r="T133" s="5"/>
      <c r="U133" s="4"/>
      <c r="V133" s="4"/>
      <c r="W133" s="6"/>
      <c r="X133" s="67"/>
      <c r="Y133" s="67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3"/>
      <c r="M134" s="4"/>
      <c r="N134" s="3"/>
      <c r="O134" s="3"/>
      <c r="P134" s="4"/>
      <c r="Q134" s="4"/>
      <c r="R134" s="3"/>
      <c r="S134" s="4"/>
      <c r="T134" s="5"/>
      <c r="U134" s="4"/>
      <c r="V134" s="4"/>
      <c r="W134" s="6"/>
      <c r="X134" s="67"/>
      <c r="Y134" s="67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3"/>
      <c r="M135" s="4"/>
      <c r="N135" s="3"/>
      <c r="O135" s="3"/>
      <c r="P135" s="4"/>
      <c r="Q135" s="4"/>
      <c r="R135" s="3"/>
      <c r="S135" s="4"/>
      <c r="T135" s="5"/>
      <c r="U135" s="4"/>
      <c r="V135" s="4"/>
      <c r="W135" s="6"/>
      <c r="X135" s="67"/>
      <c r="Y135" s="67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3"/>
      <c r="M136" s="4"/>
      <c r="N136" s="3"/>
      <c r="O136" s="3"/>
      <c r="P136" s="4"/>
      <c r="Q136" s="4"/>
      <c r="R136" s="3"/>
      <c r="S136" s="4"/>
      <c r="T136" s="5"/>
      <c r="U136" s="4"/>
      <c r="V136" s="4"/>
      <c r="W136" s="6"/>
      <c r="X136" s="67"/>
      <c r="Y136" s="67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3"/>
      <c r="M137" s="4"/>
      <c r="N137" s="3"/>
      <c r="O137" s="3"/>
      <c r="P137" s="4"/>
      <c r="Q137" s="4"/>
      <c r="R137" s="3"/>
      <c r="S137" s="4"/>
      <c r="T137" s="5"/>
      <c r="U137" s="4"/>
      <c r="V137" s="4"/>
      <c r="W137" s="6"/>
      <c r="X137" s="67"/>
      <c r="Y137" s="67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4"/>
      <c r="N138" s="3"/>
      <c r="O138" s="3"/>
      <c r="P138" s="4"/>
      <c r="Q138" s="4"/>
      <c r="R138" s="3"/>
      <c r="S138" s="4"/>
      <c r="T138" s="5"/>
      <c r="U138" s="4"/>
      <c r="V138" s="4"/>
      <c r="W138" s="6"/>
      <c r="X138" s="67"/>
      <c r="Y138" s="67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3"/>
      <c r="M139" s="4"/>
      <c r="N139" s="3"/>
      <c r="O139" s="3"/>
      <c r="P139" s="4"/>
      <c r="Q139" s="4"/>
      <c r="R139" s="3"/>
      <c r="S139" s="4"/>
      <c r="T139" s="5"/>
      <c r="U139" s="4"/>
      <c r="V139" s="4"/>
      <c r="W139" s="6"/>
      <c r="X139" s="67"/>
      <c r="Y139" s="67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4"/>
      <c r="N140" s="3"/>
      <c r="O140" s="3"/>
      <c r="P140" s="4"/>
      <c r="Q140" s="4"/>
      <c r="R140" s="3"/>
      <c r="S140" s="4"/>
      <c r="T140" s="5"/>
      <c r="U140" s="4"/>
      <c r="V140" s="4"/>
      <c r="W140" s="6"/>
      <c r="X140" s="67"/>
      <c r="Y140" s="67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  <c r="M141" s="4"/>
      <c r="N141" s="3"/>
      <c r="O141" s="3"/>
      <c r="P141" s="4"/>
      <c r="Q141" s="4"/>
      <c r="R141" s="3"/>
      <c r="S141" s="4"/>
      <c r="T141" s="5"/>
      <c r="U141" s="4"/>
      <c r="V141" s="4"/>
      <c r="W141" s="6"/>
      <c r="X141" s="67"/>
      <c r="Y141" s="67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  <c r="M142" s="4"/>
      <c r="N142" s="3"/>
      <c r="O142" s="3"/>
      <c r="P142" s="4"/>
      <c r="Q142" s="4"/>
      <c r="R142" s="3"/>
      <c r="S142" s="4"/>
      <c r="T142" s="5"/>
      <c r="U142" s="4"/>
      <c r="V142" s="4"/>
      <c r="W142" s="6"/>
      <c r="X142" s="67"/>
      <c r="Y142" s="67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  <c r="M143" s="4"/>
      <c r="N143" s="3"/>
      <c r="O143" s="3"/>
      <c r="P143" s="4"/>
      <c r="Q143" s="4"/>
      <c r="R143" s="3"/>
      <c r="S143" s="4"/>
      <c r="T143" s="5"/>
      <c r="U143" s="4"/>
      <c r="V143" s="4"/>
      <c r="W143" s="6"/>
      <c r="X143" s="67"/>
      <c r="Y143" s="67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4"/>
      <c r="N144" s="3"/>
      <c r="O144" s="3"/>
      <c r="P144" s="4"/>
      <c r="Q144" s="4"/>
      <c r="R144" s="3"/>
      <c r="S144" s="4"/>
      <c r="T144" s="5"/>
      <c r="U144" s="4"/>
      <c r="V144" s="4"/>
      <c r="W144" s="6"/>
      <c r="X144" s="67"/>
      <c r="Y144" s="67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  <c r="M145" s="4"/>
      <c r="N145" s="3"/>
      <c r="O145" s="3"/>
      <c r="P145" s="4"/>
      <c r="Q145" s="4"/>
      <c r="R145" s="3"/>
      <c r="S145" s="4"/>
      <c r="T145" s="5"/>
      <c r="U145" s="4"/>
      <c r="V145" s="4"/>
      <c r="W145" s="6"/>
      <c r="X145" s="67"/>
      <c r="Y145" s="67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  <c r="M146" s="4"/>
      <c r="N146" s="3"/>
      <c r="O146" s="3"/>
      <c r="P146" s="4"/>
      <c r="Q146" s="4"/>
      <c r="R146" s="3"/>
      <c r="S146" s="4"/>
      <c r="T146" s="5"/>
      <c r="U146" s="4"/>
      <c r="V146" s="4"/>
      <c r="W146" s="6"/>
      <c r="X146" s="67"/>
      <c r="Y146" s="67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  <c r="M147" s="4"/>
      <c r="N147" s="3"/>
      <c r="O147" s="3"/>
      <c r="P147" s="4"/>
      <c r="Q147" s="4"/>
      <c r="R147" s="3"/>
      <c r="S147" s="4"/>
      <c r="T147" s="5"/>
      <c r="U147" s="4"/>
      <c r="V147" s="4"/>
      <c r="W147" s="6"/>
      <c r="X147" s="67"/>
      <c r="Y147" s="67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  <c r="M148" s="4"/>
      <c r="N148" s="3"/>
      <c r="O148" s="3"/>
      <c r="P148" s="4"/>
      <c r="Q148" s="4"/>
      <c r="R148" s="3"/>
      <c r="S148" s="4"/>
      <c r="T148" s="5"/>
      <c r="U148" s="4"/>
      <c r="V148" s="4"/>
      <c r="W148" s="6"/>
      <c r="X148" s="67"/>
      <c r="Y148" s="67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  <c r="M149" s="4"/>
      <c r="N149" s="3"/>
      <c r="O149" s="3"/>
      <c r="P149" s="4"/>
      <c r="Q149" s="4"/>
      <c r="R149" s="3"/>
      <c r="S149" s="4"/>
      <c r="T149" s="5"/>
      <c r="U149" s="4"/>
      <c r="V149" s="4"/>
      <c r="W149" s="6"/>
      <c r="X149" s="67"/>
      <c r="Y149" s="67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  <c r="M150" s="4"/>
      <c r="N150" s="3"/>
      <c r="O150" s="3"/>
      <c r="P150" s="4"/>
      <c r="Q150" s="4"/>
      <c r="R150" s="3"/>
      <c r="S150" s="4"/>
      <c r="T150" s="5"/>
      <c r="U150" s="4"/>
      <c r="V150" s="4"/>
      <c r="W150" s="6"/>
      <c r="X150" s="67"/>
      <c r="Y150" s="67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  <c r="M151" s="4"/>
      <c r="N151" s="3"/>
      <c r="O151" s="3"/>
      <c r="P151" s="4"/>
      <c r="Q151" s="4"/>
      <c r="R151" s="3"/>
      <c r="S151" s="4"/>
      <c r="T151" s="5"/>
      <c r="U151" s="4"/>
      <c r="V151" s="4"/>
      <c r="W151" s="6"/>
      <c r="X151" s="67"/>
      <c r="Y151" s="67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  <c r="M152" s="4"/>
      <c r="N152" s="3"/>
      <c r="O152" s="3"/>
      <c r="P152" s="4"/>
      <c r="Q152" s="4"/>
      <c r="R152" s="3"/>
      <c r="S152" s="4"/>
      <c r="T152" s="5"/>
      <c r="U152" s="4"/>
      <c r="V152" s="4"/>
      <c r="W152" s="6"/>
      <c r="X152" s="67"/>
      <c r="Y152" s="67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  <c r="M153" s="4"/>
      <c r="N153" s="3"/>
      <c r="O153" s="3"/>
      <c r="P153" s="4"/>
      <c r="Q153" s="4"/>
      <c r="R153" s="3"/>
      <c r="S153" s="4"/>
      <c r="T153" s="5"/>
      <c r="U153" s="4"/>
      <c r="V153" s="4"/>
      <c r="W153" s="6"/>
      <c r="X153" s="67"/>
      <c r="Y153" s="67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  <c r="M154" s="4"/>
      <c r="N154" s="3"/>
      <c r="O154" s="3"/>
      <c r="P154" s="4"/>
      <c r="Q154" s="4"/>
      <c r="R154" s="3"/>
      <c r="S154" s="4"/>
      <c r="T154" s="5"/>
      <c r="U154" s="4"/>
      <c r="V154" s="4"/>
      <c r="W154" s="6"/>
      <c r="X154" s="67"/>
      <c r="Y154" s="67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  <c r="M155" s="4"/>
      <c r="N155" s="3"/>
      <c r="O155" s="3"/>
      <c r="P155" s="4"/>
      <c r="Q155" s="4"/>
      <c r="R155" s="3"/>
      <c r="S155" s="4"/>
      <c r="T155" s="5"/>
      <c r="U155" s="4"/>
      <c r="V155" s="4"/>
      <c r="W155" s="6"/>
      <c r="X155" s="67"/>
      <c r="Y155" s="67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  <c r="M156" s="4"/>
      <c r="N156" s="3"/>
      <c r="O156" s="3"/>
      <c r="P156" s="4"/>
      <c r="Q156" s="4"/>
      <c r="R156" s="3"/>
      <c r="S156" s="4"/>
      <c r="T156" s="5"/>
      <c r="U156" s="4"/>
      <c r="V156" s="4"/>
      <c r="W156" s="6"/>
      <c r="X156" s="67"/>
      <c r="Y156" s="67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4"/>
      <c r="N157" s="3"/>
      <c r="O157" s="3"/>
      <c r="P157" s="4"/>
      <c r="Q157" s="4"/>
      <c r="R157" s="3"/>
      <c r="S157" s="4"/>
      <c r="T157" s="5"/>
      <c r="U157" s="4"/>
      <c r="V157" s="4"/>
      <c r="W157" s="6"/>
      <c r="X157" s="67"/>
      <c r="Y157" s="67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  <c r="M158" s="4"/>
      <c r="N158" s="3"/>
      <c r="O158" s="3"/>
      <c r="P158" s="4"/>
      <c r="Q158" s="4"/>
      <c r="R158" s="3"/>
      <c r="S158" s="4"/>
      <c r="T158" s="5"/>
      <c r="U158" s="4"/>
      <c r="V158" s="4"/>
      <c r="W158" s="6"/>
      <c r="X158" s="67"/>
      <c r="Y158" s="67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  <c r="M159" s="4"/>
      <c r="N159" s="3"/>
      <c r="O159" s="3"/>
      <c r="P159" s="4"/>
      <c r="Q159" s="4"/>
      <c r="R159" s="3"/>
      <c r="S159" s="4"/>
      <c r="T159" s="5"/>
      <c r="U159" s="4"/>
      <c r="V159" s="4"/>
      <c r="W159" s="6"/>
      <c r="X159" s="67"/>
      <c r="Y159" s="67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  <c r="M160" s="4"/>
      <c r="N160" s="3"/>
      <c r="O160" s="3"/>
      <c r="P160" s="4"/>
      <c r="Q160" s="4"/>
      <c r="R160" s="3"/>
      <c r="S160" s="4"/>
      <c r="T160" s="5"/>
      <c r="U160" s="4"/>
      <c r="V160" s="4"/>
      <c r="W160" s="6"/>
      <c r="X160" s="67"/>
      <c r="Y160" s="67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4"/>
      <c r="N161" s="3"/>
      <c r="O161" s="3"/>
      <c r="P161" s="4"/>
      <c r="Q161" s="4"/>
      <c r="R161" s="3"/>
      <c r="S161" s="4"/>
      <c r="T161" s="5"/>
      <c r="U161" s="4"/>
      <c r="V161" s="4"/>
      <c r="W161" s="6"/>
      <c r="X161" s="67"/>
      <c r="Y161" s="67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  <c r="M162" s="4"/>
      <c r="N162" s="3"/>
      <c r="O162" s="3"/>
      <c r="P162" s="4"/>
      <c r="Q162" s="4"/>
      <c r="R162" s="3"/>
      <c r="S162" s="4"/>
      <c r="T162" s="5"/>
      <c r="U162" s="4"/>
      <c r="V162" s="4"/>
      <c r="W162" s="6"/>
      <c r="X162" s="67"/>
      <c r="Y162" s="67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4"/>
      <c r="N163" s="3"/>
      <c r="O163" s="3"/>
      <c r="P163" s="4"/>
      <c r="Q163" s="4"/>
      <c r="R163" s="3"/>
      <c r="S163" s="4"/>
      <c r="T163" s="5"/>
      <c r="U163" s="4"/>
      <c r="V163" s="4"/>
      <c r="W163" s="6"/>
      <c r="X163" s="67"/>
      <c r="Y163" s="67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3"/>
      <c r="M164" s="4"/>
      <c r="N164" s="3"/>
      <c r="O164" s="3"/>
      <c r="P164" s="4"/>
      <c r="Q164" s="4"/>
      <c r="R164" s="3"/>
      <c r="S164" s="4"/>
      <c r="T164" s="5"/>
      <c r="U164" s="4"/>
      <c r="V164" s="4"/>
      <c r="W164" s="6"/>
      <c r="X164" s="67"/>
      <c r="Y164" s="67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3"/>
      <c r="M165" s="4"/>
      <c r="N165" s="3"/>
      <c r="O165" s="3"/>
      <c r="P165" s="4"/>
      <c r="Q165" s="4"/>
      <c r="R165" s="3"/>
      <c r="S165" s="4"/>
      <c r="T165" s="5"/>
      <c r="U165" s="4"/>
      <c r="V165" s="4"/>
      <c r="W165" s="6"/>
      <c r="X165" s="67"/>
      <c r="Y165" s="67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3"/>
      <c r="M166" s="4"/>
      <c r="N166" s="3"/>
      <c r="O166" s="3"/>
      <c r="P166" s="4"/>
      <c r="Q166" s="4"/>
      <c r="R166" s="3"/>
      <c r="S166" s="4"/>
      <c r="T166" s="5"/>
      <c r="U166" s="4"/>
      <c r="V166" s="4"/>
      <c r="W166" s="6"/>
      <c r="X166" s="67"/>
      <c r="Y166" s="67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3"/>
      <c r="M167" s="4"/>
      <c r="N167" s="3"/>
      <c r="O167" s="3"/>
      <c r="P167" s="4"/>
      <c r="Q167" s="4"/>
      <c r="R167" s="3"/>
      <c r="S167" s="4"/>
      <c r="T167" s="5"/>
      <c r="U167" s="4"/>
      <c r="V167" s="4"/>
      <c r="W167" s="6"/>
      <c r="X167" s="67"/>
      <c r="Y167" s="67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3"/>
      <c r="M168" s="4"/>
      <c r="N168" s="3"/>
      <c r="O168" s="3"/>
      <c r="P168" s="4"/>
      <c r="Q168" s="4"/>
      <c r="R168" s="3"/>
      <c r="S168" s="4"/>
      <c r="T168" s="5"/>
      <c r="U168" s="4"/>
      <c r="V168" s="4"/>
      <c r="W168" s="6"/>
      <c r="X168" s="67"/>
      <c r="Y168" s="67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3"/>
      <c r="M169" s="4"/>
      <c r="N169" s="3"/>
      <c r="O169" s="3"/>
      <c r="P169" s="4"/>
      <c r="Q169" s="4"/>
      <c r="R169" s="3"/>
      <c r="S169" s="4"/>
      <c r="T169" s="5"/>
      <c r="U169" s="4"/>
      <c r="V169" s="4"/>
      <c r="W169" s="6"/>
      <c r="X169" s="67"/>
      <c r="Y169" s="67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3"/>
      <c r="M170" s="4"/>
      <c r="N170" s="3"/>
      <c r="O170" s="3"/>
      <c r="P170" s="4"/>
      <c r="Q170" s="4"/>
      <c r="R170" s="3"/>
      <c r="S170" s="4"/>
      <c r="T170" s="5"/>
      <c r="U170" s="4"/>
      <c r="V170" s="4"/>
      <c r="W170" s="6"/>
      <c r="X170" s="67"/>
      <c r="Y170" s="67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3"/>
      <c r="M171" s="4"/>
      <c r="N171" s="3"/>
      <c r="O171" s="3"/>
      <c r="P171" s="4"/>
      <c r="Q171" s="4"/>
      <c r="R171" s="3"/>
      <c r="S171" s="4"/>
      <c r="T171" s="5"/>
      <c r="U171" s="4"/>
      <c r="V171" s="4"/>
      <c r="W171" s="6"/>
      <c r="X171" s="67"/>
      <c r="Y171" s="67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3"/>
      <c r="M172" s="4"/>
      <c r="N172" s="3"/>
      <c r="O172" s="3"/>
      <c r="P172" s="4"/>
      <c r="Q172" s="4"/>
      <c r="R172" s="3"/>
      <c r="S172" s="4"/>
      <c r="T172" s="5"/>
      <c r="U172" s="4"/>
      <c r="V172" s="4"/>
      <c r="W172" s="6"/>
      <c r="X172" s="67"/>
      <c r="Y172" s="67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3"/>
      <c r="M173" s="4"/>
      <c r="N173" s="3"/>
      <c r="O173" s="3"/>
      <c r="P173" s="4"/>
      <c r="Q173" s="4"/>
      <c r="R173" s="3"/>
      <c r="S173" s="4"/>
      <c r="T173" s="5"/>
      <c r="U173" s="4"/>
      <c r="V173" s="4"/>
      <c r="W173" s="6"/>
      <c r="X173" s="67"/>
      <c r="Y173" s="67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3"/>
      <c r="M174" s="4"/>
      <c r="N174" s="3"/>
      <c r="O174" s="3"/>
      <c r="P174" s="4"/>
      <c r="Q174" s="4"/>
      <c r="R174" s="3"/>
      <c r="S174" s="4"/>
      <c r="T174" s="5"/>
      <c r="U174" s="4"/>
      <c r="V174" s="4"/>
      <c r="W174" s="6"/>
      <c r="X174" s="67"/>
      <c r="Y174" s="67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3"/>
      <c r="M175" s="4"/>
      <c r="N175" s="3"/>
      <c r="O175" s="3"/>
      <c r="P175" s="4"/>
      <c r="Q175" s="4"/>
      <c r="R175" s="3"/>
      <c r="S175" s="4"/>
      <c r="T175" s="5"/>
      <c r="U175" s="4"/>
      <c r="V175" s="4"/>
      <c r="W175" s="6"/>
      <c r="X175" s="67"/>
      <c r="Y175" s="67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4"/>
      <c r="N176" s="3"/>
      <c r="O176" s="3"/>
      <c r="P176" s="4"/>
      <c r="Q176" s="4"/>
      <c r="R176" s="3"/>
      <c r="S176" s="4"/>
      <c r="T176" s="5"/>
      <c r="U176" s="4"/>
      <c r="V176" s="4"/>
      <c r="W176" s="6"/>
      <c r="X176" s="67"/>
      <c r="Y176" s="67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3"/>
      <c r="O177" s="3"/>
      <c r="P177" s="4"/>
      <c r="Q177" s="4"/>
      <c r="R177" s="3"/>
      <c r="S177" s="4"/>
      <c r="T177" s="5"/>
      <c r="U177" s="4"/>
      <c r="V177" s="4"/>
      <c r="W177" s="6"/>
      <c r="X177" s="67"/>
      <c r="Y177" s="67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3"/>
      <c r="O178" s="3"/>
      <c r="P178" s="4"/>
      <c r="Q178" s="4"/>
      <c r="R178" s="3"/>
      <c r="S178" s="4"/>
      <c r="T178" s="5"/>
      <c r="U178" s="4"/>
      <c r="V178" s="4"/>
      <c r="W178" s="6"/>
      <c r="X178" s="67"/>
      <c r="Y178" s="67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3"/>
      <c r="M179" s="4"/>
      <c r="N179" s="3"/>
      <c r="O179" s="3"/>
      <c r="P179" s="4"/>
      <c r="Q179" s="4"/>
      <c r="R179" s="3"/>
      <c r="S179" s="4"/>
      <c r="T179" s="5"/>
      <c r="U179" s="4"/>
      <c r="V179" s="4"/>
      <c r="W179" s="6"/>
      <c r="X179" s="67"/>
      <c r="Y179" s="67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3"/>
      <c r="M180" s="4"/>
      <c r="N180" s="3"/>
      <c r="O180" s="3"/>
      <c r="P180" s="4"/>
      <c r="Q180" s="4"/>
      <c r="R180" s="3"/>
      <c r="S180" s="4"/>
      <c r="T180" s="5"/>
      <c r="U180" s="4"/>
      <c r="V180" s="4"/>
      <c r="W180" s="6"/>
      <c r="X180" s="67"/>
      <c r="Y180" s="67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3"/>
      <c r="M181" s="4"/>
      <c r="N181" s="3"/>
      <c r="O181" s="3"/>
      <c r="P181" s="4"/>
      <c r="Q181" s="4"/>
      <c r="R181" s="3"/>
      <c r="S181" s="4"/>
      <c r="T181" s="5"/>
      <c r="U181" s="4"/>
      <c r="V181" s="4"/>
      <c r="W181" s="6"/>
      <c r="X181" s="67"/>
      <c r="Y181" s="67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3"/>
      <c r="M182" s="4"/>
      <c r="N182" s="3"/>
      <c r="O182" s="3"/>
      <c r="P182" s="4"/>
      <c r="Q182" s="4"/>
      <c r="R182" s="3"/>
      <c r="S182" s="4"/>
      <c r="T182" s="5"/>
      <c r="U182" s="4"/>
      <c r="V182" s="4"/>
      <c r="W182" s="6"/>
      <c r="X182" s="67"/>
      <c r="Y182" s="67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3"/>
      <c r="M183" s="4"/>
      <c r="N183" s="3"/>
      <c r="O183" s="3"/>
      <c r="P183" s="4"/>
      <c r="Q183" s="4"/>
      <c r="R183" s="3"/>
      <c r="S183" s="4"/>
      <c r="T183" s="5"/>
      <c r="U183" s="4"/>
      <c r="V183" s="4"/>
      <c r="W183" s="6"/>
      <c r="X183" s="67"/>
      <c r="Y183" s="67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3"/>
      <c r="M184" s="4"/>
      <c r="N184" s="3"/>
      <c r="O184" s="3"/>
      <c r="P184" s="4"/>
      <c r="Q184" s="4"/>
      <c r="R184" s="3"/>
      <c r="S184" s="4"/>
      <c r="T184" s="5"/>
      <c r="U184" s="4"/>
      <c r="V184" s="4"/>
      <c r="W184" s="6"/>
      <c r="X184" s="67"/>
      <c r="Y184" s="67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3"/>
      <c r="M185" s="4"/>
      <c r="N185" s="3"/>
      <c r="O185" s="3"/>
      <c r="P185" s="4"/>
      <c r="Q185" s="4"/>
      <c r="R185" s="3"/>
      <c r="S185" s="4"/>
      <c r="T185" s="5"/>
      <c r="U185" s="4"/>
      <c r="V185" s="4"/>
      <c r="W185" s="6"/>
      <c r="X185" s="67"/>
      <c r="Y185" s="67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3"/>
      <c r="M186" s="4"/>
      <c r="N186" s="3"/>
      <c r="O186" s="3"/>
      <c r="P186" s="4"/>
      <c r="Q186" s="4"/>
      <c r="R186" s="3"/>
      <c r="S186" s="4"/>
      <c r="T186" s="5"/>
      <c r="U186" s="4"/>
      <c r="V186" s="4"/>
      <c r="W186" s="6"/>
      <c r="X186" s="67"/>
      <c r="Y186" s="67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3"/>
      <c r="M187" s="4"/>
      <c r="N187" s="3"/>
      <c r="O187" s="3"/>
      <c r="P187" s="4"/>
      <c r="Q187" s="4"/>
      <c r="R187" s="3"/>
      <c r="S187" s="4"/>
      <c r="T187" s="5"/>
      <c r="U187" s="4"/>
      <c r="V187" s="4"/>
      <c r="W187" s="6"/>
      <c r="X187" s="67"/>
      <c r="Y187" s="67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3"/>
      <c r="M188" s="4"/>
      <c r="N188" s="3"/>
      <c r="O188" s="3"/>
      <c r="P188" s="4"/>
      <c r="Q188" s="4"/>
      <c r="R188" s="3"/>
      <c r="S188" s="4"/>
      <c r="T188" s="5"/>
      <c r="U188" s="4"/>
      <c r="V188" s="4"/>
      <c r="W188" s="6"/>
      <c r="X188" s="67"/>
      <c r="Y188" s="67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3"/>
      <c r="M189" s="4"/>
      <c r="N189" s="3"/>
      <c r="O189" s="3"/>
      <c r="P189" s="4"/>
      <c r="Q189" s="4"/>
      <c r="R189" s="3"/>
      <c r="S189" s="4"/>
      <c r="T189" s="5"/>
      <c r="U189" s="4"/>
      <c r="V189" s="4"/>
      <c r="W189" s="6"/>
      <c r="X189" s="67"/>
      <c r="Y189" s="67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3"/>
      <c r="M190" s="4"/>
      <c r="N190" s="3"/>
      <c r="O190" s="3"/>
      <c r="P190" s="4"/>
      <c r="Q190" s="4"/>
      <c r="R190" s="3"/>
      <c r="S190" s="4"/>
      <c r="T190" s="5"/>
      <c r="U190" s="4"/>
      <c r="V190" s="4"/>
      <c r="W190" s="6"/>
      <c r="X190" s="67"/>
      <c r="Y190" s="67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3"/>
      <c r="M191" s="4"/>
      <c r="N191" s="3"/>
      <c r="O191" s="3"/>
      <c r="P191" s="4"/>
      <c r="Q191" s="4"/>
      <c r="R191" s="3"/>
      <c r="S191" s="4"/>
      <c r="T191" s="5"/>
      <c r="U191" s="4"/>
      <c r="V191" s="4"/>
      <c r="W191" s="6"/>
      <c r="X191" s="67"/>
      <c r="Y191" s="67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3"/>
      <c r="M192" s="4"/>
      <c r="N192" s="3"/>
      <c r="O192" s="3"/>
      <c r="P192" s="4"/>
      <c r="Q192" s="4"/>
      <c r="R192" s="3"/>
      <c r="S192" s="4"/>
      <c r="T192" s="5"/>
      <c r="U192" s="4"/>
      <c r="V192" s="4"/>
      <c r="W192" s="6"/>
      <c r="X192" s="67"/>
      <c r="Y192" s="67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3"/>
      <c r="M193" s="4"/>
      <c r="N193" s="3"/>
      <c r="O193" s="3"/>
      <c r="P193" s="4"/>
      <c r="Q193" s="4"/>
      <c r="R193" s="3"/>
      <c r="S193" s="4"/>
      <c r="T193" s="5"/>
      <c r="U193" s="4"/>
      <c r="V193" s="4"/>
      <c r="W193" s="6"/>
      <c r="X193" s="67"/>
      <c r="Y193" s="67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3"/>
      <c r="M194" s="4"/>
      <c r="N194" s="3"/>
      <c r="O194" s="3"/>
      <c r="P194" s="4"/>
      <c r="Q194" s="4"/>
      <c r="R194" s="3"/>
      <c r="S194" s="4"/>
      <c r="T194" s="5"/>
      <c r="U194" s="4"/>
      <c r="V194" s="4"/>
      <c r="W194" s="6"/>
      <c r="X194" s="67"/>
      <c r="Y194" s="67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3"/>
      <c r="M195" s="4"/>
      <c r="N195" s="3"/>
      <c r="O195" s="3"/>
      <c r="P195" s="4"/>
      <c r="Q195" s="4"/>
      <c r="R195" s="3"/>
      <c r="S195" s="4"/>
      <c r="T195" s="5"/>
      <c r="U195" s="4"/>
      <c r="V195" s="4"/>
      <c r="W195" s="6"/>
      <c r="X195" s="67"/>
      <c r="Y195" s="67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3"/>
      <c r="M196" s="4"/>
      <c r="N196" s="3"/>
      <c r="O196" s="3"/>
      <c r="P196" s="4"/>
      <c r="Q196" s="4"/>
      <c r="R196" s="3"/>
      <c r="S196" s="4"/>
      <c r="T196" s="5"/>
      <c r="U196" s="4"/>
      <c r="V196" s="4"/>
      <c r="W196" s="6"/>
      <c r="X196" s="67"/>
      <c r="Y196" s="67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3"/>
      <c r="M197" s="4"/>
      <c r="N197" s="3"/>
      <c r="O197" s="3"/>
      <c r="P197" s="4"/>
      <c r="Q197" s="4"/>
      <c r="R197" s="3"/>
      <c r="S197" s="4"/>
      <c r="T197" s="5"/>
      <c r="U197" s="4"/>
      <c r="V197" s="4"/>
      <c r="W197" s="6"/>
      <c r="X197" s="67"/>
      <c r="Y197" s="67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3"/>
      <c r="M198" s="4"/>
      <c r="N198" s="3"/>
      <c r="O198" s="3"/>
      <c r="P198" s="4"/>
      <c r="Q198" s="4"/>
      <c r="R198" s="3"/>
      <c r="S198" s="4"/>
      <c r="T198" s="5"/>
      <c r="U198" s="4"/>
      <c r="V198" s="4"/>
      <c r="W198" s="6"/>
      <c r="X198" s="67"/>
      <c r="Y198" s="67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3"/>
      <c r="M199" s="4"/>
      <c r="N199" s="3"/>
      <c r="O199" s="3"/>
      <c r="P199" s="4"/>
      <c r="Q199" s="4"/>
      <c r="R199" s="3"/>
      <c r="S199" s="4"/>
      <c r="T199" s="5"/>
      <c r="U199" s="4"/>
      <c r="V199" s="4"/>
      <c r="W199" s="6"/>
      <c r="X199" s="67"/>
      <c r="Y199" s="67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3"/>
      <c r="M200" s="4"/>
      <c r="N200" s="3"/>
      <c r="O200" s="3"/>
      <c r="P200" s="4"/>
      <c r="Q200" s="4"/>
      <c r="R200" s="3"/>
      <c r="S200" s="4"/>
      <c r="T200" s="5"/>
      <c r="U200" s="4"/>
      <c r="V200" s="4"/>
      <c r="W200" s="6"/>
      <c r="X200" s="67"/>
      <c r="Y200" s="67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3"/>
      <c r="M201" s="4"/>
      <c r="N201" s="3"/>
      <c r="O201" s="3"/>
      <c r="P201" s="4"/>
      <c r="Q201" s="4"/>
      <c r="R201" s="3"/>
      <c r="S201" s="4"/>
      <c r="T201" s="5"/>
      <c r="U201" s="4"/>
      <c r="V201" s="4"/>
      <c r="W201" s="6"/>
      <c r="X201" s="67"/>
      <c r="Y201" s="67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4"/>
      <c r="N202" s="3"/>
      <c r="O202" s="3"/>
      <c r="P202" s="4"/>
      <c r="Q202" s="4"/>
      <c r="R202" s="3"/>
      <c r="S202" s="4"/>
      <c r="T202" s="5"/>
      <c r="U202" s="4"/>
      <c r="V202" s="4"/>
      <c r="W202" s="6"/>
      <c r="X202" s="67"/>
      <c r="Y202" s="67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4"/>
      <c r="N203" s="3"/>
      <c r="O203" s="3"/>
      <c r="P203" s="4"/>
      <c r="Q203" s="4"/>
      <c r="R203" s="3"/>
      <c r="S203" s="4"/>
      <c r="T203" s="5"/>
      <c r="U203" s="4"/>
      <c r="V203" s="4"/>
      <c r="W203" s="6"/>
      <c r="X203" s="67"/>
      <c r="Y203" s="67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4"/>
      <c r="N204" s="3"/>
      <c r="O204" s="3"/>
      <c r="P204" s="4"/>
      <c r="Q204" s="4"/>
      <c r="R204" s="3"/>
      <c r="S204" s="4"/>
      <c r="T204" s="5"/>
      <c r="U204" s="4"/>
      <c r="V204" s="4"/>
      <c r="W204" s="6"/>
      <c r="X204" s="67"/>
      <c r="Y204" s="67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4"/>
      <c r="N205" s="3"/>
      <c r="O205" s="3"/>
      <c r="P205" s="4"/>
      <c r="Q205" s="4"/>
      <c r="R205" s="3"/>
      <c r="S205" s="4"/>
      <c r="T205" s="5"/>
      <c r="U205" s="4"/>
      <c r="V205" s="4"/>
      <c r="W205" s="6"/>
      <c r="X205" s="67"/>
      <c r="Y205" s="67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4"/>
      <c r="N206" s="3"/>
      <c r="O206" s="3"/>
      <c r="P206" s="4"/>
      <c r="Q206" s="4"/>
      <c r="R206" s="3"/>
      <c r="S206" s="4"/>
      <c r="T206" s="5"/>
      <c r="U206" s="4"/>
      <c r="V206" s="4"/>
      <c r="W206" s="6"/>
      <c r="X206" s="67"/>
      <c r="Y206" s="67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  <c r="M207" s="4"/>
      <c r="N207" s="3"/>
      <c r="O207" s="3"/>
      <c r="P207" s="4"/>
      <c r="Q207" s="4"/>
      <c r="R207" s="3"/>
      <c r="S207" s="4"/>
      <c r="T207" s="5"/>
      <c r="U207" s="4"/>
      <c r="V207" s="4"/>
      <c r="W207" s="6"/>
      <c r="X207" s="67"/>
      <c r="Y207" s="67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  <c r="M208" s="4"/>
      <c r="N208" s="3"/>
      <c r="O208" s="3"/>
      <c r="P208" s="4"/>
      <c r="Q208" s="4"/>
      <c r="R208" s="3"/>
      <c r="S208" s="4"/>
      <c r="T208" s="5"/>
      <c r="U208" s="4"/>
      <c r="V208" s="4"/>
      <c r="W208" s="6"/>
      <c r="X208" s="67"/>
      <c r="Y208" s="67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  <c r="M209" s="4"/>
      <c r="N209" s="3"/>
      <c r="O209" s="3"/>
      <c r="P209" s="4"/>
      <c r="Q209" s="4"/>
      <c r="R209" s="3"/>
      <c r="S209" s="4"/>
      <c r="T209" s="5"/>
      <c r="U209" s="4"/>
      <c r="V209" s="4"/>
      <c r="W209" s="6"/>
      <c r="X209" s="67"/>
      <c r="Y209" s="67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  <c r="M210" s="4"/>
      <c r="N210" s="3"/>
      <c r="O210" s="3"/>
      <c r="P210" s="4"/>
      <c r="Q210" s="4"/>
      <c r="R210" s="3"/>
      <c r="S210" s="4"/>
      <c r="T210" s="5"/>
      <c r="U210" s="4"/>
      <c r="V210" s="4"/>
      <c r="W210" s="6"/>
      <c r="X210" s="67"/>
      <c r="Y210" s="67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  <c r="M211" s="4"/>
      <c r="N211" s="3"/>
      <c r="O211" s="3"/>
      <c r="P211" s="4"/>
      <c r="Q211" s="4"/>
      <c r="R211" s="3"/>
      <c r="S211" s="4"/>
      <c r="T211" s="5"/>
      <c r="U211" s="4"/>
      <c r="V211" s="4"/>
      <c r="W211" s="6"/>
      <c r="X211" s="67"/>
      <c r="Y211" s="67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  <c r="M212" s="4"/>
      <c r="N212" s="3"/>
      <c r="O212" s="3"/>
      <c r="P212" s="4"/>
      <c r="Q212" s="4"/>
      <c r="R212" s="3"/>
      <c r="S212" s="4"/>
      <c r="T212" s="5"/>
      <c r="U212" s="4"/>
      <c r="V212" s="4"/>
      <c r="W212" s="6"/>
      <c r="X212" s="67"/>
      <c r="Y212" s="67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  <c r="M213" s="4"/>
      <c r="N213" s="3"/>
      <c r="O213" s="3"/>
      <c r="P213" s="4"/>
      <c r="Q213" s="4"/>
      <c r="R213" s="3"/>
      <c r="S213" s="4"/>
      <c r="T213" s="5"/>
      <c r="U213" s="4"/>
      <c r="V213" s="4"/>
      <c r="W213" s="6"/>
      <c r="X213" s="67"/>
      <c r="Y213" s="67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  <c r="M214" s="4"/>
      <c r="N214" s="3"/>
      <c r="O214" s="3"/>
      <c r="P214" s="4"/>
      <c r="Q214" s="4"/>
      <c r="R214" s="3"/>
      <c r="S214" s="4"/>
      <c r="T214" s="5"/>
      <c r="U214" s="4"/>
      <c r="V214" s="4"/>
      <c r="W214" s="6"/>
      <c r="X214" s="67"/>
      <c r="Y214" s="67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  <c r="M215" s="4"/>
      <c r="N215" s="3"/>
      <c r="O215" s="3"/>
      <c r="P215" s="4"/>
      <c r="Q215" s="4"/>
      <c r="R215" s="3"/>
      <c r="S215" s="4"/>
      <c r="T215" s="5"/>
      <c r="U215" s="4"/>
      <c r="V215" s="4"/>
      <c r="W215" s="6"/>
      <c r="X215" s="67"/>
      <c r="Y215" s="67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  <c r="M216" s="4"/>
      <c r="N216" s="3"/>
      <c r="O216" s="3"/>
      <c r="P216" s="4"/>
      <c r="Q216" s="4"/>
      <c r="R216" s="3"/>
      <c r="S216" s="4"/>
      <c r="T216" s="5"/>
      <c r="U216" s="4"/>
      <c r="V216" s="4"/>
      <c r="W216" s="6"/>
      <c r="X216" s="67"/>
      <c r="Y216" s="67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  <c r="M217" s="4"/>
      <c r="N217" s="3"/>
      <c r="O217" s="3"/>
      <c r="P217" s="4"/>
      <c r="Q217" s="4"/>
      <c r="R217" s="3"/>
      <c r="S217" s="4"/>
      <c r="T217" s="5"/>
      <c r="U217" s="4"/>
      <c r="V217" s="4"/>
      <c r="W217" s="6"/>
      <c r="X217" s="67"/>
      <c r="Y217" s="67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  <c r="M218" s="4"/>
      <c r="N218" s="3"/>
      <c r="O218" s="3"/>
      <c r="P218" s="4"/>
      <c r="Q218" s="4"/>
      <c r="R218" s="3"/>
      <c r="S218" s="4"/>
      <c r="T218" s="5"/>
      <c r="U218" s="4"/>
      <c r="V218" s="4"/>
      <c r="W218" s="6"/>
      <c r="X218" s="67"/>
      <c r="Y218" s="67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  <c r="M219" s="4"/>
      <c r="N219" s="3"/>
      <c r="O219" s="3"/>
      <c r="P219" s="4"/>
      <c r="Q219" s="4"/>
      <c r="R219" s="3"/>
      <c r="S219" s="4"/>
      <c r="T219" s="5"/>
      <c r="U219" s="4"/>
      <c r="V219" s="4"/>
      <c r="W219" s="6"/>
      <c r="X219" s="67"/>
      <c r="Y219" s="67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  <c r="M220" s="4"/>
      <c r="N220" s="3"/>
      <c r="O220" s="3"/>
      <c r="P220" s="4"/>
      <c r="Q220" s="4"/>
      <c r="R220" s="3"/>
      <c r="S220" s="4"/>
      <c r="T220" s="5"/>
      <c r="U220" s="4"/>
      <c r="V220" s="4"/>
      <c r="W220" s="6"/>
      <c r="X220" s="67"/>
      <c r="Y220" s="67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  <c r="M221" s="4"/>
      <c r="N221" s="3"/>
      <c r="O221" s="3"/>
      <c r="P221" s="4"/>
      <c r="Q221" s="4"/>
      <c r="R221" s="3"/>
      <c r="S221" s="4"/>
      <c r="T221" s="5"/>
      <c r="U221" s="4"/>
      <c r="V221" s="4"/>
      <c r="W221" s="6"/>
      <c r="X221" s="67"/>
      <c r="Y221" s="67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  <c r="M222" s="4"/>
      <c r="N222" s="3"/>
      <c r="O222" s="3"/>
      <c r="P222" s="4"/>
      <c r="Q222" s="4"/>
      <c r="R222" s="3"/>
      <c r="S222" s="4"/>
      <c r="T222" s="5"/>
      <c r="U222" s="4"/>
      <c r="V222" s="4"/>
      <c r="W222" s="6"/>
      <c r="X222" s="67"/>
      <c r="Y222" s="67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  <c r="M223" s="4"/>
      <c r="N223" s="3"/>
      <c r="O223" s="3"/>
      <c r="P223" s="4"/>
      <c r="Q223" s="4"/>
      <c r="R223" s="3"/>
      <c r="S223" s="4"/>
      <c r="T223" s="5"/>
      <c r="U223" s="4"/>
      <c r="V223" s="4"/>
      <c r="W223" s="6"/>
      <c r="X223" s="67"/>
      <c r="Y223" s="67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  <c r="M224" s="4"/>
      <c r="N224" s="3"/>
      <c r="O224" s="3"/>
      <c r="P224" s="4"/>
      <c r="Q224" s="4"/>
      <c r="R224" s="3"/>
      <c r="S224" s="4"/>
      <c r="T224" s="5"/>
      <c r="U224" s="4"/>
      <c r="V224" s="4"/>
      <c r="W224" s="6"/>
      <c r="X224" s="67"/>
      <c r="Y224" s="67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  <c r="M225" s="4"/>
      <c r="N225" s="3"/>
      <c r="O225" s="3"/>
      <c r="P225" s="4"/>
      <c r="Q225" s="4"/>
      <c r="R225" s="3"/>
      <c r="S225" s="4"/>
      <c r="T225" s="5"/>
      <c r="U225" s="4"/>
      <c r="V225" s="4"/>
      <c r="W225" s="6"/>
      <c r="X225" s="67"/>
      <c r="Y225" s="67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  <c r="M226" s="4"/>
      <c r="N226" s="3"/>
      <c r="O226" s="3"/>
      <c r="P226" s="4"/>
      <c r="Q226" s="4"/>
      <c r="R226" s="3"/>
      <c r="S226" s="4"/>
      <c r="T226" s="5"/>
      <c r="U226" s="4"/>
      <c r="V226" s="4"/>
      <c r="W226" s="6"/>
      <c r="X226" s="67"/>
      <c r="Y226" s="67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  <c r="M227" s="4"/>
      <c r="N227" s="3"/>
      <c r="O227" s="3"/>
      <c r="P227" s="4"/>
      <c r="Q227" s="4"/>
      <c r="R227" s="3"/>
      <c r="S227" s="4"/>
      <c r="T227" s="5"/>
      <c r="U227" s="4"/>
      <c r="V227" s="4"/>
      <c r="W227" s="6"/>
      <c r="X227" s="67"/>
      <c r="Y227" s="67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  <c r="M228" s="4"/>
      <c r="N228" s="3"/>
      <c r="O228" s="3"/>
      <c r="P228" s="4"/>
      <c r="Q228" s="4"/>
      <c r="R228" s="3"/>
      <c r="S228" s="4"/>
      <c r="T228" s="5"/>
      <c r="U228" s="4"/>
      <c r="V228" s="4"/>
      <c r="W228" s="6"/>
      <c r="X228" s="67"/>
      <c r="Y228" s="67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  <c r="M229" s="4"/>
      <c r="N229" s="3"/>
      <c r="O229" s="3"/>
      <c r="P229" s="4"/>
      <c r="Q229" s="4"/>
      <c r="R229" s="3"/>
      <c r="S229" s="4"/>
      <c r="T229" s="5"/>
      <c r="U229" s="4"/>
      <c r="V229" s="4"/>
      <c r="W229" s="6"/>
      <c r="X229" s="67"/>
      <c r="Y229" s="67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  <c r="M230" s="4"/>
      <c r="N230" s="3"/>
      <c r="O230" s="3"/>
      <c r="P230" s="4"/>
      <c r="Q230" s="4"/>
      <c r="R230" s="3"/>
      <c r="S230" s="4"/>
      <c r="T230" s="5"/>
      <c r="U230" s="4"/>
      <c r="V230" s="4"/>
      <c r="W230" s="6"/>
      <c r="X230" s="67"/>
      <c r="Y230" s="67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3"/>
      <c r="M231" s="4"/>
      <c r="N231" s="3"/>
      <c r="O231" s="3"/>
      <c r="P231" s="4"/>
      <c r="Q231" s="4"/>
      <c r="R231" s="3"/>
      <c r="S231" s="4"/>
      <c r="T231" s="5"/>
      <c r="U231" s="4"/>
      <c r="V231" s="4"/>
      <c r="W231" s="6"/>
      <c r="X231" s="67"/>
      <c r="Y231" s="67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3"/>
      <c r="M232" s="4"/>
      <c r="N232" s="3"/>
      <c r="O232" s="3"/>
      <c r="P232" s="4"/>
      <c r="Q232" s="4"/>
      <c r="R232" s="3"/>
      <c r="S232" s="4"/>
      <c r="T232" s="5"/>
      <c r="U232" s="4"/>
      <c r="V232" s="4"/>
      <c r="W232" s="6"/>
      <c r="X232" s="67"/>
      <c r="Y232" s="67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3"/>
      <c r="M233" s="4"/>
      <c r="N233" s="3"/>
      <c r="O233" s="3"/>
      <c r="P233" s="4"/>
      <c r="Q233" s="4"/>
      <c r="R233" s="3"/>
      <c r="S233" s="4"/>
      <c r="T233" s="5"/>
      <c r="U233" s="4"/>
      <c r="V233" s="4"/>
      <c r="W233" s="6"/>
      <c r="X233" s="67"/>
      <c r="Y233" s="67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3"/>
      <c r="M234" s="4"/>
      <c r="N234" s="3"/>
      <c r="O234" s="3"/>
      <c r="P234" s="4"/>
      <c r="Q234" s="4"/>
      <c r="R234" s="3"/>
      <c r="S234" s="4"/>
      <c r="T234" s="5"/>
      <c r="U234" s="4"/>
      <c r="V234" s="4"/>
      <c r="W234" s="6"/>
      <c r="X234" s="67"/>
      <c r="Y234" s="67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3"/>
      <c r="M235" s="4"/>
      <c r="N235" s="3"/>
      <c r="O235" s="3"/>
      <c r="P235" s="4"/>
      <c r="Q235" s="4"/>
      <c r="R235" s="3"/>
      <c r="S235" s="4"/>
      <c r="T235" s="5"/>
      <c r="U235" s="4"/>
      <c r="V235" s="4"/>
      <c r="W235" s="6"/>
      <c r="X235" s="67"/>
      <c r="Y235" s="67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3"/>
      <c r="M236" s="4"/>
      <c r="N236" s="3"/>
      <c r="O236" s="3"/>
      <c r="P236" s="4"/>
      <c r="Q236" s="4"/>
      <c r="R236" s="3"/>
      <c r="S236" s="4"/>
      <c r="T236" s="5"/>
      <c r="U236" s="4"/>
      <c r="V236" s="4"/>
      <c r="W236" s="6"/>
      <c r="X236" s="67"/>
      <c r="Y236" s="67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3"/>
      <c r="M237" s="4"/>
      <c r="N237" s="3"/>
      <c r="O237" s="3"/>
      <c r="P237" s="4"/>
      <c r="Q237" s="4"/>
      <c r="R237" s="3"/>
      <c r="S237" s="4"/>
      <c r="T237" s="5"/>
      <c r="U237" s="4"/>
      <c r="V237" s="4"/>
      <c r="W237" s="6"/>
      <c r="X237" s="67"/>
      <c r="Y237" s="67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3"/>
      <c r="M238" s="4"/>
      <c r="N238" s="3"/>
      <c r="O238" s="3"/>
      <c r="P238" s="4"/>
      <c r="Q238" s="4"/>
      <c r="R238" s="3"/>
      <c r="S238" s="4"/>
      <c r="T238" s="5"/>
      <c r="U238" s="4"/>
      <c r="V238" s="4"/>
      <c r="W238" s="6"/>
      <c r="X238" s="67"/>
      <c r="Y238" s="67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3"/>
      <c r="M239" s="4"/>
      <c r="N239" s="3"/>
      <c r="O239" s="3"/>
      <c r="P239" s="4"/>
      <c r="Q239" s="4"/>
      <c r="R239" s="3"/>
      <c r="S239" s="4"/>
      <c r="T239" s="5"/>
      <c r="U239" s="4"/>
      <c r="V239" s="4"/>
      <c r="W239" s="6"/>
      <c r="X239" s="67"/>
      <c r="Y239" s="67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3"/>
      <c r="M240" s="4"/>
      <c r="N240" s="3"/>
      <c r="O240" s="3"/>
      <c r="P240" s="4"/>
      <c r="Q240" s="4"/>
      <c r="R240" s="3"/>
      <c r="S240" s="4"/>
      <c r="T240" s="5"/>
      <c r="U240" s="4"/>
      <c r="V240" s="4"/>
      <c r="W240" s="6"/>
      <c r="X240" s="67"/>
      <c r="Y240" s="67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3"/>
      <c r="M241" s="4"/>
      <c r="N241" s="3"/>
      <c r="O241" s="3"/>
      <c r="P241" s="4"/>
      <c r="Q241" s="4"/>
      <c r="R241" s="3"/>
      <c r="S241" s="4"/>
      <c r="T241" s="5"/>
      <c r="U241" s="4"/>
      <c r="V241" s="4"/>
      <c r="W241" s="6"/>
      <c r="X241" s="67"/>
      <c r="Y241" s="67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3"/>
      <c r="M242" s="4"/>
      <c r="N242" s="3"/>
      <c r="O242" s="3"/>
      <c r="P242" s="4"/>
      <c r="Q242" s="4"/>
      <c r="R242" s="3"/>
      <c r="S242" s="4"/>
      <c r="T242" s="5"/>
      <c r="U242" s="4"/>
      <c r="V242" s="4"/>
      <c r="W242" s="6"/>
      <c r="X242" s="67"/>
      <c r="Y242" s="67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3"/>
      <c r="M243" s="4"/>
      <c r="N243" s="3"/>
      <c r="O243" s="3"/>
      <c r="P243" s="4"/>
      <c r="Q243" s="4"/>
      <c r="R243" s="3"/>
      <c r="S243" s="4"/>
      <c r="T243" s="5"/>
      <c r="U243" s="4"/>
      <c r="V243" s="4"/>
      <c r="W243" s="6"/>
      <c r="X243" s="67"/>
      <c r="Y243" s="67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3"/>
      <c r="M244" s="4"/>
      <c r="N244" s="3"/>
      <c r="O244" s="3"/>
      <c r="P244" s="4"/>
      <c r="Q244" s="4"/>
      <c r="R244" s="3"/>
      <c r="S244" s="4"/>
      <c r="T244" s="5"/>
      <c r="U244" s="4"/>
      <c r="V244" s="4"/>
      <c r="W244" s="6"/>
      <c r="X244" s="67"/>
      <c r="Y244" s="67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4"/>
      <c r="N245" s="3"/>
      <c r="O245" s="3"/>
      <c r="P245" s="4"/>
      <c r="Q245" s="4"/>
      <c r="R245" s="3"/>
      <c r="S245" s="4"/>
      <c r="T245" s="5"/>
      <c r="U245" s="4"/>
      <c r="V245" s="4"/>
      <c r="W245" s="6"/>
      <c r="X245" s="67"/>
      <c r="Y245" s="67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4"/>
      <c r="N246" s="3"/>
      <c r="O246" s="3"/>
      <c r="P246" s="4"/>
      <c r="Q246" s="4"/>
      <c r="R246" s="3"/>
      <c r="S246" s="4"/>
      <c r="T246" s="5"/>
      <c r="U246" s="4"/>
      <c r="V246" s="4"/>
      <c r="W246" s="6"/>
      <c r="X246" s="67"/>
      <c r="Y246" s="67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3"/>
      <c r="M247" s="4"/>
      <c r="N247" s="3"/>
      <c r="O247" s="3"/>
      <c r="P247" s="4"/>
      <c r="Q247" s="4"/>
      <c r="R247" s="3"/>
      <c r="S247" s="4"/>
      <c r="T247" s="5"/>
      <c r="U247" s="4"/>
      <c r="V247" s="4"/>
      <c r="W247" s="6"/>
      <c r="X247" s="67"/>
      <c r="Y247" s="67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3"/>
      <c r="M248" s="4"/>
      <c r="N248" s="3"/>
      <c r="O248" s="3"/>
      <c r="P248" s="4"/>
      <c r="Q248" s="4"/>
      <c r="R248" s="3"/>
      <c r="S248" s="4"/>
      <c r="T248" s="5"/>
      <c r="U248" s="4"/>
      <c r="V248" s="4"/>
      <c r="W248" s="6"/>
      <c r="X248" s="67"/>
      <c r="Y248" s="67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3"/>
      <c r="M249" s="4"/>
      <c r="N249" s="3"/>
      <c r="O249" s="3"/>
      <c r="P249" s="4"/>
      <c r="Q249" s="4"/>
      <c r="R249" s="3"/>
      <c r="S249" s="4"/>
      <c r="T249" s="5"/>
      <c r="U249" s="4"/>
      <c r="V249" s="4"/>
      <c r="W249" s="6"/>
      <c r="X249" s="67"/>
      <c r="Y249" s="67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3"/>
      <c r="M250" s="4"/>
      <c r="N250" s="3"/>
      <c r="O250" s="3"/>
      <c r="P250" s="4"/>
      <c r="Q250" s="4"/>
      <c r="R250" s="3"/>
      <c r="S250" s="4"/>
      <c r="T250" s="5"/>
      <c r="U250" s="4"/>
      <c r="V250" s="4"/>
      <c r="W250" s="6"/>
      <c r="X250" s="67"/>
      <c r="Y250" s="67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3"/>
      <c r="M251" s="4"/>
      <c r="N251" s="3"/>
      <c r="O251" s="3"/>
      <c r="P251" s="4"/>
      <c r="Q251" s="4"/>
      <c r="R251" s="3"/>
      <c r="S251" s="4"/>
      <c r="T251" s="5"/>
      <c r="U251" s="4"/>
      <c r="V251" s="4"/>
      <c r="W251" s="6"/>
      <c r="X251" s="67"/>
      <c r="Y251" s="67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3"/>
      <c r="M252" s="4"/>
      <c r="N252" s="3"/>
      <c r="O252" s="3"/>
      <c r="P252" s="4"/>
      <c r="Q252" s="4"/>
      <c r="R252" s="3"/>
      <c r="S252" s="4"/>
      <c r="T252" s="5"/>
      <c r="U252" s="4"/>
      <c r="V252" s="4"/>
      <c r="W252" s="6"/>
      <c r="X252" s="67"/>
      <c r="Y252" s="67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3"/>
      <c r="M253" s="4"/>
      <c r="N253" s="3"/>
      <c r="O253" s="3"/>
      <c r="P253" s="4"/>
      <c r="Q253" s="4"/>
      <c r="R253" s="3"/>
      <c r="S253" s="4"/>
      <c r="T253" s="5"/>
      <c r="U253" s="4"/>
      <c r="V253" s="4"/>
      <c r="W253" s="6"/>
      <c r="X253" s="67"/>
      <c r="Y253" s="67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3"/>
      <c r="M254" s="4"/>
      <c r="N254" s="3"/>
      <c r="O254" s="3"/>
      <c r="P254" s="4"/>
      <c r="Q254" s="4"/>
      <c r="R254" s="3"/>
      <c r="S254" s="4"/>
      <c r="T254" s="5"/>
      <c r="U254" s="4"/>
      <c r="V254" s="4"/>
      <c r="W254" s="6"/>
      <c r="X254" s="67"/>
      <c r="Y254" s="67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3"/>
      <c r="M255" s="4"/>
      <c r="N255" s="3"/>
      <c r="O255" s="3"/>
      <c r="P255" s="4"/>
      <c r="Q255" s="4"/>
      <c r="R255" s="3"/>
      <c r="S255" s="4"/>
      <c r="T255" s="5"/>
      <c r="U255" s="4"/>
      <c r="V255" s="4"/>
      <c r="W255" s="6"/>
      <c r="X255" s="67"/>
      <c r="Y255" s="67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3"/>
      <c r="M256" s="4"/>
      <c r="N256" s="3"/>
      <c r="O256" s="3"/>
      <c r="P256" s="4"/>
      <c r="Q256" s="4"/>
      <c r="R256" s="3"/>
      <c r="S256" s="4"/>
      <c r="T256" s="5"/>
      <c r="U256" s="4"/>
      <c r="V256" s="4"/>
      <c r="W256" s="6"/>
      <c r="X256" s="67"/>
      <c r="Y256" s="67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3"/>
      <c r="M257" s="4"/>
      <c r="N257" s="3"/>
      <c r="O257" s="3"/>
      <c r="P257" s="4"/>
      <c r="Q257" s="4"/>
      <c r="R257" s="3"/>
      <c r="S257" s="4"/>
      <c r="T257" s="5"/>
      <c r="U257" s="4"/>
      <c r="V257" s="4"/>
      <c r="W257" s="6"/>
      <c r="X257" s="67"/>
      <c r="Y257" s="67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3"/>
      <c r="M258" s="4"/>
      <c r="N258" s="3"/>
      <c r="O258" s="3"/>
      <c r="P258" s="4"/>
      <c r="Q258" s="4"/>
      <c r="R258" s="3"/>
      <c r="S258" s="4"/>
      <c r="T258" s="5"/>
      <c r="U258" s="4"/>
      <c r="V258" s="4"/>
      <c r="W258" s="6"/>
      <c r="X258" s="67"/>
      <c r="Y258" s="67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3"/>
      <c r="M259" s="4"/>
      <c r="N259" s="3"/>
      <c r="O259" s="3"/>
      <c r="P259" s="4"/>
      <c r="Q259" s="4"/>
      <c r="R259" s="3"/>
      <c r="S259" s="4"/>
      <c r="T259" s="5"/>
      <c r="U259" s="4"/>
      <c r="V259" s="4"/>
      <c r="W259" s="6"/>
      <c r="X259" s="67"/>
      <c r="Y259" s="67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3"/>
      <c r="M260" s="4"/>
      <c r="N260" s="3"/>
      <c r="O260" s="3"/>
      <c r="P260" s="4"/>
      <c r="Q260" s="4"/>
      <c r="R260" s="3"/>
      <c r="S260" s="4"/>
      <c r="T260" s="5"/>
      <c r="U260" s="4"/>
      <c r="V260" s="4"/>
      <c r="W260" s="6"/>
      <c r="X260" s="67"/>
      <c r="Y260" s="67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3"/>
      <c r="M261" s="4"/>
      <c r="N261" s="3"/>
      <c r="O261" s="3"/>
      <c r="P261" s="4"/>
      <c r="Q261" s="4"/>
      <c r="R261" s="3"/>
      <c r="S261" s="4"/>
      <c r="T261" s="5"/>
      <c r="U261" s="4"/>
      <c r="V261" s="4"/>
      <c r="W261" s="6"/>
      <c r="X261" s="67"/>
      <c r="Y261" s="67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3"/>
      <c r="M262" s="4"/>
      <c r="N262" s="3"/>
      <c r="O262" s="3"/>
      <c r="P262" s="4"/>
      <c r="Q262" s="4"/>
      <c r="R262" s="3"/>
      <c r="S262" s="4"/>
      <c r="T262" s="5"/>
      <c r="U262" s="4"/>
      <c r="V262" s="4"/>
      <c r="W262" s="6"/>
      <c r="X262" s="67"/>
      <c r="Y262" s="67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3"/>
      <c r="M263" s="4"/>
      <c r="N263" s="3"/>
      <c r="O263" s="3"/>
      <c r="P263" s="4"/>
      <c r="Q263" s="4"/>
      <c r="R263" s="3"/>
      <c r="S263" s="4"/>
      <c r="T263" s="5"/>
      <c r="U263" s="4"/>
      <c r="V263" s="4"/>
      <c r="W263" s="6"/>
      <c r="X263" s="67"/>
      <c r="Y263" s="67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3"/>
      <c r="M264" s="4"/>
      <c r="N264" s="3"/>
      <c r="O264" s="3"/>
      <c r="P264" s="4"/>
      <c r="Q264" s="4"/>
      <c r="R264" s="3"/>
      <c r="S264" s="4"/>
      <c r="T264" s="5"/>
      <c r="U264" s="4"/>
      <c r="V264" s="4"/>
      <c r="W264" s="6"/>
      <c r="X264" s="67"/>
      <c r="Y264" s="67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3"/>
      <c r="M265" s="4"/>
      <c r="N265" s="3"/>
      <c r="O265" s="3"/>
      <c r="P265" s="4"/>
      <c r="Q265" s="4"/>
      <c r="R265" s="3"/>
      <c r="S265" s="4"/>
      <c r="T265" s="5"/>
      <c r="U265" s="4"/>
      <c r="V265" s="4"/>
      <c r="W265" s="6"/>
      <c r="X265" s="67"/>
      <c r="Y265" s="67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3"/>
      <c r="M266" s="4"/>
      <c r="N266" s="3"/>
      <c r="O266" s="3"/>
      <c r="P266" s="4"/>
      <c r="Q266" s="4"/>
      <c r="R266" s="3"/>
      <c r="S266" s="4"/>
      <c r="T266" s="5"/>
      <c r="U266" s="4"/>
      <c r="V266" s="4"/>
      <c r="W266" s="6"/>
      <c r="X266" s="67"/>
      <c r="Y266" s="67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3"/>
      <c r="M267" s="4"/>
      <c r="N267" s="3"/>
      <c r="O267" s="3"/>
      <c r="P267" s="4"/>
      <c r="Q267" s="4"/>
      <c r="R267" s="3"/>
      <c r="S267" s="4"/>
      <c r="T267" s="5"/>
      <c r="U267" s="4"/>
      <c r="V267" s="4"/>
      <c r="W267" s="6"/>
      <c r="X267" s="67"/>
      <c r="Y267" s="67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3"/>
      <c r="M268" s="4"/>
      <c r="N268" s="3"/>
      <c r="O268" s="3"/>
      <c r="P268" s="4"/>
      <c r="Q268" s="4"/>
      <c r="R268" s="3"/>
      <c r="S268" s="4"/>
      <c r="T268" s="5"/>
      <c r="U268" s="4"/>
      <c r="V268" s="4"/>
      <c r="W268" s="6"/>
      <c r="X268" s="67"/>
      <c r="Y268" s="67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3"/>
      <c r="M269" s="4"/>
      <c r="N269" s="3"/>
      <c r="O269" s="3"/>
      <c r="P269" s="4"/>
      <c r="Q269" s="4"/>
      <c r="R269" s="3"/>
      <c r="S269" s="4"/>
      <c r="T269" s="5"/>
      <c r="U269" s="4"/>
      <c r="V269" s="4"/>
      <c r="W269" s="6"/>
      <c r="X269" s="67"/>
      <c r="Y269" s="67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3"/>
      <c r="M270" s="4"/>
      <c r="N270" s="3"/>
      <c r="O270" s="3"/>
      <c r="P270" s="4"/>
      <c r="Q270" s="4"/>
      <c r="R270" s="3"/>
      <c r="S270" s="4"/>
      <c r="T270" s="5"/>
      <c r="U270" s="4"/>
      <c r="V270" s="4"/>
      <c r="W270" s="6"/>
      <c r="X270" s="67"/>
      <c r="Y270" s="67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3"/>
      <c r="M271" s="4"/>
      <c r="N271" s="3"/>
      <c r="O271" s="3"/>
      <c r="P271" s="4"/>
      <c r="Q271" s="4"/>
      <c r="R271" s="3"/>
      <c r="S271" s="4"/>
      <c r="T271" s="5"/>
      <c r="U271" s="4"/>
      <c r="V271" s="4"/>
      <c r="W271" s="6"/>
      <c r="X271" s="67"/>
      <c r="Y271" s="67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3"/>
      <c r="M272" s="4"/>
      <c r="N272" s="3"/>
      <c r="O272" s="3"/>
      <c r="P272" s="4"/>
      <c r="Q272" s="4"/>
      <c r="R272" s="3"/>
      <c r="S272" s="4"/>
      <c r="T272" s="5"/>
      <c r="U272" s="4"/>
      <c r="V272" s="4"/>
      <c r="W272" s="6"/>
      <c r="X272" s="67"/>
      <c r="Y272" s="67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3"/>
      <c r="M273" s="4"/>
      <c r="N273" s="3"/>
      <c r="O273" s="3"/>
      <c r="P273" s="4"/>
      <c r="Q273" s="4"/>
      <c r="R273" s="3"/>
      <c r="S273" s="4"/>
      <c r="T273" s="5"/>
      <c r="U273" s="4"/>
      <c r="V273" s="4"/>
      <c r="W273" s="6"/>
      <c r="X273" s="67"/>
      <c r="Y273" s="67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  <c r="M274" s="4"/>
      <c r="N274" s="3"/>
      <c r="O274" s="3"/>
      <c r="P274" s="4"/>
      <c r="Q274" s="4"/>
      <c r="R274" s="3"/>
      <c r="S274" s="4"/>
      <c r="T274" s="5"/>
      <c r="U274" s="4"/>
      <c r="V274" s="4"/>
      <c r="W274" s="6"/>
      <c r="X274" s="67"/>
      <c r="Y274" s="67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  <c r="M275" s="4"/>
      <c r="N275" s="3"/>
      <c r="O275" s="3"/>
      <c r="P275" s="4"/>
      <c r="Q275" s="4"/>
      <c r="R275" s="3"/>
      <c r="S275" s="4"/>
      <c r="T275" s="5"/>
      <c r="U275" s="4"/>
      <c r="V275" s="4"/>
      <c r="W275" s="6"/>
      <c r="X275" s="67"/>
      <c r="Y275" s="67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  <c r="M276" s="4"/>
      <c r="N276" s="3"/>
      <c r="O276" s="3"/>
      <c r="P276" s="4"/>
      <c r="Q276" s="4"/>
      <c r="R276" s="3"/>
      <c r="S276" s="4"/>
      <c r="T276" s="5"/>
      <c r="U276" s="4"/>
      <c r="V276" s="4"/>
      <c r="W276" s="6"/>
      <c r="X276" s="67"/>
      <c r="Y276" s="67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  <c r="M277" s="4"/>
      <c r="N277" s="3"/>
      <c r="O277" s="3"/>
      <c r="P277" s="4"/>
      <c r="Q277" s="4"/>
      <c r="R277" s="3"/>
      <c r="S277" s="4"/>
      <c r="T277" s="5"/>
      <c r="U277" s="4"/>
      <c r="V277" s="4"/>
      <c r="W277" s="6"/>
      <c r="X277" s="67"/>
      <c r="Y277" s="67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  <c r="M278" s="4"/>
      <c r="N278" s="3"/>
      <c r="O278" s="3"/>
      <c r="P278" s="4"/>
      <c r="Q278" s="4"/>
      <c r="R278" s="3"/>
      <c r="S278" s="4"/>
      <c r="T278" s="5"/>
      <c r="U278" s="4"/>
      <c r="V278" s="4"/>
      <c r="W278" s="6"/>
      <c r="X278" s="67"/>
      <c r="Y278" s="67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4"/>
      <c r="N279" s="3"/>
      <c r="O279" s="3"/>
      <c r="P279" s="4"/>
      <c r="Q279" s="4"/>
      <c r="R279" s="3"/>
      <c r="S279" s="4"/>
      <c r="T279" s="5"/>
      <c r="U279" s="4"/>
      <c r="V279" s="4"/>
      <c r="W279" s="6"/>
      <c r="X279" s="67"/>
      <c r="Y279" s="67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4"/>
      <c r="N280" s="3"/>
      <c r="O280" s="3"/>
      <c r="P280" s="4"/>
      <c r="Q280" s="4"/>
      <c r="R280" s="3"/>
      <c r="S280" s="4"/>
      <c r="T280" s="5"/>
      <c r="U280" s="4"/>
      <c r="V280" s="4"/>
      <c r="W280" s="6"/>
      <c r="X280" s="67"/>
      <c r="Y280" s="67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  <c r="M281" s="4"/>
      <c r="N281" s="3"/>
      <c r="O281" s="3"/>
      <c r="P281" s="4"/>
      <c r="Q281" s="4"/>
      <c r="R281" s="3"/>
      <c r="S281" s="4"/>
      <c r="T281" s="5"/>
      <c r="U281" s="4"/>
      <c r="V281" s="4"/>
      <c r="W281" s="6"/>
      <c r="X281" s="67"/>
      <c r="Y281" s="67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  <c r="M282" s="4"/>
      <c r="N282" s="3"/>
      <c r="O282" s="3"/>
      <c r="P282" s="4"/>
      <c r="Q282" s="4"/>
      <c r="R282" s="3"/>
      <c r="S282" s="4"/>
      <c r="T282" s="5"/>
      <c r="U282" s="4"/>
      <c r="V282" s="4"/>
      <c r="W282" s="6"/>
      <c r="X282" s="67"/>
      <c r="Y282" s="67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  <c r="M283" s="4"/>
      <c r="N283" s="3"/>
      <c r="O283" s="3"/>
      <c r="P283" s="4"/>
      <c r="Q283" s="4"/>
      <c r="R283" s="3"/>
      <c r="S283" s="4"/>
      <c r="T283" s="5"/>
      <c r="U283" s="4"/>
      <c r="V283" s="4"/>
      <c r="W283" s="6"/>
      <c r="X283" s="67"/>
      <c r="Y283" s="67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  <c r="M284" s="4"/>
      <c r="N284" s="3"/>
      <c r="O284" s="3"/>
      <c r="P284" s="4"/>
      <c r="Q284" s="4"/>
      <c r="R284" s="3"/>
      <c r="S284" s="4"/>
      <c r="T284" s="5"/>
      <c r="U284" s="4"/>
      <c r="V284" s="4"/>
      <c r="W284" s="6"/>
      <c r="X284" s="67"/>
      <c r="Y284" s="67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  <c r="M285" s="4"/>
      <c r="N285" s="3"/>
      <c r="O285" s="3"/>
      <c r="P285" s="4"/>
      <c r="Q285" s="4"/>
      <c r="R285" s="3"/>
      <c r="S285" s="4"/>
      <c r="T285" s="5"/>
      <c r="U285" s="4"/>
      <c r="V285" s="4"/>
      <c r="W285" s="6"/>
      <c r="X285" s="67"/>
      <c r="Y285" s="67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4"/>
      <c r="N286" s="3"/>
      <c r="O286" s="3"/>
      <c r="P286" s="4"/>
      <c r="Q286" s="4"/>
      <c r="R286" s="3"/>
      <c r="S286" s="4"/>
      <c r="T286" s="5"/>
      <c r="U286" s="4"/>
      <c r="V286" s="4"/>
      <c r="W286" s="6"/>
      <c r="X286" s="67"/>
      <c r="Y286" s="67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  <c r="M287" s="4"/>
      <c r="N287" s="3"/>
      <c r="O287" s="3"/>
      <c r="P287" s="4"/>
      <c r="Q287" s="4"/>
      <c r="R287" s="3"/>
      <c r="S287" s="4"/>
      <c r="T287" s="5"/>
      <c r="U287" s="4"/>
      <c r="V287" s="4"/>
      <c r="W287" s="6"/>
      <c r="X287" s="67"/>
      <c r="Y287" s="67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  <c r="M288" s="4"/>
      <c r="N288" s="3"/>
      <c r="O288" s="3"/>
      <c r="P288" s="4"/>
      <c r="Q288" s="4"/>
      <c r="R288" s="3"/>
      <c r="S288" s="4"/>
      <c r="T288" s="5"/>
      <c r="U288" s="4"/>
      <c r="V288" s="4"/>
      <c r="W288" s="6"/>
      <c r="X288" s="67"/>
      <c r="Y288" s="67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  <c r="M289" s="4"/>
      <c r="N289" s="3"/>
      <c r="O289" s="3"/>
      <c r="P289" s="4"/>
      <c r="Q289" s="4"/>
      <c r="R289" s="3"/>
      <c r="S289" s="4"/>
      <c r="T289" s="5"/>
      <c r="U289" s="4"/>
      <c r="V289" s="4"/>
      <c r="W289" s="6"/>
      <c r="X289" s="67"/>
      <c r="Y289" s="67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  <c r="M290" s="4"/>
      <c r="N290" s="3"/>
      <c r="O290" s="3"/>
      <c r="P290" s="4"/>
      <c r="Q290" s="4"/>
      <c r="R290" s="3"/>
      <c r="S290" s="4"/>
      <c r="T290" s="5"/>
      <c r="U290" s="4"/>
      <c r="V290" s="4"/>
      <c r="W290" s="6"/>
      <c r="X290" s="67"/>
      <c r="Y290" s="67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  <c r="M291" s="4"/>
      <c r="N291" s="3"/>
      <c r="O291" s="3"/>
      <c r="P291" s="4"/>
      <c r="Q291" s="4"/>
      <c r="R291" s="3"/>
      <c r="S291" s="4"/>
      <c r="T291" s="5"/>
      <c r="U291" s="4"/>
      <c r="V291" s="4"/>
      <c r="W291" s="6"/>
      <c r="X291" s="67"/>
      <c r="Y291" s="67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  <c r="M292" s="4"/>
      <c r="N292" s="3"/>
      <c r="O292" s="3"/>
      <c r="P292" s="4"/>
      <c r="Q292" s="4"/>
      <c r="R292" s="3"/>
      <c r="S292" s="4"/>
      <c r="T292" s="5"/>
      <c r="U292" s="4"/>
      <c r="V292" s="4"/>
      <c r="W292" s="6"/>
      <c r="X292" s="67"/>
      <c r="Y292" s="67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4"/>
      <c r="N293" s="3"/>
      <c r="O293" s="3"/>
      <c r="P293" s="4"/>
      <c r="Q293" s="4"/>
      <c r="R293" s="3"/>
      <c r="S293" s="4"/>
      <c r="T293" s="5"/>
      <c r="U293" s="4"/>
      <c r="V293" s="4"/>
      <c r="W293" s="6"/>
      <c r="X293" s="67"/>
      <c r="Y293" s="67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4"/>
      <c r="N294" s="3"/>
      <c r="O294" s="3"/>
      <c r="P294" s="4"/>
      <c r="Q294" s="4"/>
      <c r="R294" s="3"/>
      <c r="S294" s="4"/>
      <c r="T294" s="5"/>
      <c r="U294" s="4"/>
      <c r="V294" s="4"/>
      <c r="W294" s="6"/>
      <c r="X294" s="67"/>
      <c r="Y294" s="67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4"/>
      <c r="N295" s="3"/>
      <c r="O295" s="3"/>
      <c r="P295" s="4"/>
      <c r="Q295" s="4"/>
      <c r="R295" s="3"/>
      <c r="S295" s="4"/>
      <c r="T295" s="5"/>
      <c r="U295" s="4"/>
      <c r="V295" s="4"/>
      <c r="W295" s="6"/>
      <c r="X295" s="67"/>
      <c r="Y295" s="67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4"/>
      <c r="N296" s="3"/>
      <c r="O296" s="3"/>
      <c r="P296" s="4"/>
      <c r="Q296" s="4"/>
      <c r="R296" s="3"/>
      <c r="S296" s="4"/>
      <c r="T296" s="5"/>
      <c r="U296" s="4"/>
      <c r="V296" s="4"/>
      <c r="W296" s="6"/>
      <c r="X296" s="67"/>
      <c r="Y296" s="67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4"/>
      <c r="N297" s="3"/>
      <c r="O297" s="3"/>
      <c r="P297" s="4"/>
      <c r="Q297" s="4"/>
      <c r="R297" s="3"/>
      <c r="S297" s="4"/>
      <c r="T297" s="5"/>
      <c r="U297" s="4"/>
      <c r="V297" s="4"/>
      <c r="W297" s="6"/>
      <c r="X297" s="67"/>
      <c r="Y297" s="67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4"/>
      <c r="N298" s="3"/>
      <c r="O298" s="3"/>
      <c r="P298" s="4"/>
      <c r="Q298" s="4"/>
      <c r="R298" s="3"/>
      <c r="S298" s="4"/>
      <c r="T298" s="5"/>
      <c r="U298" s="4"/>
      <c r="V298" s="4"/>
      <c r="W298" s="6"/>
      <c r="X298" s="67"/>
      <c r="Y298" s="67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3"/>
      <c r="M299" s="4"/>
      <c r="N299" s="3"/>
      <c r="O299" s="3"/>
      <c r="P299" s="4"/>
      <c r="Q299" s="4"/>
      <c r="R299" s="3"/>
      <c r="S299" s="4"/>
      <c r="T299" s="5"/>
      <c r="U299" s="4"/>
      <c r="V299" s="4"/>
      <c r="W299" s="6"/>
      <c r="X299" s="67"/>
      <c r="Y299" s="67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3"/>
      <c r="M300" s="4"/>
      <c r="N300" s="3"/>
      <c r="O300" s="3"/>
      <c r="P300" s="4"/>
      <c r="Q300" s="4"/>
      <c r="R300" s="3"/>
      <c r="S300" s="4"/>
      <c r="T300" s="5"/>
      <c r="U300" s="4"/>
      <c r="V300" s="4"/>
      <c r="W300" s="6"/>
      <c r="X300" s="67"/>
      <c r="Y300" s="67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3"/>
      <c r="M301" s="4"/>
      <c r="N301" s="3"/>
      <c r="O301" s="3"/>
      <c r="P301" s="4"/>
      <c r="Q301" s="4"/>
      <c r="R301" s="3"/>
      <c r="S301" s="4"/>
      <c r="T301" s="5"/>
      <c r="U301" s="4"/>
      <c r="V301" s="4"/>
      <c r="W301" s="6"/>
      <c r="X301" s="67"/>
      <c r="Y301" s="67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3"/>
      <c r="M302" s="4"/>
      <c r="N302" s="3"/>
      <c r="O302" s="3"/>
      <c r="P302" s="4"/>
      <c r="Q302" s="4"/>
      <c r="R302" s="3"/>
      <c r="S302" s="4"/>
      <c r="T302" s="5"/>
      <c r="U302" s="4"/>
      <c r="V302" s="4"/>
      <c r="W302" s="6"/>
      <c r="X302" s="67"/>
      <c r="Y302" s="67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3"/>
      <c r="M303" s="4"/>
      <c r="N303" s="3"/>
      <c r="O303" s="3"/>
      <c r="P303" s="4"/>
      <c r="Q303" s="4"/>
      <c r="R303" s="3"/>
      <c r="S303" s="4"/>
      <c r="T303" s="5"/>
      <c r="U303" s="4"/>
      <c r="V303" s="4"/>
      <c r="W303" s="6"/>
      <c r="X303" s="67"/>
      <c r="Y303" s="67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3"/>
      <c r="M304" s="4"/>
      <c r="N304" s="3"/>
      <c r="O304" s="3"/>
      <c r="P304" s="4"/>
      <c r="Q304" s="4"/>
      <c r="R304" s="3"/>
      <c r="S304" s="4"/>
      <c r="T304" s="5"/>
      <c r="U304" s="4"/>
      <c r="V304" s="4"/>
      <c r="W304" s="6"/>
      <c r="X304" s="67"/>
      <c r="Y304" s="67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4"/>
      <c r="N305" s="3"/>
      <c r="O305" s="3"/>
      <c r="P305" s="4"/>
      <c r="Q305" s="4"/>
      <c r="R305" s="3"/>
      <c r="S305" s="4"/>
      <c r="T305" s="5"/>
      <c r="U305" s="4"/>
      <c r="V305" s="4"/>
      <c r="W305" s="6"/>
      <c r="X305" s="67"/>
      <c r="Y305" s="67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4"/>
      <c r="N306" s="3"/>
      <c r="O306" s="3"/>
      <c r="P306" s="4"/>
      <c r="Q306" s="4"/>
      <c r="R306" s="3"/>
      <c r="S306" s="4"/>
      <c r="T306" s="5"/>
      <c r="U306" s="4"/>
      <c r="V306" s="4"/>
      <c r="W306" s="6"/>
      <c r="X306" s="67"/>
      <c r="Y306" s="67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4"/>
      <c r="N307" s="3"/>
      <c r="O307" s="3"/>
      <c r="P307" s="4"/>
      <c r="Q307" s="4"/>
      <c r="R307" s="3"/>
      <c r="S307" s="4"/>
      <c r="T307" s="5"/>
      <c r="U307" s="4"/>
      <c r="V307" s="4"/>
      <c r="W307" s="6"/>
      <c r="X307" s="67"/>
      <c r="Y307" s="67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4"/>
      <c r="N308" s="3"/>
      <c r="O308" s="3"/>
      <c r="P308" s="4"/>
      <c r="Q308" s="4"/>
      <c r="R308" s="3"/>
      <c r="S308" s="4"/>
      <c r="T308" s="5"/>
      <c r="U308" s="4"/>
      <c r="V308" s="4"/>
      <c r="W308" s="6"/>
      <c r="X308" s="67"/>
      <c r="Y308" s="67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4"/>
      <c r="N309" s="3"/>
      <c r="O309" s="3"/>
      <c r="P309" s="4"/>
      <c r="Q309" s="4"/>
      <c r="R309" s="3"/>
      <c r="S309" s="4"/>
      <c r="T309" s="5"/>
      <c r="U309" s="4"/>
      <c r="V309" s="4"/>
      <c r="W309" s="6"/>
      <c r="X309" s="67"/>
      <c r="Y309" s="67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4"/>
      <c r="N310" s="3"/>
      <c r="O310" s="3"/>
      <c r="P310" s="4"/>
      <c r="Q310" s="4"/>
      <c r="R310" s="3"/>
      <c r="S310" s="4"/>
      <c r="T310" s="5"/>
      <c r="U310" s="4"/>
      <c r="V310" s="4"/>
      <c r="W310" s="6"/>
      <c r="X310" s="67"/>
      <c r="Y310" s="67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4"/>
      <c r="N311" s="3"/>
      <c r="O311" s="3"/>
      <c r="P311" s="4"/>
      <c r="Q311" s="4"/>
      <c r="R311" s="3"/>
      <c r="S311" s="4"/>
      <c r="T311" s="5"/>
      <c r="U311" s="4"/>
      <c r="V311" s="4"/>
      <c r="W311" s="6"/>
      <c r="X311" s="67"/>
      <c r="Y311" s="67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4"/>
      <c r="N312" s="3"/>
      <c r="O312" s="3"/>
      <c r="P312" s="4"/>
      <c r="Q312" s="4"/>
      <c r="R312" s="3"/>
      <c r="S312" s="4"/>
      <c r="T312" s="5"/>
      <c r="U312" s="4"/>
      <c r="V312" s="4"/>
      <c r="W312" s="6"/>
      <c r="X312" s="67"/>
      <c r="Y312" s="67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4"/>
      <c r="N313" s="3"/>
      <c r="O313" s="3"/>
      <c r="P313" s="4"/>
      <c r="Q313" s="4"/>
      <c r="R313" s="3"/>
      <c r="S313" s="4"/>
      <c r="T313" s="5"/>
      <c r="U313" s="4"/>
      <c r="V313" s="4"/>
      <c r="W313" s="6"/>
      <c r="X313" s="67"/>
      <c r="Y313" s="67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3"/>
      <c r="M314" s="4"/>
      <c r="N314" s="3"/>
      <c r="O314" s="3"/>
      <c r="P314" s="4"/>
      <c r="Q314" s="4"/>
      <c r="R314" s="3"/>
      <c r="S314" s="4"/>
      <c r="T314" s="5"/>
      <c r="U314" s="4"/>
      <c r="V314" s="4"/>
      <c r="W314" s="6"/>
      <c r="X314" s="67"/>
      <c r="Y314" s="67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4"/>
      <c r="N315" s="3"/>
      <c r="O315" s="3"/>
      <c r="P315" s="4"/>
      <c r="Q315" s="4"/>
      <c r="R315" s="3"/>
      <c r="S315" s="4"/>
      <c r="T315" s="5"/>
      <c r="U315" s="4"/>
      <c r="V315" s="4"/>
      <c r="W315" s="6"/>
      <c r="X315" s="67"/>
      <c r="Y315" s="67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3"/>
      <c r="M316" s="4"/>
      <c r="N316" s="3"/>
      <c r="O316" s="3"/>
      <c r="P316" s="4"/>
      <c r="Q316" s="4"/>
      <c r="R316" s="3"/>
      <c r="S316" s="4"/>
      <c r="T316" s="5"/>
      <c r="U316" s="4"/>
      <c r="V316" s="4"/>
      <c r="W316" s="6"/>
      <c r="X316" s="67"/>
      <c r="Y316" s="67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4"/>
      <c r="N317" s="3"/>
      <c r="O317" s="3"/>
      <c r="P317" s="4"/>
      <c r="Q317" s="4"/>
      <c r="R317" s="3"/>
      <c r="S317" s="4"/>
      <c r="T317" s="5"/>
      <c r="U317" s="4"/>
      <c r="V317" s="4"/>
      <c r="W317" s="6"/>
      <c r="X317" s="67"/>
      <c r="Y317" s="67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4"/>
      <c r="N318" s="3"/>
      <c r="O318" s="3"/>
      <c r="P318" s="4"/>
      <c r="Q318" s="4"/>
      <c r="R318" s="3"/>
      <c r="S318" s="4"/>
      <c r="T318" s="5"/>
      <c r="U318" s="4"/>
      <c r="V318" s="4"/>
      <c r="W318" s="6"/>
      <c r="X318" s="67"/>
      <c r="Y318" s="67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3"/>
      <c r="M319" s="4"/>
      <c r="N319" s="3"/>
      <c r="O319" s="3"/>
      <c r="P319" s="4"/>
      <c r="Q319" s="4"/>
      <c r="R319" s="3"/>
      <c r="S319" s="4"/>
      <c r="T319" s="5"/>
      <c r="U319" s="4"/>
      <c r="V319" s="4"/>
      <c r="W319" s="6"/>
      <c r="X319" s="67"/>
      <c r="Y319" s="67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3"/>
      <c r="M320" s="4"/>
      <c r="N320" s="3"/>
      <c r="O320" s="3"/>
      <c r="P320" s="4"/>
      <c r="Q320" s="4"/>
      <c r="R320" s="3"/>
      <c r="S320" s="4"/>
      <c r="T320" s="5"/>
      <c r="U320" s="4"/>
      <c r="V320" s="4"/>
      <c r="W320" s="6"/>
      <c r="X320" s="67"/>
      <c r="Y320" s="67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3"/>
      <c r="M321" s="4"/>
      <c r="N321" s="3"/>
      <c r="O321" s="3"/>
      <c r="P321" s="4"/>
      <c r="Q321" s="4"/>
      <c r="R321" s="3"/>
      <c r="S321" s="4"/>
      <c r="T321" s="5"/>
      <c r="U321" s="4"/>
      <c r="V321" s="4"/>
      <c r="W321" s="6"/>
      <c r="X321" s="67"/>
      <c r="Y321" s="67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3"/>
      <c r="M322" s="4"/>
      <c r="N322" s="3"/>
      <c r="O322" s="3"/>
      <c r="P322" s="4"/>
      <c r="Q322" s="4"/>
      <c r="R322" s="3"/>
      <c r="S322" s="4"/>
      <c r="T322" s="5"/>
      <c r="U322" s="4"/>
      <c r="V322" s="4"/>
      <c r="W322" s="6"/>
      <c r="X322" s="67"/>
      <c r="Y322" s="67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3"/>
      <c r="M323" s="4"/>
      <c r="N323" s="3"/>
      <c r="O323" s="3"/>
      <c r="P323" s="4"/>
      <c r="Q323" s="4"/>
      <c r="R323" s="3"/>
      <c r="S323" s="4"/>
      <c r="T323" s="5"/>
      <c r="U323" s="4"/>
      <c r="V323" s="4"/>
      <c r="W323" s="6"/>
      <c r="X323" s="67"/>
      <c r="Y323" s="67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3"/>
      <c r="M324" s="4"/>
      <c r="N324" s="3"/>
      <c r="O324" s="3"/>
      <c r="P324" s="4"/>
      <c r="Q324" s="4"/>
      <c r="R324" s="3"/>
      <c r="S324" s="4"/>
      <c r="T324" s="5"/>
      <c r="U324" s="4"/>
      <c r="V324" s="4"/>
      <c r="W324" s="6"/>
      <c r="X324" s="67"/>
      <c r="Y324" s="67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3"/>
      <c r="M325" s="4"/>
      <c r="N325" s="3"/>
      <c r="O325" s="3"/>
      <c r="P325" s="4"/>
      <c r="Q325" s="4"/>
      <c r="R325" s="3"/>
      <c r="S325" s="4"/>
      <c r="T325" s="5"/>
      <c r="U325" s="4"/>
      <c r="V325" s="4"/>
      <c r="W325" s="6"/>
      <c r="X325" s="67"/>
      <c r="Y325" s="67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4"/>
      <c r="N326" s="3"/>
      <c r="O326" s="3"/>
      <c r="P326" s="4"/>
      <c r="Q326" s="4"/>
      <c r="R326" s="3"/>
      <c r="S326" s="4"/>
      <c r="T326" s="5"/>
      <c r="U326" s="4"/>
      <c r="V326" s="4"/>
      <c r="W326" s="6"/>
      <c r="X326" s="67"/>
      <c r="Y326" s="67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4"/>
      <c r="N327" s="3"/>
      <c r="O327" s="3"/>
      <c r="P327" s="4"/>
      <c r="Q327" s="4"/>
      <c r="R327" s="3"/>
      <c r="S327" s="4"/>
      <c r="T327" s="5"/>
      <c r="U327" s="4"/>
      <c r="V327" s="4"/>
      <c r="W327" s="6"/>
      <c r="X327" s="67"/>
      <c r="Y327" s="67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4"/>
      <c r="N328" s="3"/>
      <c r="O328" s="3"/>
      <c r="P328" s="4"/>
      <c r="Q328" s="4"/>
      <c r="R328" s="3"/>
      <c r="S328" s="4"/>
      <c r="T328" s="5"/>
      <c r="U328" s="4"/>
      <c r="V328" s="4"/>
      <c r="W328" s="6"/>
      <c r="X328" s="67"/>
      <c r="Y328" s="67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4"/>
      <c r="N329" s="3"/>
      <c r="O329" s="3"/>
      <c r="P329" s="4"/>
      <c r="Q329" s="4"/>
      <c r="R329" s="3"/>
      <c r="S329" s="4"/>
      <c r="T329" s="5"/>
      <c r="U329" s="4"/>
      <c r="V329" s="4"/>
      <c r="W329" s="6"/>
      <c r="X329" s="67"/>
      <c r="Y329" s="67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4"/>
      <c r="N330" s="3"/>
      <c r="O330" s="3"/>
      <c r="P330" s="4"/>
      <c r="Q330" s="4"/>
      <c r="R330" s="3"/>
      <c r="S330" s="4"/>
      <c r="T330" s="5"/>
      <c r="U330" s="4"/>
      <c r="V330" s="4"/>
      <c r="W330" s="6"/>
      <c r="X330" s="67"/>
      <c r="Y330" s="67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4"/>
      <c r="N331" s="3"/>
      <c r="O331" s="3"/>
      <c r="P331" s="4"/>
      <c r="Q331" s="4"/>
      <c r="R331" s="3"/>
      <c r="S331" s="4"/>
      <c r="T331" s="5"/>
      <c r="U331" s="4"/>
      <c r="V331" s="4"/>
      <c r="W331" s="6"/>
      <c r="X331" s="67"/>
      <c r="Y331" s="67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4"/>
      <c r="N332" s="3"/>
      <c r="O332" s="3"/>
      <c r="P332" s="4"/>
      <c r="Q332" s="4"/>
      <c r="R332" s="3"/>
      <c r="S332" s="4"/>
      <c r="T332" s="5"/>
      <c r="U332" s="4"/>
      <c r="V332" s="4"/>
      <c r="W332" s="6"/>
      <c r="X332" s="67"/>
      <c r="Y332" s="67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4"/>
      <c r="N333" s="3"/>
      <c r="O333" s="3"/>
      <c r="P333" s="4"/>
      <c r="Q333" s="4"/>
      <c r="R333" s="3"/>
      <c r="S333" s="4"/>
      <c r="T333" s="5"/>
      <c r="U333" s="4"/>
      <c r="V333" s="4"/>
      <c r="W333" s="6"/>
      <c r="X333" s="67"/>
      <c r="Y333" s="67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4"/>
      <c r="N334" s="3"/>
      <c r="O334" s="3"/>
      <c r="P334" s="4"/>
      <c r="Q334" s="4"/>
      <c r="R334" s="3"/>
      <c r="S334" s="4"/>
      <c r="T334" s="5"/>
      <c r="U334" s="4"/>
      <c r="V334" s="4"/>
      <c r="W334" s="6"/>
      <c r="X334" s="67"/>
      <c r="Y334" s="67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4"/>
      <c r="N335" s="3"/>
      <c r="O335" s="3"/>
      <c r="P335" s="4"/>
      <c r="Q335" s="4"/>
      <c r="R335" s="3"/>
      <c r="S335" s="4"/>
      <c r="T335" s="5"/>
      <c r="U335" s="4"/>
      <c r="V335" s="4"/>
      <c r="W335" s="6"/>
      <c r="X335" s="67"/>
      <c r="Y335" s="67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4"/>
      <c r="N336" s="3"/>
      <c r="O336" s="3"/>
      <c r="P336" s="4"/>
      <c r="Q336" s="4"/>
      <c r="R336" s="3"/>
      <c r="S336" s="4"/>
      <c r="T336" s="5"/>
      <c r="U336" s="4"/>
      <c r="V336" s="4"/>
      <c r="W336" s="6"/>
      <c r="X336" s="67"/>
      <c r="Y336" s="67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4"/>
      <c r="N337" s="3"/>
      <c r="O337" s="3"/>
      <c r="P337" s="4"/>
      <c r="Q337" s="4"/>
      <c r="R337" s="3"/>
      <c r="S337" s="4"/>
      <c r="T337" s="5"/>
      <c r="U337" s="4"/>
      <c r="V337" s="4"/>
      <c r="W337" s="6"/>
      <c r="X337" s="67"/>
      <c r="Y337" s="67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4"/>
      <c r="N338" s="3"/>
      <c r="O338" s="3"/>
      <c r="P338" s="4"/>
      <c r="Q338" s="4"/>
      <c r="R338" s="3"/>
      <c r="S338" s="4"/>
      <c r="T338" s="5"/>
      <c r="U338" s="4"/>
      <c r="V338" s="4"/>
      <c r="W338" s="6"/>
      <c r="X338" s="67"/>
      <c r="Y338" s="67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4"/>
      <c r="N339" s="3"/>
      <c r="O339" s="3"/>
      <c r="P339" s="4"/>
      <c r="Q339" s="4"/>
      <c r="R339" s="3"/>
      <c r="S339" s="4"/>
      <c r="T339" s="5"/>
      <c r="U339" s="4"/>
      <c r="V339" s="4"/>
      <c r="W339" s="6"/>
      <c r="X339" s="67"/>
      <c r="Y339" s="67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3"/>
      <c r="M340" s="4"/>
      <c r="N340" s="3"/>
      <c r="O340" s="3"/>
      <c r="P340" s="4"/>
      <c r="Q340" s="4"/>
      <c r="R340" s="3"/>
      <c r="S340" s="4"/>
      <c r="T340" s="5"/>
      <c r="U340" s="4"/>
      <c r="V340" s="4"/>
      <c r="W340" s="6"/>
      <c r="X340" s="67"/>
      <c r="Y340" s="67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4"/>
      <c r="N341" s="3"/>
      <c r="O341" s="3"/>
      <c r="P341" s="4"/>
      <c r="Q341" s="4"/>
      <c r="R341" s="3"/>
      <c r="S341" s="4"/>
      <c r="T341" s="5"/>
      <c r="U341" s="4"/>
      <c r="V341" s="4"/>
      <c r="W341" s="6"/>
      <c r="X341" s="67"/>
      <c r="Y341" s="67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  <c r="M342" s="4"/>
      <c r="N342" s="3"/>
      <c r="O342" s="3"/>
      <c r="P342" s="4"/>
      <c r="Q342" s="4"/>
      <c r="R342" s="3"/>
      <c r="S342" s="4"/>
      <c r="T342" s="5"/>
      <c r="U342" s="4"/>
      <c r="V342" s="4"/>
      <c r="W342" s="6"/>
      <c r="X342" s="67"/>
      <c r="Y342" s="67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4"/>
      <c r="N343" s="3"/>
      <c r="O343" s="3"/>
      <c r="P343" s="4"/>
      <c r="Q343" s="4"/>
      <c r="R343" s="3"/>
      <c r="S343" s="4"/>
      <c r="T343" s="5"/>
      <c r="U343" s="4"/>
      <c r="V343" s="4"/>
      <c r="W343" s="6"/>
      <c r="X343" s="67"/>
      <c r="Y343" s="67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  <c r="M344" s="4"/>
      <c r="N344" s="3"/>
      <c r="O344" s="3"/>
      <c r="P344" s="4"/>
      <c r="Q344" s="4"/>
      <c r="R344" s="3"/>
      <c r="S344" s="4"/>
      <c r="T344" s="5"/>
      <c r="U344" s="4"/>
      <c r="V344" s="4"/>
      <c r="W344" s="6"/>
      <c r="X344" s="67"/>
      <c r="Y344" s="67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  <c r="M345" s="4"/>
      <c r="N345" s="3"/>
      <c r="O345" s="3"/>
      <c r="P345" s="4"/>
      <c r="Q345" s="4"/>
      <c r="R345" s="3"/>
      <c r="S345" s="4"/>
      <c r="T345" s="5"/>
      <c r="U345" s="4"/>
      <c r="V345" s="4"/>
      <c r="W345" s="6"/>
      <c r="X345" s="67"/>
      <c r="Y345" s="67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  <c r="M346" s="4"/>
      <c r="N346" s="3"/>
      <c r="O346" s="3"/>
      <c r="P346" s="4"/>
      <c r="Q346" s="4"/>
      <c r="R346" s="3"/>
      <c r="S346" s="4"/>
      <c r="T346" s="5"/>
      <c r="U346" s="4"/>
      <c r="V346" s="4"/>
      <c r="W346" s="6"/>
      <c r="X346" s="67"/>
      <c r="Y346" s="67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4"/>
      <c r="N347" s="3"/>
      <c r="O347" s="3"/>
      <c r="P347" s="4"/>
      <c r="Q347" s="4"/>
      <c r="R347" s="3"/>
      <c r="S347" s="4"/>
      <c r="T347" s="5"/>
      <c r="U347" s="4"/>
      <c r="V347" s="4"/>
      <c r="W347" s="6"/>
      <c r="X347" s="67"/>
      <c r="Y347" s="67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  <c r="M348" s="4"/>
      <c r="N348" s="3"/>
      <c r="O348" s="3"/>
      <c r="P348" s="4"/>
      <c r="Q348" s="4"/>
      <c r="R348" s="3"/>
      <c r="S348" s="4"/>
      <c r="T348" s="5"/>
      <c r="U348" s="4"/>
      <c r="V348" s="4"/>
      <c r="W348" s="6"/>
      <c r="X348" s="67"/>
      <c r="Y348" s="67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4"/>
      <c r="N349" s="3"/>
      <c r="O349" s="3"/>
      <c r="P349" s="4"/>
      <c r="Q349" s="4"/>
      <c r="R349" s="3"/>
      <c r="S349" s="4"/>
      <c r="T349" s="5"/>
      <c r="U349" s="4"/>
      <c r="V349" s="4"/>
      <c r="W349" s="6"/>
      <c r="X349" s="67"/>
      <c r="Y349" s="67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  <c r="M350" s="4"/>
      <c r="N350" s="3"/>
      <c r="O350" s="3"/>
      <c r="P350" s="4"/>
      <c r="Q350" s="4"/>
      <c r="R350" s="3"/>
      <c r="S350" s="4"/>
      <c r="T350" s="5"/>
      <c r="U350" s="4"/>
      <c r="V350" s="4"/>
      <c r="W350" s="6"/>
      <c r="X350" s="67"/>
      <c r="Y350" s="67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  <c r="M351" s="4"/>
      <c r="N351" s="3"/>
      <c r="O351" s="3"/>
      <c r="P351" s="4"/>
      <c r="Q351" s="4"/>
      <c r="R351" s="3"/>
      <c r="S351" s="4"/>
      <c r="T351" s="5"/>
      <c r="U351" s="4"/>
      <c r="V351" s="4"/>
      <c r="W351" s="6"/>
      <c r="X351" s="67"/>
      <c r="Y351" s="67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4"/>
      <c r="N352" s="3"/>
      <c r="O352" s="3"/>
      <c r="P352" s="4"/>
      <c r="Q352" s="4"/>
      <c r="R352" s="3"/>
      <c r="S352" s="4"/>
      <c r="T352" s="5"/>
      <c r="U352" s="4"/>
      <c r="V352" s="4"/>
      <c r="W352" s="6"/>
      <c r="X352" s="67"/>
      <c r="Y352" s="67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  <c r="M353" s="4"/>
      <c r="N353" s="3"/>
      <c r="O353" s="3"/>
      <c r="P353" s="4"/>
      <c r="Q353" s="4"/>
      <c r="R353" s="3"/>
      <c r="S353" s="4"/>
      <c r="T353" s="5"/>
      <c r="U353" s="4"/>
      <c r="V353" s="4"/>
      <c r="W353" s="6"/>
      <c r="X353" s="67"/>
      <c r="Y353" s="67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  <c r="M354" s="4"/>
      <c r="N354" s="3"/>
      <c r="O354" s="3"/>
      <c r="P354" s="4"/>
      <c r="Q354" s="4"/>
      <c r="R354" s="3"/>
      <c r="S354" s="4"/>
      <c r="T354" s="5"/>
      <c r="U354" s="4"/>
      <c r="V354" s="4"/>
      <c r="W354" s="6"/>
      <c r="X354" s="67"/>
      <c r="Y354" s="67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  <c r="M355" s="4"/>
      <c r="N355" s="3"/>
      <c r="O355" s="3"/>
      <c r="P355" s="4"/>
      <c r="Q355" s="4"/>
      <c r="R355" s="3"/>
      <c r="S355" s="4"/>
      <c r="T355" s="5"/>
      <c r="U355" s="4"/>
      <c r="V355" s="4"/>
      <c r="W355" s="6"/>
      <c r="X355" s="67"/>
      <c r="Y355" s="67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  <c r="M356" s="4"/>
      <c r="N356" s="3"/>
      <c r="O356" s="3"/>
      <c r="P356" s="4"/>
      <c r="Q356" s="4"/>
      <c r="R356" s="3"/>
      <c r="S356" s="4"/>
      <c r="T356" s="5"/>
      <c r="U356" s="4"/>
      <c r="V356" s="4"/>
      <c r="W356" s="6"/>
      <c r="X356" s="67"/>
      <c r="Y356" s="67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  <c r="M357" s="4"/>
      <c r="N357" s="3"/>
      <c r="O357" s="3"/>
      <c r="P357" s="4"/>
      <c r="Q357" s="4"/>
      <c r="R357" s="3"/>
      <c r="S357" s="4"/>
      <c r="T357" s="5"/>
      <c r="U357" s="4"/>
      <c r="V357" s="4"/>
      <c r="W357" s="6"/>
      <c r="X357" s="67"/>
      <c r="Y357" s="67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  <c r="M358" s="4"/>
      <c r="N358" s="3"/>
      <c r="O358" s="3"/>
      <c r="P358" s="4"/>
      <c r="Q358" s="4"/>
      <c r="R358" s="3"/>
      <c r="S358" s="4"/>
      <c r="T358" s="5"/>
      <c r="U358" s="4"/>
      <c r="V358" s="4"/>
      <c r="W358" s="6"/>
      <c r="X358" s="67"/>
      <c r="Y358" s="67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4"/>
      <c r="N359" s="3"/>
      <c r="O359" s="3"/>
      <c r="P359" s="4"/>
      <c r="Q359" s="4"/>
      <c r="R359" s="3"/>
      <c r="S359" s="4"/>
      <c r="T359" s="5"/>
      <c r="U359" s="4"/>
      <c r="V359" s="4"/>
      <c r="W359" s="6"/>
      <c r="X359" s="67"/>
      <c r="Y359" s="67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4"/>
      <c r="N360" s="3"/>
      <c r="O360" s="3"/>
      <c r="P360" s="4"/>
      <c r="Q360" s="4"/>
      <c r="R360" s="3"/>
      <c r="S360" s="4"/>
      <c r="T360" s="5"/>
      <c r="U360" s="4"/>
      <c r="V360" s="4"/>
      <c r="W360" s="6"/>
      <c r="X360" s="67"/>
      <c r="Y360" s="67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  <c r="M361" s="4"/>
      <c r="N361" s="3"/>
      <c r="O361" s="3"/>
      <c r="P361" s="4"/>
      <c r="Q361" s="4"/>
      <c r="R361" s="3"/>
      <c r="S361" s="4"/>
      <c r="T361" s="5"/>
      <c r="U361" s="4"/>
      <c r="V361" s="4"/>
      <c r="W361" s="6"/>
      <c r="X361" s="67"/>
      <c r="Y361" s="67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  <c r="M362" s="4"/>
      <c r="N362" s="3"/>
      <c r="O362" s="3"/>
      <c r="P362" s="4"/>
      <c r="Q362" s="4"/>
      <c r="R362" s="3"/>
      <c r="S362" s="4"/>
      <c r="T362" s="5"/>
      <c r="U362" s="4"/>
      <c r="V362" s="4"/>
      <c r="W362" s="6"/>
      <c r="X362" s="67"/>
      <c r="Y362" s="67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  <c r="M363" s="4"/>
      <c r="N363" s="3"/>
      <c r="O363" s="3"/>
      <c r="P363" s="4"/>
      <c r="Q363" s="4"/>
      <c r="R363" s="3"/>
      <c r="S363" s="4"/>
      <c r="T363" s="5"/>
      <c r="U363" s="4"/>
      <c r="V363" s="4"/>
      <c r="W363" s="6"/>
      <c r="X363" s="67"/>
      <c r="Y363" s="67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  <c r="M364" s="4"/>
      <c r="N364" s="3"/>
      <c r="O364" s="3"/>
      <c r="P364" s="4"/>
      <c r="Q364" s="4"/>
      <c r="R364" s="3"/>
      <c r="S364" s="4"/>
      <c r="T364" s="5"/>
      <c r="U364" s="4"/>
      <c r="V364" s="4"/>
      <c r="W364" s="6"/>
      <c r="X364" s="67"/>
      <c r="Y364" s="67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4"/>
      <c r="N365" s="3"/>
      <c r="O365" s="3"/>
      <c r="P365" s="4"/>
      <c r="Q365" s="4"/>
      <c r="R365" s="3"/>
      <c r="S365" s="4"/>
      <c r="T365" s="5"/>
      <c r="U365" s="4"/>
      <c r="V365" s="4"/>
      <c r="W365" s="6"/>
      <c r="X365" s="67"/>
      <c r="Y365" s="67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3"/>
      <c r="M366" s="4"/>
      <c r="N366" s="3"/>
      <c r="O366" s="3"/>
      <c r="P366" s="4"/>
      <c r="Q366" s="4"/>
      <c r="R366" s="3"/>
      <c r="S366" s="4"/>
      <c r="T366" s="5"/>
      <c r="U366" s="4"/>
      <c r="V366" s="4"/>
      <c r="W366" s="6"/>
      <c r="X366" s="67"/>
      <c r="Y366" s="67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3"/>
      <c r="M367" s="4"/>
      <c r="N367" s="3"/>
      <c r="O367" s="3"/>
      <c r="P367" s="4"/>
      <c r="Q367" s="4"/>
      <c r="R367" s="3"/>
      <c r="S367" s="4"/>
      <c r="T367" s="5"/>
      <c r="U367" s="4"/>
      <c r="V367" s="4"/>
      <c r="W367" s="6"/>
      <c r="X367" s="67"/>
      <c r="Y367" s="67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3"/>
      <c r="M368" s="4"/>
      <c r="N368" s="3"/>
      <c r="O368" s="3"/>
      <c r="P368" s="4"/>
      <c r="Q368" s="4"/>
      <c r="R368" s="3"/>
      <c r="S368" s="4"/>
      <c r="T368" s="5"/>
      <c r="U368" s="4"/>
      <c r="V368" s="4"/>
      <c r="W368" s="6"/>
      <c r="X368" s="67"/>
      <c r="Y368" s="67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3"/>
      <c r="M369" s="4"/>
      <c r="N369" s="3"/>
      <c r="O369" s="3"/>
      <c r="P369" s="4"/>
      <c r="Q369" s="4"/>
      <c r="R369" s="3"/>
      <c r="S369" s="4"/>
      <c r="T369" s="5"/>
      <c r="U369" s="4"/>
      <c r="V369" s="4"/>
      <c r="W369" s="6"/>
      <c r="X369" s="67"/>
      <c r="Y369" s="67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3"/>
      <c r="M370" s="4"/>
      <c r="N370" s="3"/>
      <c r="O370" s="3"/>
      <c r="P370" s="4"/>
      <c r="Q370" s="4"/>
      <c r="R370" s="3"/>
      <c r="S370" s="4"/>
      <c r="T370" s="5"/>
      <c r="U370" s="4"/>
      <c r="V370" s="4"/>
      <c r="W370" s="6"/>
      <c r="X370" s="67"/>
      <c r="Y370" s="67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3"/>
      <c r="M371" s="4"/>
      <c r="N371" s="3"/>
      <c r="O371" s="3"/>
      <c r="P371" s="4"/>
      <c r="Q371" s="4"/>
      <c r="R371" s="3"/>
      <c r="S371" s="4"/>
      <c r="T371" s="5"/>
      <c r="U371" s="4"/>
      <c r="V371" s="4"/>
      <c r="W371" s="6"/>
      <c r="X371" s="67"/>
      <c r="Y371" s="67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3"/>
      <c r="M372" s="4"/>
      <c r="N372" s="3"/>
      <c r="O372" s="3"/>
      <c r="P372" s="4"/>
      <c r="Q372" s="4"/>
      <c r="R372" s="3"/>
      <c r="S372" s="4"/>
      <c r="T372" s="5"/>
      <c r="U372" s="4"/>
      <c r="V372" s="4"/>
      <c r="W372" s="6"/>
      <c r="X372" s="67"/>
      <c r="Y372" s="67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3"/>
      <c r="M373" s="4"/>
      <c r="N373" s="3"/>
      <c r="O373" s="3"/>
      <c r="P373" s="4"/>
      <c r="Q373" s="4"/>
      <c r="R373" s="3"/>
      <c r="S373" s="4"/>
      <c r="T373" s="5"/>
      <c r="U373" s="4"/>
      <c r="V373" s="4"/>
      <c r="W373" s="6"/>
      <c r="X373" s="67"/>
      <c r="Y373" s="67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3"/>
      <c r="M374" s="4"/>
      <c r="N374" s="3"/>
      <c r="O374" s="3"/>
      <c r="P374" s="4"/>
      <c r="Q374" s="4"/>
      <c r="R374" s="3"/>
      <c r="S374" s="4"/>
      <c r="T374" s="5"/>
      <c r="U374" s="4"/>
      <c r="V374" s="4"/>
      <c r="W374" s="6"/>
      <c r="X374" s="67"/>
      <c r="Y374" s="67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3"/>
      <c r="M375" s="4"/>
      <c r="N375" s="3"/>
      <c r="O375" s="3"/>
      <c r="P375" s="4"/>
      <c r="Q375" s="4"/>
      <c r="R375" s="3"/>
      <c r="S375" s="4"/>
      <c r="T375" s="5"/>
      <c r="U375" s="4"/>
      <c r="V375" s="4"/>
      <c r="W375" s="6"/>
      <c r="X375" s="67"/>
      <c r="Y375" s="67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3"/>
      <c r="M376" s="4"/>
      <c r="N376" s="3"/>
      <c r="O376" s="3"/>
      <c r="P376" s="4"/>
      <c r="Q376" s="4"/>
      <c r="R376" s="3"/>
      <c r="S376" s="4"/>
      <c r="T376" s="5"/>
      <c r="U376" s="4"/>
      <c r="V376" s="4"/>
      <c r="W376" s="6"/>
      <c r="X376" s="67"/>
      <c r="Y376" s="67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3"/>
      <c r="M377" s="4"/>
      <c r="N377" s="3"/>
      <c r="O377" s="3"/>
      <c r="P377" s="4"/>
      <c r="Q377" s="4"/>
      <c r="R377" s="3"/>
      <c r="S377" s="4"/>
      <c r="T377" s="5"/>
      <c r="U377" s="4"/>
      <c r="V377" s="4"/>
      <c r="W377" s="6"/>
      <c r="X377" s="67"/>
      <c r="Y377" s="67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3"/>
      <c r="M378" s="4"/>
      <c r="N378" s="3"/>
      <c r="O378" s="3"/>
      <c r="P378" s="4"/>
      <c r="Q378" s="4"/>
      <c r="R378" s="3"/>
      <c r="S378" s="4"/>
      <c r="T378" s="5"/>
      <c r="U378" s="4"/>
      <c r="V378" s="4"/>
      <c r="W378" s="6"/>
      <c r="X378" s="67"/>
      <c r="Y378" s="67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3"/>
      <c r="M379" s="4"/>
      <c r="N379" s="3"/>
      <c r="O379" s="3"/>
      <c r="P379" s="4"/>
      <c r="Q379" s="4"/>
      <c r="R379" s="3"/>
      <c r="S379" s="4"/>
      <c r="T379" s="5"/>
      <c r="U379" s="4"/>
      <c r="V379" s="4"/>
      <c r="W379" s="6"/>
      <c r="X379" s="67"/>
      <c r="Y379" s="67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3"/>
      <c r="M380" s="4"/>
      <c r="N380" s="3"/>
      <c r="O380" s="3"/>
      <c r="P380" s="4"/>
      <c r="Q380" s="4"/>
      <c r="R380" s="3"/>
      <c r="S380" s="4"/>
      <c r="T380" s="5"/>
      <c r="U380" s="4"/>
      <c r="V380" s="4"/>
      <c r="W380" s="6"/>
      <c r="X380" s="67"/>
      <c r="Y380" s="67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3"/>
      <c r="M381" s="4"/>
      <c r="N381" s="3"/>
      <c r="O381" s="3"/>
      <c r="P381" s="4"/>
      <c r="Q381" s="4"/>
      <c r="R381" s="3"/>
      <c r="S381" s="4"/>
      <c r="T381" s="5"/>
      <c r="U381" s="4"/>
      <c r="V381" s="4"/>
      <c r="W381" s="6"/>
      <c r="X381" s="67"/>
      <c r="Y381" s="67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3"/>
      <c r="M382" s="4"/>
      <c r="N382" s="3"/>
      <c r="O382" s="3"/>
      <c r="P382" s="4"/>
      <c r="Q382" s="4"/>
      <c r="R382" s="3"/>
      <c r="S382" s="4"/>
      <c r="T382" s="5"/>
      <c r="U382" s="4"/>
      <c r="V382" s="4"/>
      <c r="W382" s="6"/>
      <c r="X382" s="67"/>
      <c r="Y382" s="67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3"/>
      <c r="M383" s="4"/>
      <c r="N383" s="3"/>
      <c r="O383" s="3"/>
      <c r="P383" s="4"/>
      <c r="Q383" s="4"/>
      <c r="R383" s="3"/>
      <c r="S383" s="4"/>
      <c r="T383" s="5"/>
      <c r="U383" s="4"/>
      <c r="V383" s="4"/>
      <c r="W383" s="6"/>
      <c r="X383" s="67"/>
      <c r="Y383" s="67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3"/>
      <c r="M384" s="4"/>
      <c r="N384" s="3"/>
      <c r="O384" s="3"/>
      <c r="P384" s="4"/>
      <c r="Q384" s="4"/>
      <c r="R384" s="3"/>
      <c r="S384" s="4"/>
      <c r="T384" s="5"/>
      <c r="U384" s="4"/>
      <c r="V384" s="4"/>
      <c r="W384" s="6"/>
      <c r="X384" s="67"/>
      <c r="Y384" s="67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3"/>
      <c r="M385" s="4"/>
      <c r="N385" s="3"/>
      <c r="O385" s="3"/>
      <c r="P385" s="4"/>
      <c r="Q385" s="4"/>
      <c r="R385" s="3"/>
      <c r="S385" s="4"/>
      <c r="T385" s="5"/>
      <c r="U385" s="4"/>
      <c r="V385" s="4"/>
      <c r="W385" s="6"/>
      <c r="X385" s="67"/>
      <c r="Y385" s="67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3"/>
      <c r="M386" s="4"/>
      <c r="N386" s="3"/>
      <c r="O386" s="3"/>
      <c r="P386" s="4"/>
      <c r="Q386" s="4"/>
      <c r="R386" s="3"/>
      <c r="S386" s="4"/>
      <c r="T386" s="5"/>
      <c r="U386" s="4"/>
      <c r="V386" s="4"/>
      <c r="W386" s="6"/>
      <c r="X386" s="67"/>
      <c r="Y386" s="67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3"/>
      <c r="M387" s="4"/>
      <c r="N387" s="3"/>
      <c r="O387" s="3"/>
      <c r="P387" s="4"/>
      <c r="Q387" s="4"/>
      <c r="R387" s="3"/>
      <c r="S387" s="4"/>
      <c r="T387" s="5"/>
      <c r="U387" s="4"/>
      <c r="V387" s="4"/>
      <c r="W387" s="6"/>
      <c r="X387" s="67"/>
      <c r="Y387" s="67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3"/>
      <c r="M388" s="4"/>
      <c r="N388" s="3"/>
      <c r="O388" s="3"/>
      <c r="P388" s="4"/>
      <c r="Q388" s="4"/>
      <c r="R388" s="3"/>
      <c r="S388" s="4"/>
      <c r="T388" s="5"/>
      <c r="U388" s="4"/>
      <c r="V388" s="4"/>
      <c r="W388" s="6"/>
      <c r="X388" s="67"/>
      <c r="Y388" s="67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3"/>
      <c r="M389" s="4"/>
      <c r="N389" s="3"/>
      <c r="O389" s="3"/>
      <c r="P389" s="4"/>
      <c r="Q389" s="4"/>
      <c r="R389" s="3"/>
      <c r="S389" s="4"/>
      <c r="T389" s="5"/>
      <c r="U389" s="4"/>
      <c r="V389" s="4"/>
      <c r="W389" s="6"/>
      <c r="X389" s="67"/>
      <c r="Y389" s="67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3"/>
      <c r="M390" s="4"/>
      <c r="N390" s="3"/>
      <c r="O390" s="3"/>
      <c r="P390" s="4"/>
      <c r="Q390" s="4"/>
      <c r="R390" s="3"/>
      <c r="S390" s="4"/>
      <c r="T390" s="5"/>
      <c r="U390" s="4"/>
      <c r="V390" s="4"/>
      <c r="W390" s="6"/>
      <c r="X390" s="67"/>
      <c r="Y390" s="67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3"/>
      <c r="M391" s="4"/>
      <c r="N391" s="3"/>
      <c r="O391" s="3"/>
      <c r="P391" s="4"/>
      <c r="Q391" s="4"/>
      <c r="R391" s="3"/>
      <c r="S391" s="4"/>
      <c r="T391" s="5"/>
      <c r="U391" s="4"/>
      <c r="V391" s="4"/>
      <c r="W391" s="6"/>
      <c r="X391" s="67"/>
      <c r="Y391" s="67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3"/>
      <c r="M392" s="4"/>
      <c r="N392" s="3"/>
      <c r="O392" s="3"/>
      <c r="P392" s="4"/>
      <c r="Q392" s="4"/>
      <c r="R392" s="3"/>
      <c r="S392" s="4"/>
      <c r="T392" s="5"/>
      <c r="U392" s="4"/>
      <c r="V392" s="4"/>
      <c r="W392" s="6"/>
      <c r="X392" s="67"/>
      <c r="Y392" s="67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3"/>
      <c r="M393" s="4"/>
      <c r="N393" s="3"/>
      <c r="O393" s="3"/>
      <c r="P393" s="4"/>
      <c r="Q393" s="4"/>
      <c r="R393" s="3"/>
      <c r="S393" s="4"/>
      <c r="T393" s="5"/>
      <c r="U393" s="4"/>
      <c r="V393" s="4"/>
      <c r="W393" s="6"/>
      <c r="X393" s="67"/>
      <c r="Y393" s="67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3"/>
      <c r="M394" s="4"/>
      <c r="N394" s="3"/>
      <c r="O394" s="3"/>
      <c r="P394" s="4"/>
      <c r="Q394" s="4"/>
      <c r="R394" s="3"/>
      <c r="S394" s="4"/>
      <c r="T394" s="5"/>
      <c r="U394" s="4"/>
      <c r="V394" s="4"/>
      <c r="W394" s="6"/>
      <c r="X394" s="67"/>
      <c r="Y394" s="67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3"/>
      <c r="M395" s="4"/>
      <c r="N395" s="3"/>
      <c r="O395" s="3"/>
      <c r="P395" s="4"/>
      <c r="Q395" s="4"/>
      <c r="R395" s="3"/>
      <c r="S395" s="4"/>
      <c r="T395" s="5"/>
      <c r="U395" s="4"/>
      <c r="V395" s="4"/>
      <c r="W395" s="6"/>
      <c r="X395" s="67"/>
      <c r="Y395" s="67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3"/>
      <c r="M396" s="4"/>
      <c r="N396" s="3"/>
      <c r="O396" s="3"/>
      <c r="P396" s="4"/>
      <c r="Q396" s="4"/>
      <c r="R396" s="3"/>
      <c r="S396" s="4"/>
      <c r="T396" s="5"/>
      <c r="U396" s="4"/>
      <c r="V396" s="4"/>
      <c r="W396" s="6"/>
      <c r="X396" s="67"/>
      <c r="Y396" s="67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3"/>
      <c r="M397" s="4"/>
      <c r="N397" s="3"/>
      <c r="O397" s="3"/>
      <c r="P397" s="4"/>
      <c r="Q397" s="4"/>
      <c r="R397" s="3"/>
      <c r="S397" s="4"/>
      <c r="T397" s="5"/>
      <c r="U397" s="4"/>
      <c r="V397" s="4"/>
      <c r="W397" s="6"/>
      <c r="X397" s="67"/>
      <c r="Y397" s="67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3"/>
      <c r="M398" s="4"/>
      <c r="N398" s="3"/>
      <c r="O398" s="3"/>
      <c r="P398" s="4"/>
      <c r="Q398" s="4"/>
      <c r="R398" s="3"/>
      <c r="S398" s="4"/>
      <c r="T398" s="5"/>
      <c r="U398" s="4"/>
      <c r="V398" s="4"/>
      <c r="W398" s="6"/>
      <c r="X398" s="67"/>
      <c r="Y398" s="67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3"/>
      <c r="M399" s="4"/>
      <c r="N399" s="3"/>
      <c r="O399" s="3"/>
      <c r="P399" s="4"/>
      <c r="Q399" s="4"/>
      <c r="R399" s="3"/>
      <c r="S399" s="4"/>
      <c r="T399" s="5"/>
      <c r="U399" s="4"/>
      <c r="V399" s="4"/>
      <c r="W399" s="6"/>
      <c r="X399" s="67"/>
      <c r="Y399" s="67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3"/>
      <c r="M400" s="4"/>
      <c r="N400" s="3"/>
      <c r="O400" s="3"/>
      <c r="P400" s="4"/>
      <c r="Q400" s="4"/>
      <c r="R400" s="3"/>
      <c r="S400" s="4"/>
      <c r="T400" s="5"/>
      <c r="U400" s="4"/>
      <c r="V400" s="4"/>
      <c r="W400" s="6"/>
      <c r="X400" s="67"/>
      <c r="Y400" s="67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3"/>
      <c r="M401" s="4"/>
      <c r="N401" s="3"/>
      <c r="O401" s="3"/>
      <c r="P401" s="4"/>
      <c r="Q401" s="4"/>
      <c r="R401" s="3"/>
      <c r="S401" s="4"/>
      <c r="T401" s="5"/>
      <c r="U401" s="4"/>
      <c r="V401" s="4"/>
      <c r="W401" s="6"/>
      <c r="X401" s="67"/>
      <c r="Y401" s="67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3"/>
      <c r="M402" s="4"/>
      <c r="N402" s="3"/>
      <c r="O402" s="3"/>
      <c r="P402" s="4"/>
      <c r="Q402" s="4"/>
      <c r="R402" s="3"/>
      <c r="S402" s="4"/>
      <c r="T402" s="5"/>
      <c r="U402" s="4"/>
      <c r="V402" s="4"/>
      <c r="W402" s="6"/>
      <c r="X402" s="67"/>
      <c r="Y402" s="67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3"/>
      <c r="M403" s="4"/>
      <c r="N403" s="3"/>
      <c r="O403" s="3"/>
      <c r="P403" s="4"/>
      <c r="Q403" s="4"/>
      <c r="R403" s="3"/>
      <c r="S403" s="4"/>
      <c r="T403" s="5"/>
      <c r="U403" s="4"/>
      <c r="V403" s="4"/>
      <c r="W403" s="6"/>
      <c r="X403" s="67"/>
      <c r="Y403" s="67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3"/>
      <c r="M404" s="4"/>
      <c r="N404" s="3"/>
      <c r="O404" s="3"/>
      <c r="P404" s="4"/>
      <c r="Q404" s="4"/>
      <c r="R404" s="3"/>
      <c r="S404" s="4"/>
      <c r="T404" s="5"/>
      <c r="U404" s="4"/>
      <c r="V404" s="4"/>
      <c r="W404" s="6"/>
      <c r="X404" s="67"/>
      <c r="Y404" s="67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3"/>
      <c r="M405" s="4"/>
      <c r="N405" s="3"/>
      <c r="O405" s="3"/>
      <c r="P405" s="4"/>
      <c r="Q405" s="4"/>
      <c r="R405" s="3"/>
      <c r="S405" s="4"/>
      <c r="T405" s="5"/>
      <c r="U405" s="4"/>
      <c r="V405" s="4"/>
      <c r="W405" s="6"/>
      <c r="X405" s="67"/>
      <c r="Y405" s="67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3"/>
      <c r="M406" s="4"/>
      <c r="N406" s="3"/>
      <c r="O406" s="3"/>
      <c r="P406" s="4"/>
      <c r="Q406" s="4"/>
      <c r="R406" s="3"/>
      <c r="S406" s="4"/>
      <c r="T406" s="5"/>
      <c r="U406" s="4"/>
      <c r="V406" s="4"/>
      <c r="W406" s="6"/>
      <c r="X406" s="67"/>
      <c r="Y406" s="67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3"/>
      <c r="M407" s="4"/>
      <c r="N407" s="3"/>
      <c r="O407" s="3"/>
      <c r="P407" s="4"/>
      <c r="Q407" s="4"/>
      <c r="R407" s="3"/>
      <c r="S407" s="4"/>
      <c r="T407" s="5"/>
      <c r="U407" s="4"/>
      <c r="V407" s="4"/>
      <c r="W407" s="6"/>
      <c r="X407" s="67"/>
      <c r="Y407" s="67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3"/>
      <c r="M408" s="4"/>
      <c r="N408" s="3"/>
      <c r="O408" s="3"/>
      <c r="P408" s="4"/>
      <c r="Q408" s="4"/>
      <c r="R408" s="3"/>
      <c r="S408" s="4"/>
      <c r="T408" s="5"/>
      <c r="U408" s="4"/>
      <c r="V408" s="4"/>
      <c r="W408" s="6"/>
      <c r="X408" s="67"/>
      <c r="Y408" s="67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/>
      <c r="M409" s="4"/>
      <c r="N409" s="3"/>
      <c r="O409" s="3"/>
      <c r="P409" s="4"/>
      <c r="Q409" s="4"/>
      <c r="R409" s="3"/>
      <c r="S409" s="4"/>
      <c r="T409" s="5"/>
      <c r="U409" s="4"/>
      <c r="V409" s="4"/>
      <c r="W409" s="6"/>
      <c r="X409" s="67"/>
      <c r="Y409" s="67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3"/>
      <c r="M410" s="4"/>
      <c r="N410" s="3"/>
      <c r="O410" s="3"/>
      <c r="P410" s="4"/>
      <c r="Q410" s="4"/>
      <c r="R410" s="3"/>
      <c r="S410" s="4"/>
      <c r="T410" s="5"/>
      <c r="U410" s="4"/>
      <c r="V410" s="4"/>
      <c r="W410" s="6"/>
      <c r="X410" s="67"/>
      <c r="Y410" s="67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3"/>
      <c r="M411" s="4"/>
      <c r="N411" s="3"/>
      <c r="O411" s="3"/>
      <c r="P411" s="4"/>
      <c r="Q411" s="4"/>
      <c r="R411" s="3"/>
      <c r="S411" s="4"/>
      <c r="T411" s="5"/>
      <c r="U411" s="4"/>
      <c r="V411" s="4"/>
      <c r="W411" s="6"/>
      <c r="X411" s="67"/>
      <c r="Y411" s="67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3"/>
      <c r="M412" s="4"/>
      <c r="N412" s="3"/>
      <c r="O412" s="3"/>
      <c r="P412" s="4"/>
      <c r="Q412" s="4"/>
      <c r="R412" s="3"/>
      <c r="S412" s="4"/>
      <c r="T412" s="5"/>
      <c r="U412" s="4"/>
      <c r="V412" s="4"/>
      <c r="W412" s="6"/>
      <c r="X412" s="67"/>
      <c r="Y412" s="67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3"/>
      <c r="M413" s="4"/>
      <c r="N413" s="3"/>
      <c r="O413" s="3"/>
      <c r="P413" s="4"/>
      <c r="Q413" s="4"/>
      <c r="R413" s="3"/>
      <c r="S413" s="4"/>
      <c r="T413" s="5"/>
      <c r="U413" s="4"/>
      <c r="V413" s="4"/>
      <c r="W413" s="6"/>
      <c r="X413" s="67"/>
      <c r="Y413" s="67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3"/>
      <c r="M414" s="4"/>
      <c r="N414" s="3"/>
      <c r="O414" s="3"/>
      <c r="P414" s="4"/>
      <c r="Q414" s="4"/>
      <c r="R414" s="3"/>
      <c r="S414" s="4"/>
      <c r="T414" s="5"/>
      <c r="U414" s="4"/>
      <c r="V414" s="4"/>
      <c r="W414" s="6"/>
      <c r="X414" s="67"/>
      <c r="Y414" s="67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3"/>
      <c r="M415" s="4"/>
      <c r="N415" s="3"/>
      <c r="O415" s="3"/>
      <c r="P415" s="4"/>
      <c r="Q415" s="4"/>
      <c r="R415" s="3"/>
      <c r="S415" s="4"/>
      <c r="T415" s="5"/>
      <c r="U415" s="4"/>
      <c r="V415" s="4"/>
      <c r="W415" s="6"/>
      <c r="X415" s="67"/>
      <c r="Y415" s="67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3"/>
      <c r="M416" s="4"/>
      <c r="N416" s="3"/>
      <c r="O416" s="3"/>
      <c r="P416" s="4"/>
      <c r="Q416" s="4"/>
      <c r="R416" s="3"/>
      <c r="S416" s="4"/>
      <c r="T416" s="5"/>
      <c r="U416" s="4"/>
      <c r="V416" s="4"/>
      <c r="W416" s="6"/>
      <c r="X416" s="67"/>
      <c r="Y416" s="67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3"/>
      <c r="M417" s="4"/>
      <c r="N417" s="3"/>
      <c r="O417" s="3"/>
      <c r="P417" s="4"/>
      <c r="Q417" s="4"/>
      <c r="R417" s="3"/>
      <c r="S417" s="4"/>
      <c r="T417" s="5"/>
      <c r="U417" s="4"/>
      <c r="V417" s="4"/>
      <c r="W417" s="6"/>
      <c r="X417" s="67"/>
      <c r="Y417" s="67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3"/>
      <c r="M418" s="4"/>
      <c r="N418" s="3"/>
      <c r="O418" s="3"/>
      <c r="P418" s="4"/>
      <c r="Q418" s="4"/>
      <c r="R418" s="3"/>
      <c r="S418" s="4"/>
      <c r="T418" s="5"/>
      <c r="U418" s="4"/>
      <c r="V418" s="4"/>
      <c r="W418" s="6"/>
      <c r="X418" s="67"/>
      <c r="Y418" s="67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3"/>
      <c r="M419" s="4"/>
      <c r="N419" s="3"/>
      <c r="O419" s="3"/>
      <c r="P419" s="4"/>
      <c r="Q419" s="4"/>
      <c r="R419" s="3"/>
      <c r="S419" s="4"/>
      <c r="T419" s="5"/>
      <c r="U419" s="4"/>
      <c r="V419" s="4"/>
      <c r="W419" s="6"/>
      <c r="X419" s="67"/>
      <c r="Y419" s="67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/>
      <c r="M420" s="4"/>
      <c r="N420" s="3"/>
      <c r="O420" s="3"/>
      <c r="P420" s="4"/>
      <c r="Q420" s="4"/>
      <c r="R420" s="3"/>
      <c r="S420" s="4"/>
      <c r="T420" s="5"/>
      <c r="U420" s="4"/>
      <c r="V420" s="4"/>
      <c r="W420" s="6"/>
      <c r="X420" s="67"/>
      <c r="Y420" s="67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3"/>
      <c r="M421" s="4"/>
      <c r="N421" s="3"/>
      <c r="O421" s="3"/>
      <c r="P421" s="4"/>
      <c r="Q421" s="4"/>
      <c r="R421" s="3"/>
      <c r="S421" s="4"/>
      <c r="T421" s="5"/>
      <c r="U421" s="4"/>
      <c r="V421" s="4"/>
      <c r="W421" s="6"/>
      <c r="X421" s="67"/>
      <c r="Y421" s="67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3"/>
      <c r="M422" s="4"/>
      <c r="N422" s="3"/>
      <c r="O422" s="3"/>
      <c r="P422" s="4"/>
      <c r="Q422" s="4"/>
      <c r="R422" s="3"/>
      <c r="S422" s="4"/>
      <c r="T422" s="5"/>
      <c r="U422" s="4"/>
      <c r="V422" s="4"/>
      <c r="W422" s="6"/>
      <c r="X422" s="67"/>
      <c r="Y422" s="67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3"/>
      <c r="M423" s="4"/>
      <c r="N423" s="3"/>
      <c r="O423" s="3"/>
      <c r="P423" s="4"/>
      <c r="Q423" s="4"/>
      <c r="R423" s="3"/>
      <c r="S423" s="4"/>
      <c r="T423" s="5"/>
      <c r="U423" s="4"/>
      <c r="V423" s="4"/>
      <c r="W423" s="6"/>
      <c r="X423" s="67"/>
      <c r="Y423" s="67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3"/>
      <c r="M424" s="4"/>
      <c r="N424" s="3"/>
      <c r="O424" s="3"/>
      <c r="P424" s="4"/>
      <c r="Q424" s="4"/>
      <c r="R424" s="3"/>
      <c r="S424" s="4"/>
      <c r="T424" s="5"/>
      <c r="U424" s="4"/>
      <c r="V424" s="4"/>
      <c r="W424" s="6"/>
      <c r="X424" s="67"/>
      <c r="Y424" s="67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3"/>
      <c r="M425" s="4"/>
      <c r="N425" s="3"/>
      <c r="O425" s="3"/>
      <c r="P425" s="4"/>
      <c r="Q425" s="4"/>
      <c r="R425" s="3"/>
      <c r="S425" s="4"/>
      <c r="T425" s="5"/>
      <c r="U425" s="4"/>
      <c r="V425" s="4"/>
      <c r="W425" s="6"/>
      <c r="X425" s="67"/>
      <c r="Y425" s="67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3"/>
      <c r="M426" s="4"/>
      <c r="N426" s="3"/>
      <c r="O426" s="3"/>
      <c r="P426" s="4"/>
      <c r="Q426" s="4"/>
      <c r="R426" s="3"/>
      <c r="S426" s="4"/>
      <c r="T426" s="5"/>
      <c r="U426" s="4"/>
      <c r="V426" s="4"/>
      <c r="W426" s="6"/>
      <c r="X426" s="67"/>
      <c r="Y426" s="67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3"/>
      <c r="M427" s="4"/>
      <c r="N427" s="3"/>
      <c r="O427" s="3"/>
      <c r="P427" s="4"/>
      <c r="Q427" s="4"/>
      <c r="R427" s="3"/>
      <c r="S427" s="4"/>
      <c r="T427" s="5"/>
      <c r="U427" s="4"/>
      <c r="V427" s="4"/>
      <c r="W427" s="6"/>
      <c r="X427" s="67"/>
      <c r="Y427" s="67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3"/>
      <c r="M428" s="4"/>
      <c r="N428" s="3"/>
      <c r="O428" s="3"/>
      <c r="P428" s="4"/>
      <c r="Q428" s="4"/>
      <c r="R428" s="3"/>
      <c r="S428" s="4"/>
      <c r="T428" s="5"/>
      <c r="U428" s="4"/>
      <c r="V428" s="4"/>
      <c r="W428" s="6"/>
      <c r="X428" s="67"/>
      <c r="Y428" s="67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3"/>
      <c r="M429" s="4"/>
      <c r="N429" s="3"/>
      <c r="O429" s="3"/>
      <c r="P429" s="4"/>
      <c r="Q429" s="4"/>
      <c r="R429" s="3"/>
      <c r="S429" s="4"/>
      <c r="T429" s="5"/>
      <c r="U429" s="4"/>
      <c r="V429" s="4"/>
      <c r="W429" s="6"/>
      <c r="X429" s="67"/>
      <c r="Y429" s="67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3"/>
      <c r="M430" s="4"/>
      <c r="N430" s="3"/>
      <c r="O430" s="3"/>
      <c r="P430" s="4"/>
      <c r="Q430" s="4"/>
      <c r="R430" s="3"/>
      <c r="S430" s="4"/>
      <c r="T430" s="5"/>
      <c r="U430" s="4"/>
      <c r="V430" s="4"/>
      <c r="W430" s="6"/>
      <c r="X430" s="67"/>
      <c r="Y430" s="67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3"/>
      <c r="M431" s="4"/>
      <c r="N431" s="3"/>
      <c r="O431" s="3"/>
      <c r="P431" s="4"/>
      <c r="Q431" s="4"/>
      <c r="R431" s="3"/>
      <c r="S431" s="4"/>
      <c r="T431" s="5"/>
      <c r="U431" s="4"/>
      <c r="V431" s="4"/>
      <c r="W431" s="6"/>
      <c r="X431" s="67"/>
      <c r="Y431" s="67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3"/>
      <c r="M432" s="4"/>
      <c r="N432" s="3"/>
      <c r="O432" s="3"/>
      <c r="P432" s="4"/>
      <c r="Q432" s="4"/>
      <c r="R432" s="3"/>
      <c r="S432" s="4"/>
      <c r="T432" s="5"/>
      <c r="U432" s="4"/>
      <c r="V432" s="4"/>
      <c r="W432" s="6"/>
      <c r="X432" s="67"/>
      <c r="Y432" s="67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3"/>
      <c r="M433" s="4"/>
      <c r="N433" s="3"/>
      <c r="O433" s="3"/>
      <c r="P433" s="4"/>
      <c r="Q433" s="4"/>
      <c r="R433" s="3"/>
      <c r="S433" s="4"/>
      <c r="T433" s="5"/>
      <c r="U433" s="4"/>
      <c r="V433" s="4"/>
      <c r="W433" s="6"/>
      <c r="X433" s="67"/>
      <c r="Y433" s="67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3"/>
      <c r="M434" s="4"/>
      <c r="N434" s="3"/>
      <c r="O434" s="3"/>
      <c r="P434" s="4"/>
      <c r="Q434" s="4"/>
      <c r="R434" s="3"/>
      <c r="S434" s="4"/>
      <c r="T434" s="5"/>
      <c r="U434" s="4"/>
      <c r="V434" s="4"/>
      <c r="W434" s="6"/>
      <c r="X434" s="67"/>
      <c r="Y434" s="67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3"/>
      <c r="M435" s="4"/>
      <c r="N435" s="3"/>
      <c r="O435" s="3"/>
      <c r="P435" s="4"/>
      <c r="Q435" s="4"/>
      <c r="R435" s="3"/>
      <c r="S435" s="4"/>
      <c r="T435" s="5"/>
      <c r="U435" s="4"/>
      <c r="V435" s="4"/>
      <c r="W435" s="6"/>
      <c r="X435" s="67"/>
      <c r="Y435" s="67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3"/>
      <c r="M436" s="4"/>
      <c r="N436" s="3"/>
      <c r="O436" s="3"/>
      <c r="P436" s="4"/>
      <c r="Q436" s="4"/>
      <c r="R436" s="3"/>
      <c r="S436" s="4"/>
      <c r="T436" s="5"/>
      <c r="U436" s="4"/>
      <c r="V436" s="4"/>
      <c r="W436" s="6"/>
      <c r="X436" s="67"/>
      <c r="Y436" s="67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3"/>
      <c r="M437" s="4"/>
      <c r="N437" s="3"/>
      <c r="O437" s="3"/>
      <c r="P437" s="4"/>
      <c r="Q437" s="4"/>
      <c r="R437" s="3"/>
      <c r="S437" s="4"/>
      <c r="T437" s="5"/>
      <c r="U437" s="4"/>
      <c r="V437" s="4"/>
      <c r="W437" s="6"/>
      <c r="X437" s="67"/>
      <c r="Y437" s="67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3"/>
      <c r="M438" s="4"/>
      <c r="N438" s="3"/>
      <c r="O438" s="3"/>
      <c r="P438" s="4"/>
      <c r="Q438" s="4"/>
      <c r="R438" s="3"/>
      <c r="S438" s="4"/>
      <c r="T438" s="5"/>
      <c r="U438" s="4"/>
      <c r="V438" s="4"/>
      <c r="W438" s="6"/>
      <c r="X438" s="67"/>
      <c r="Y438" s="67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3"/>
      <c r="M439" s="4"/>
      <c r="N439" s="3"/>
      <c r="O439" s="3"/>
      <c r="P439" s="4"/>
      <c r="Q439" s="4"/>
      <c r="R439" s="3"/>
      <c r="S439" s="4"/>
      <c r="T439" s="5"/>
      <c r="U439" s="4"/>
      <c r="V439" s="4"/>
      <c r="W439" s="6"/>
      <c r="X439" s="67"/>
      <c r="Y439" s="67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3"/>
      <c r="M440" s="4"/>
      <c r="N440" s="3"/>
      <c r="O440" s="3"/>
      <c r="P440" s="4"/>
      <c r="Q440" s="4"/>
      <c r="R440" s="3"/>
      <c r="S440" s="4"/>
      <c r="T440" s="5"/>
      <c r="U440" s="4"/>
      <c r="V440" s="4"/>
      <c r="W440" s="6"/>
      <c r="X440" s="67"/>
      <c r="Y440" s="67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3"/>
      <c r="M441" s="4"/>
      <c r="N441" s="3"/>
      <c r="O441" s="3"/>
      <c r="P441" s="4"/>
      <c r="Q441" s="4"/>
      <c r="R441" s="3"/>
      <c r="S441" s="4"/>
      <c r="T441" s="5"/>
      <c r="U441" s="4"/>
      <c r="V441" s="4"/>
      <c r="W441" s="6"/>
      <c r="X441" s="67"/>
      <c r="Y441" s="67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3"/>
      <c r="M442" s="4"/>
      <c r="N442" s="3"/>
      <c r="O442" s="3"/>
      <c r="P442" s="4"/>
      <c r="Q442" s="4"/>
      <c r="R442" s="3"/>
      <c r="S442" s="4"/>
      <c r="T442" s="5"/>
      <c r="U442" s="4"/>
      <c r="V442" s="4"/>
      <c r="W442" s="6"/>
      <c r="X442" s="67"/>
      <c r="Y442" s="67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3"/>
      <c r="M443" s="4"/>
      <c r="N443" s="3"/>
      <c r="O443" s="3"/>
      <c r="P443" s="4"/>
      <c r="Q443" s="4"/>
      <c r="R443" s="3"/>
      <c r="S443" s="4"/>
      <c r="T443" s="5"/>
      <c r="U443" s="4"/>
      <c r="V443" s="4"/>
      <c r="W443" s="6"/>
      <c r="X443" s="67"/>
      <c r="Y443" s="67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3"/>
      <c r="M444" s="4"/>
      <c r="N444" s="3"/>
      <c r="O444" s="3"/>
      <c r="P444" s="4"/>
      <c r="Q444" s="4"/>
      <c r="R444" s="3"/>
      <c r="S444" s="4"/>
      <c r="T444" s="5"/>
      <c r="U444" s="4"/>
      <c r="V444" s="4"/>
      <c r="W444" s="6"/>
      <c r="X444" s="67"/>
      <c r="Y444" s="67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3"/>
      <c r="M445" s="4"/>
      <c r="N445" s="3"/>
      <c r="O445" s="3"/>
      <c r="P445" s="4"/>
      <c r="Q445" s="4"/>
      <c r="R445" s="3"/>
      <c r="S445" s="4"/>
      <c r="T445" s="5"/>
      <c r="U445" s="4"/>
      <c r="V445" s="4"/>
      <c r="W445" s="6"/>
      <c r="X445" s="67"/>
      <c r="Y445" s="67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3"/>
      <c r="M446" s="4"/>
      <c r="N446" s="3"/>
      <c r="O446" s="3"/>
      <c r="P446" s="4"/>
      <c r="Q446" s="4"/>
      <c r="R446" s="3"/>
      <c r="S446" s="4"/>
      <c r="T446" s="5"/>
      <c r="U446" s="4"/>
      <c r="V446" s="4"/>
      <c r="W446" s="6"/>
      <c r="X446" s="67"/>
      <c r="Y446" s="67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3"/>
      <c r="M447" s="4"/>
      <c r="N447" s="3"/>
      <c r="O447" s="3"/>
      <c r="P447" s="4"/>
      <c r="Q447" s="4"/>
      <c r="R447" s="3"/>
      <c r="S447" s="4"/>
      <c r="T447" s="5"/>
      <c r="U447" s="4"/>
      <c r="V447" s="4"/>
      <c r="W447" s="6"/>
      <c r="X447" s="67"/>
      <c r="Y447" s="67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3"/>
      <c r="M448" s="4"/>
      <c r="N448" s="3"/>
      <c r="O448" s="3"/>
      <c r="P448" s="4"/>
      <c r="Q448" s="4"/>
      <c r="R448" s="3"/>
      <c r="S448" s="4"/>
      <c r="T448" s="5"/>
      <c r="U448" s="4"/>
      <c r="V448" s="4"/>
      <c r="W448" s="6"/>
      <c r="X448" s="67"/>
      <c r="Y448" s="67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3"/>
      <c r="M449" s="4"/>
      <c r="N449" s="3"/>
      <c r="O449" s="3"/>
      <c r="P449" s="4"/>
      <c r="Q449" s="4"/>
      <c r="R449" s="3"/>
      <c r="S449" s="4"/>
      <c r="T449" s="5"/>
      <c r="U449" s="4"/>
      <c r="V449" s="4"/>
      <c r="W449" s="6"/>
      <c r="X449" s="67"/>
      <c r="Y449" s="67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3"/>
      <c r="M450" s="4"/>
      <c r="N450" s="3"/>
      <c r="O450" s="3"/>
      <c r="P450" s="4"/>
      <c r="Q450" s="4"/>
      <c r="R450" s="3"/>
      <c r="S450" s="4"/>
      <c r="T450" s="5"/>
      <c r="U450" s="4"/>
      <c r="V450" s="4"/>
      <c r="W450" s="6"/>
      <c r="X450" s="67"/>
      <c r="Y450" s="67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3"/>
      <c r="M451" s="4"/>
      <c r="N451" s="3"/>
      <c r="O451" s="3"/>
      <c r="P451" s="4"/>
      <c r="Q451" s="4"/>
      <c r="R451" s="3"/>
      <c r="S451" s="4"/>
      <c r="T451" s="5"/>
      <c r="U451" s="4"/>
      <c r="V451" s="4"/>
      <c r="W451" s="6"/>
      <c r="X451" s="67"/>
      <c r="Y451" s="67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3"/>
      <c r="M452" s="4"/>
      <c r="N452" s="3"/>
      <c r="O452" s="3"/>
      <c r="P452" s="4"/>
      <c r="Q452" s="4"/>
      <c r="R452" s="3"/>
      <c r="S452" s="4"/>
      <c r="T452" s="5"/>
      <c r="U452" s="4"/>
      <c r="V452" s="4"/>
      <c r="W452" s="6"/>
      <c r="X452" s="67"/>
      <c r="Y452" s="67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3"/>
      <c r="M453" s="4"/>
      <c r="N453" s="3"/>
      <c r="O453" s="3"/>
      <c r="P453" s="4"/>
      <c r="Q453" s="4"/>
      <c r="R453" s="3"/>
      <c r="S453" s="4"/>
      <c r="T453" s="5"/>
      <c r="U453" s="4"/>
      <c r="V453" s="4"/>
      <c r="W453" s="6"/>
      <c r="X453" s="67"/>
      <c r="Y453" s="67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3"/>
      <c r="M454" s="4"/>
      <c r="N454" s="3"/>
      <c r="O454" s="3"/>
      <c r="P454" s="4"/>
      <c r="Q454" s="4"/>
      <c r="R454" s="3"/>
      <c r="S454" s="4"/>
      <c r="T454" s="5"/>
      <c r="U454" s="4"/>
      <c r="V454" s="4"/>
      <c r="W454" s="6"/>
      <c r="X454" s="67"/>
      <c r="Y454" s="67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3"/>
      <c r="M455" s="4"/>
      <c r="N455" s="3"/>
      <c r="O455" s="3"/>
      <c r="P455" s="4"/>
      <c r="Q455" s="4"/>
      <c r="R455" s="3"/>
      <c r="S455" s="4"/>
      <c r="T455" s="5"/>
      <c r="U455" s="4"/>
      <c r="V455" s="4"/>
      <c r="W455" s="6"/>
      <c r="X455" s="67"/>
      <c r="Y455" s="67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3"/>
      <c r="M456" s="4"/>
      <c r="N456" s="3"/>
      <c r="O456" s="3"/>
      <c r="P456" s="4"/>
      <c r="Q456" s="4"/>
      <c r="R456" s="3"/>
      <c r="S456" s="4"/>
      <c r="T456" s="5"/>
      <c r="U456" s="4"/>
      <c r="V456" s="4"/>
      <c r="W456" s="6"/>
      <c r="X456" s="67"/>
      <c r="Y456" s="67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3"/>
      <c r="M457" s="4"/>
      <c r="N457" s="3"/>
      <c r="O457" s="3"/>
      <c r="P457" s="4"/>
      <c r="Q457" s="4"/>
      <c r="R457" s="3"/>
      <c r="S457" s="4"/>
      <c r="T457" s="5"/>
      <c r="U457" s="4"/>
      <c r="V457" s="4"/>
      <c r="W457" s="6"/>
      <c r="X457" s="67"/>
      <c r="Y457" s="67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3"/>
      <c r="M458" s="4"/>
      <c r="N458" s="3"/>
      <c r="O458" s="3"/>
      <c r="P458" s="4"/>
      <c r="Q458" s="4"/>
      <c r="R458" s="3"/>
      <c r="S458" s="4"/>
      <c r="T458" s="5"/>
      <c r="U458" s="4"/>
      <c r="V458" s="4"/>
      <c r="W458" s="6"/>
      <c r="X458" s="67"/>
      <c r="Y458" s="67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3"/>
      <c r="M459" s="4"/>
      <c r="N459" s="3"/>
      <c r="O459" s="3"/>
      <c r="P459" s="4"/>
      <c r="Q459" s="4"/>
      <c r="R459" s="3"/>
      <c r="S459" s="4"/>
      <c r="T459" s="5"/>
      <c r="U459" s="4"/>
      <c r="V459" s="4"/>
      <c r="W459" s="6"/>
      <c r="X459" s="67"/>
      <c r="Y459" s="67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3"/>
      <c r="M460" s="4"/>
      <c r="N460" s="3"/>
      <c r="O460" s="3"/>
      <c r="P460" s="4"/>
      <c r="Q460" s="4"/>
      <c r="R460" s="3"/>
      <c r="S460" s="4"/>
      <c r="T460" s="5"/>
      <c r="U460" s="4"/>
      <c r="V460" s="4"/>
      <c r="W460" s="6"/>
      <c r="X460" s="67"/>
      <c r="Y460" s="67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3"/>
      <c r="M461" s="4"/>
      <c r="N461" s="3"/>
      <c r="O461" s="3"/>
      <c r="P461" s="4"/>
      <c r="Q461" s="4"/>
      <c r="R461" s="3"/>
      <c r="S461" s="4"/>
      <c r="T461" s="5"/>
      <c r="U461" s="4"/>
      <c r="V461" s="4"/>
      <c r="W461" s="6"/>
      <c r="X461" s="67"/>
      <c r="Y461" s="67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3"/>
      <c r="M462" s="4"/>
      <c r="N462" s="3"/>
      <c r="O462" s="3"/>
      <c r="P462" s="4"/>
      <c r="Q462" s="4"/>
      <c r="R462" s="3"/>
      <c r="S462" s="4"/>
      <c r="T462" s="5"/>
      <c r="U462" s="4"/>
      <c r="V462" s="4"/>
      <c r="W462" s="6"/>
      <c r="X462" s="67"/>
      <c r="Y462" s="67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3"/>
      <c r="M463" s="4"/>
      <c r="N463" s="3"/>
      <c r="O463" s="3"/>
      <c r="P463" s="4"/>
      <c r="Q463" s="4"/>
      <c r="R463" s="3"/>
      <c r="S463" s="4"/>
      <c r="T463" s="5"/>
      <c r="U463" s="4"/>
      <c r="V463" s="4"/>
      <c r="W463" s="6"/>
      <c r="X463" s="67"/>
      <c r="Y463" s="67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3"/>
      <c r="M464" s="4"/>
      <c r="N464" s="3"/>
      <c r="O464" s="3"/>
      <c r="P464" s="4"/>
      <c r="Q464" s="4"/>
      <c r="R464" s="3"/>
      <c r="S464" s="4"/>
      <c r="T464" s="5"/>
      <c r="U464" s="4"/>
      <c r="V464" s="4"/>
      <c r="W464" s="6"/>
      <c r="X464" s="67"/>
      <c r="Y464" s="67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3"/>
      <c r="M465" s="4"/>
      <c r="N465" s="3"/>
      <c r="O465" s="3"/>
      <c r="P465" s="4"/>
      <c r="Q465" s="4"/>
      <c r="R465" s="3"/>
      <c r="S465" s="4"/>
      <c r="T465" s="5"/>
      <c r="U465" s="4"/>
      <c r="V465" s="4"/>
      <c r="W465" s="6"/>
      <c r="X465" s="67"/>
      <c r="Y465" s="67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3"/>
      <c r="M466" s="4"/>
      <c r="N466" s="3"/>
      <c r="O466" s="3"/>
      <c r="P466" s="4"/>
      <c r="Q466" s="4"/>
      <c r="R466" s="3"/>
      <c r="S466" s="4"/>
      <c r="T466" s="5"/>
      <c r="U466" s="4"/>
      <c r="V466" s="4"/>
      <c r="W466" s="6"/>
      <c r="X466" s="67"/>
      <c r="Y466" s="67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3"/>
      <c r="M467" s="4"/>
      <c r="N467" s="3"/>
      <c r="O467" s="3"/>
      <c r="P467" s="4"/>
      <c r="Q467" s="4"/>
      <c r="R467" s="3"/>
      <c r="S467" s="4"/>
      <c r="T467" s="5"/>
      <c r="U467" s="4"/>
      <c r="V467" s="4"/>
      <c r="W467" s="6"/>
      <c r="X467" s="67"/>
      <c r="Y467" s="67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3"/>
      <c r="M468" s="4"/>
      <c r="N468" s="3"/>
      <c r="O468" s="3"/>
      <c r="P468" s="4"/>
      <c r="Q468" s="4"/>
      <c r="R468" s="3"/>
      <c r="S468" s="4"/>
      <c r="T468" s="5"/>
      <c r="U468" s="4"/>
      <c r="V468" s="4"/>
      <c r="W468" s="6"/>
      <c r="X468" s="67"/>
      <c r="Y468" s="67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3"/>
      <c r="M469" s="4"/>
      <c r="N469" s="3"/>
      <c r="O469" s="3"/>
      <c r="P469" s="4"/>
      <c r="Q469" s="4"/>
      <c r="R469" s="3"/>
      <c r="S469" s="4"/>
      <c r="T469" s="5"/>
      <c r="U469" s="4"/>
      <c r="V469" s="4"/>
      <c r="W469" s="6"/>
      <c r="X469" s="67"/>
      <c r="Y469" s="67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3"/>
      <c r="M470" s="4"/>
      <c r="N470" s="3"/>
      <c r="O470" s="3"/>
      <c r="P470" s="4"/>
      <c r="Q470" s="4"/>
      <c r="R470" s="3"/>
      <c r="S470" s="4"/>
      <c r="T470" s="5"/>
      <c r="U470" s="4"/>
      <c r="V470" s="4"/>
      <c r="W470" s="6"/>
      <c r="X470" s="67"/>
      <c r="Y470" s="67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3"/>
      <c r="M471" s="4"/>
      <c r="N471" s="3"/>
      <c r="O471" s="3"/>
      <c r="P471" s="4"/>
      <c r="Q471" s="4"/>
      <c r="R471" s="3"/>
      <c r="S471" s="4"/>
      <c r="T471" s="5"/>
      <c r="U471" s="4"/>
      <c r="V471" s="4"/>
      <c r="W471" s="6"/>
      <c r="X471" s="67"/>
      <c r="Y471" s="67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3"/>
      <c r="M472" s="4"/>
      <c r="N472" s="3"/>
      <c r="O472" s="3"/>
      <c r="P472" s="4"/>
      <c r="Q472" s="4"/>
      <c r="R472" s="3"/>
      <c r="S472" s="4"/>
      <c r="T472" s="5"/>
      <c r="U472" s="4"/>
      <c r="V472" s="4"/>
      <c r="W472" s="6"/>
      <c r="X472" s="67"/>
      <c r="Y472" s="67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3"/>
      <c r="M473" s="4"/>
      <c r="N473" s="3"/>
      <c r="O473" s="3"/>
      <c r="P473" s="4"/>
      <c r="Q473" s="4"/>
      <c r="R473" s="3"/>
      <c r="S473" s="4"/>
      <c r="T473" s="5"/>
      <c r="U473" s="4"/>
      <c r="V473" s="4"/>
      <c r="W473" s="6"/>
      <c r="X473" s="67"/>
      <c r="Y473" s="67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3"/>
      <c r="M474" s="4"/>
      <c r="N474" s="3"/>
      <c r="O474" s="3"/>
      <c r="P474" s="4"/>
      <c r="Q474" s="4"/>
      <c r="R474" s="3"/>
      <c r="S474" s="4"/>
      <c r="T474" s="5"/>
      <c r="U474" s="4"/>
      <c r="V474" s="4"/>
      <c r="W474" s="6"/>
      <c r="X474" s="67"/>
      <c r="Y474" s="67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3"/>
      <c r="M475" s="4"/>
      <c r="N475" s="3"/>
      <c r="O475" s="3"/>
      <c r="P475" s="4"/>
      <c r="Q475" s="4"/>
      <c r="R475" s="3"/>
      <c r="S475" s="4"/>
      <c r="T475" s="5"/>
      <c r="U475" s="4"/>
      <c r="V475" s="4"/>
      <c r="W475" s="6"/>
      <c r="X475" s="67"/>
      <c r="Y475" s="67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3"/>
      <c r="M476" s="4"/>
      <c r="N476" s="3"/>
      <c r="O476" s="3"/>
      <c r="P476" s="4"/>
      <c r="Q476" s="4"/>
      <c r="R476" s="3"/>
      <c r="S476" s="4"/>
      <c r="T476" s="5"/>
      <c r="U476" s="4"/>
      <c r="V476" s="4"/>
      <c r="W476" s="6"/>
      <c r="X476" s="67"/>
      <c r="Y476" s="67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3"/>
      <c r="M477" s="4"/>
      <c r="N477" s="3"/>
      <c r="O477" s="3"/>
      <c r="P477" s="4"/>
      <c r="Q477" s="4"/>
      <c r="R477" s="3"/>
      <c r="S477" s="4"/>
      <c r="T477" s="5"/>
      <c r="U477" s="4"/>
      <c r="V477" s="4"/>
      <c r="W477" s="6"/>
      <c r="X477" s="67"/>
      <c r="Y477" s="67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3"/>
      <c r="M478" s="4"/>
      <c r="N478" s="3"/>
      <c r="O478" s="3"/>
      <c r="P478" s="4"/>
      <c r="Q478" s="4"/>
      <c r="R478" s="3"/>
      <c r="S478" s="4"/>
      <c r="T478" s="5"/>
      <c r="U478" s="4"/>
      <c r="V478" s="4"/>
      <c r="W478" s="6"/>
      <c r="X478" s="67"/>
      <c r="Y478" s="67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/>
      <c r="M479" s="4"/>
      <c r="N479" s="3"/>
      <c r="O479" s="3"/>
      <c r="P479" s="4"/>
      <c r="Q479" s="4"/>
      <c r="R479" s="3"/>
      <c r="S479" s="4"/>
      <c r="T479" s="5"/>
      <c r="U479" s="4"/>
      <c r="V479" s="4"/>
      <c r="W479" s="6"/>
      <c r="X479" s="67"/>
      <c r="Y479" s="67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3"/>
      <c r="M480" s="4"/>
      <c r="N480" s="3"/>
      <c r="O480" s="3"/>
      <c r="P480" s="4"/>
      <c r="Q480" s="4"/>
      <c r="R480" s="3"/>
      <c r="S480" s="4"/>
      <c r="T480" s="5"/>
      <c r="U480" s="4"/>
      <c r="V480" s="4"/>
      <c r="W480" s="6"/>
      <c r="X480" s="67"/>
      <c r="Y480" s="67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3"/>
      <c r="M481" s="4"/>
      <c r="N481" s="3"/>
      <c r="O481" s="3"/>
      <c r="P481" s="4"/>
      <c r="Q481" s="4"/>
      <c r="R481" s="3"/>
      <c r="S481" s="4"/>
      <c r="T481" s="5"/>
      <c r="U481" s="4"/>
      <c r="V481" s="4"/>
      <c r="W481" s="6"/>
      <c r="X481" s="67"/>
      <c r="Y481" s="67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3"/>
      <c r="M482" s="4"/>
      <c r="N482" s="3"/>
      <c r="O482" s="3"/>
      <c r="P482" s="4"/>
      <c r="Q482" s="4"/>
      <c r="R482" s="3"/>
      <c r="S482" s="4"/>
      <c r="T482" s="5"/>
      <c r="U482" s="4"/>
      <c r="V482" s="4"/>
      <c r="W482" s="6"/>
      <c r="X482" s="67"/>
      <c r="Y482" s="67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3"/>
      <c r="M483" s="4"/>
      <c r="N483" s="3"/>
      <c r="O483" s="3"/>
      <c r="P483" s="4"/>
      <c r="Q483" s="4"/>
      <c r="R483" s="3"/>
      <c r="S483" s="4"/>
      <c r="T483" s="5"/>
      <c r="U483" s="4"/>
      <c r="V483" s="4"/>
      <c r="W483" s="6"/>
      <c r="X483" s="67"/>
      <c r="Y483" s="67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3"/>
      <c r="M484" s="4"/>
      <c r="N484" s="3"/>
      <c r="O484" s="3"/>
      <c r="P484" s="4"/>
      <c r="Q484" s="4"/>
      <c r="R484" s="3"/>
      <c r="S484" s="4"/>
      <c r="T484" s="5"/>
      <c r="U484" s="4"/>
      <c r="V484" s="4"/>
      <c r="W484" s="6"/>
      <c r="X484" s="67"/>
      <c r="Y484" s="67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3"/>
      <c r="M485" s="4"/>
      <c r="N485" s="3"/>
      <c r="O485" s="3"/>
      <c r="P485" s="4"/>
      <c r="Q485" s="4"/>
      <c r="R485" s="3"/>
      <c r="S485" s="4"/>
      <c r="T485" s="5"/>
      <c r="U485" s="4"/>
      <c r="V485" s="4"/>
      <c r="W485" s="6"/>
      <c r="X485" s="67"/>
      <c r="Y485" s="67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3"/>
      <c r="M486" s="4"/>
      <c r="N486" s="3"/>
      <c r="O486" s="3"/>
      <c r="P486" s="4"/>
      <c r="Q486" s="4"/>
      <c r="R486" s="3"/>
      <c r="S486" s="4"/>
      <c r="T486" s="5"/>
      <c r="U486" s="4"/>
      <c r="V486" s="4"/>
      <c r="W486" s="6"/>
      <c r="X486" s="67"/>
      <c r="Y486" s="67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3"/>
      <c r="M487" s="4"/>
      <c r="N487" s="3"/>
      <c r="O487" s="3"/>
      <c r="P487" s="4"/>
      <c r="Q487" s="4"/>
      <c r="R487" s="3"/>
      <c r="S487" s="4"/>
      <c r="T487" s="5"/>
      <c r="U487" s="4"/>
      <c r="V487" s="4"/>
      <c r="W487" s="6"/>
      <c r="X487" s="67"/>
      <c r="Y487" s="67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3"/>
      <c r="M488" s="4"/>
      <c r="N488" s="3"/>
      <c r="O488" s="3"/>
      <c r="P488" s="4"/>
      <c r="Q488" s="4"/>
      <c r="R488" s="3"/>
      <c r="S488" s="4"/>
      <c r="T488" s="5"/>
      <c r="U488" s="4"/>
      <c r="V488" s="4"/>
      <c r="W488" s="6"/>
      <c r="X488" s="67"/>
      <c r="Y488" s="67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/>
      <c r="M489" s="4"/>
      <c r="N489" s="3"/>
      <c r="O489" s="3"/>
      <c r="P489" s="4"/>
      <c r="Q489" s="4"/>
      <c r="R489" s="3"/>
      <c r="S489" s="4"/>
      <c r="T489" s="5"/>
      <c r="U489" s="4"/>
      <c r="V489" s="4"/>
      <c r="W489" s="6"/>
      <c r="X489" s="67"/>
      <c r="Y489" s="67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3"/>
      <c r="M490" s="4"/>
      <c r="N490" s="3"/>
      <c r="O490" s="3"/>
      <c r="P490" s="4"/>
      <c r="Q490" s="4"/>
      <c r="R490" s="3"/>
      <c r="S490" s="4"/>
      <c r="T490" s="5"/>
      <c r="U490" s="4"/>
      <c r="V490" s="4"/>
      <c r="W490" s="6"/>
      <c r="X490" s="67"/>
      <c r="Y490" s="67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3"/>
      <c r="M491" s="4"/>
      <c r="N491" s="3"/>
      <c r="O491" s="3"/>
      <c r="P491" s="4"/>
      <c r="Q491" s="4"/>
      <c r="R491" s="3"/>
      <c r="S491" s="4"/>
      <c r="T491" s="5"/>
      <c r="U491" s="4"/>
      <c r="V491" s="4"/>
      <c r="W491" s="6"/>
      <c r="X491" s="67"/>
      <c r="Y491" s="67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3"/>
      <c r="M492" s="4"/>
      <c r="N492" s="3"/>
      <c r="O492" s="3"/>
      <c r="P492" s="4"/>
      <c r="Q492" s="4"/>
      <c r="R492" s="3"/>
      <c r="S492" s="4"/>
      <c r="T492" s="5"/>
      <c r="U492" s="4"/>
      <c r="V492" s="4"/>
      <c r="W492" s="6"/>
      <c r="X492" s="67"/>
      <c r="Y492" s="67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3"/>
      <c r="M493" s="4"/>
      <c r="N493" s="3"/>
      <c r="O493" s="3"/>
      <c r="P493" s="4"/>
      <c r="Q493" s="4"/>
      <c r="R493" s="3"/>
      <c r="S493" s="4"/>
      <c r="T493" s="5"/>
      <c r="U493" s="4"/>
      <c r="V493" s="4"/>
      <c r="W493" s="6"/>
      <c r="X493" s="67"/>
      <c r="Y493" s="67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3"/>
      <c r="M494" s="4"/>
      <c r="N494" s="3"/>
      <c r="O494" s="3"/>
      <c r="P494" s="4"/>
      <c r="Q494" s="4"/>
      <c r="R494" s="3"/>
      <c r="S494" s="4"/>
      <c r="T494" s="5"/>
      <c r="U494" s="4"/>
      <c r="V494" s="4"/>
      <c r="W494" s="6"/>
      <c r="X494" s="67"/>
      <c r="Y494" s="67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3"/>
      <c r="M495" s="4"/>
      <c r="N495" s="3"/>
      <c r="O495" s="3"/>
      <c r="P495" s="4"/>
      <c r="Q495" s="4"/>
      <c r="R495" s="3"/>
      <c r="S495" s="4"/>
      <c r="T495" s="5"/>
      <c r="U495" s="4"/>
      <c r="V495" s="4"/>
      <c r="W495" s="6"/>
      <c r="X495" s="67"/>
      <c r="Y495" s="67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3"/>
      <c r="M496" s="4"/>
      <c r="N496" s="3"/>
      <c r="O496" s="3"/>
      <c r="P496" s="4"/>
      <c r="Q496" s="4"/>
      <c r="R496" s="3"/>
      <c r="S496" s="4"/>
      <c r="T496" s="5"/>
      <c r="U496" s="4"/>
      <c r="V496" s="4"/>
      <c r="W496" s="6"/>
      <c r="X496" s="67"/>
      <c r="Y496" s="67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3"/>
      <c r="M497" s="4"/>
      <c r="N497" s="3"/>
      <c r="O497" s="3"/>
      <c r="P497" s="4"/>
      <c r="Q497" s="4"/>
      <c r="R497" s="3"/>
      <c r="S497" s="4"/>
      <c r="T497" s="5"/>
      <c r="U497" s="4"/>
      <c r="V497" s="4"/>
      <c r="W497" s="6"/>
      <c r="X497" s="67"/>
      <c r="Y497" s="67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3"/>
      <c r="M498" s="4"/>
      <c r="N498" s="3"/>
      <c r="O498" s="3"/>
      <c r="P498" s="4"/>
      <c r="Q498" s="4"/>
      <c r="R498" s="3"/>
      <c r="S498" s="4"/>
      <c r="T498" s="5"/>
      <c r="U498" s="4"/>
      <c r="V498" s="4"/>
      <c r="W498" s="6"/>
      <c r="X498" s="67"/>
      <c r="Y498" s="67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3"/>
      <c r="M499" s="4"/>
      <c r="N499" s="3"/>
      <c r="O499" s="3"/>
      <c r="P499" s="4"/>
      <c r="Q499" s="4"/>
      <c r="R499" s="3"/>
      <c r="S499" s="4"/>
      <c r="T499" s="5"/>
      <c r="U499" s="4"/>
      <c r="V499" s="4"/>
      <c r="W499" s="6"/>
      <c r="X499" s="67"/>
      <c r="Y499" s="67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3"/>
      <c r="M500" s="4"/>
      <c r="N500" s="3"/>
      <c r="O500" s="3"/>
      <c r="P500" s="4"/>
      <c r="Q500" s="4"/>
      <c r="R500" s="3"/>
      <c r="S500" s="4"/>
      <c r="T500" s="5"/>
      <c r="U500" s="4"/>
      <c r="V500" s="4"/>
      <c r="W500" s="6"/>
      <c r="X500" s="67"/>
      <c r="Y500" s="67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3"/>
      <c r="M501" s="4"/>
      <c r="N501" s="3"/>
      <c r="O501" s="3"/>
      <c r="P501" s="4"/>
      <c r="Q501" s="4"/>
      <c r="R501" s="3"/>
      <c r="S501" s="4"/>
      <c r="T501" s="5"/>
      <c r="U501" s="4"/>
      <c r="V501" s="4"/>
      <c r="W501" s="6"/>
      <c r="X501" s="67"/>
      <c r="Y501" s="67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3"/>
      <c r="M502" s="4"/>
      <c r="N502" s="3"/>
      <c r="O502" s="3"/>
      <c r="P502" s="4"/>
      <c r="Q502" s="4"/>
      <c r="R502" s="3"/>
      <c r="S502" s="4"/>
      <c r="T502" s="5"/>
      <c r="U502" s="4"/>
      <c r="V502" s="4"/>
      <c r="W502" s="6"/>
      <c r="X502" s="67"/>
      <c r="Y502" s="67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3"/>
      <c r="M503" s="4"/>
      <c r="N503" s="3"/>
      <c r="O503" s="3"/>
      <c r="P503" s="4"/>
      <c r="Q503" s="4"/>
      <c r="R503" s="3"/>
      <c r="S503" s="4"/>
      <c r="T503" s="5"/>
      <c r="U503" s="4"/>
      <c r="V503" s="4"/>
      <c r="W503" s="6"/>
      <c r="X503" s="67"/>
      <c r="Y503" s="67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3"/>
      <c r="M504" s="4"/>
      <c r="N504" s="3"/>
      <c r="O504" s="3"/>
      <c r="P504" s="4"/>
      <c r="Q504" s="4"/>
      <c r="R504" s="3"/>
      <c r="S504" s="4"/>
      <c r="T504" s="5"/>
      <c r="U504" s="4"/>
      <c r="V504" s="4"/>
      <c r="W504" s="6"/>
      <c r="X504" s="67"/>
      <c r="Y504" s="67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3"/>
      <c r="M505" s="4"/>
      <c r="N505" s="3"/>
      <c r="O505" s="3"/>
      <c r="P505" s="4"/>
      <c r="Q505" s="4"/>
      <c r="R505" s="3"/>
      <c r="S505" s="4"/>
      <c r="T505" s="5"/>
      <c r="U505" s="4"/>
      <c r="V505" s="4"/>
      <c r="W505" s="6"/>
      <c r="X505" s="67"/>
      <c r="Y505" s="67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3"/>
      <c r="M506" s="4"/>
      <c r="N506" s="3"/>
      <c r="O506" s="3"/>
      <c r="P506" s="4"/>
      <c r="Q506" s="4"/>
      <c r="R506" s="3"/>
      <c r="S506" s="4"/>
      <c r="T506" s="5"/>
      <c r="U506" s="4"/>
      <c r="V506" s="4"/>
      <c r="W506" s="6"/>
      <c r="X506" s="67"/>
      <c r="Y506" s="67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3"/>
      <c r="M507" s="4"/>
      <c r="N507" s="3"/>
      <c r="O507" s="3"/>
      <c r="P507" s="4"/>
      <c r="Q507" s="4"/>
      <c r="R507" s="3"/>
      <c r="S507" s="4"/>
      <c r="T507" s="5"/>
      <c r="U507" s="4"/>
      <c r="V507" s="4"/>
      <c r="W507" s="6"/>
      <c r="X507" s="67"/>
      <c r="Y507" s="67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3"/>
      <c r="M508" s="4"/>
      <c r="N508" s="3"/>
      <c r="O508" s="3"/>
      <c r="P508" s="4"/>
      <c r="Q508" s="4"/>
      <c r="R508" s="3"/>
      <c r="S508" s="4"/>
      <c r="T508" s="5"/>
      <c r="U508" s="4"/>
      <c r="V508" s="4"/>
      <c r="W508" s="6"/>
      <c r="X508" s="67"/>
      <c r="Y508" s="67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3"/>
      <c r="M509" s="4"/>
      <c r="N509" s="3"/>
      <c r="O509" s="3"/>
      <c r="P509" s="4"/>
      <c r="Q509" s="4"/>
      <c r="R509" s="3"/>
      <c r="S509" s="4"/>
      <c r="T509" s="5"/>
      <c r="U509" s="4"/>
      <c r="V509" s="4"/>
      <c r="W509" s="6"/>
      <c r="X509" s="67"/>
      <c r="Y509" s="67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3"/>
      <c r="M510" s="4"/>
      <c r="N510" s="3"/>
      <c r="O510" s="3"/>
      <c r="P510" s="4"/>
      <c r="Q510" s="4"/>
      <c r="R510" s="3"/>
      <c r="S510" s="4"/>
      <c r="T510" s="5"/>
      <c r="U510" s="4"/>
      <c r="V510" s="4"/>
      <c r="W510" s="6"/>
      <c r="X510" s="67"/>
      <c r="Y510" s="67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3"/>
      <c r="M511" s="4"/>
      <c r="N511" s="3"/>
      <c r="O511" s="3"/>
      <c r="P511" s="4"/>
      <c r="Q511" s="4"/>
      <c r="R511" s="3"/>
      <c r="S511" s="4"/>
      <c r="T511" s="5"/>
      <c r="U511" s="4"/>
      <c r="V511" s="4"/>
      <c r="W511" s="6"/>
      <c r="X511" s="67"/>
      <c r="Y511" s="67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3"/>
      <c r="M512" s="4"/>
      <c r="N512" s="3"/>
      <c r="O512" s="3"/>
      <c r="P512" s="4"/>
      <c r="Q512" s="4"/>
      <c r="R512" s="3"/>
      <c r="S512" s="4"/>
      <c r="T512" s="5"/>
      <c r="U512" s="4"/>
      <c r="V512" s="4"/>
      <c r="W512" s="6"/>
      <c r="X512" s="67"/>
      <c r="Y512" s="67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3"/>
      <c r="M513" s="4"/>
      <c r="N513" s="3"/>
      <c r="O513" s="3"/>
      <c r="P513" s="4"/>
      <c r="Q513" s="4"/>
      <c r="R513" s="3"/>
      <c r="S513" s="4"/>
      <c r="T513" s="5"/>
      <c r="U513" s="4"/>
      <c r="V513" s="4"/>
      <c r="W513" s="6"/>
      <c r="X513" s="67"/>
      <c r="Y513" s="67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3"/>
      <c r="M514" s="4"/>
      <c r="N514" s="3"/>
      <c r="O514" s="3"/>
      <c r="P514" s="4"/>
      <c r="Q514" s="4"/>
      <c r="R514" s="3"/>
      <c r="S514" s="4"/>
      <c r="T514" s="5"/>
      <c r="U514" s="4"/>
      <c r="V514" s="4"/>
      <c r="W514" s="6"/>
      <c r="X514" s="67"/>
      <c r="Y514" s="67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3"/>
      <c r="M515" s="4"/>
      <c r="N515" s="3"/>
      <c r="O515" s="3"/>
      <c r="P515" s="4"/>
      <c r="Q515" s="4"/>
      <c r="R515" s="3"/>
      <c r="S515" s="4"/>
      <c r="T515" s="5"/>
      <c r="U515" s="4"/>
      <c r="V515" s="4"/>
      <c r="W515" s="6"/>
      <c r="X515" s="67"/>
      <c r="Y515" s="67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3"/>
      <c r="M516" s="4"/>
      <c r="N516" s="3"/>
      <c r="O516" s="3"/>
      <c r="P516" s="4"/>
      <c r="Q516" s="4"/>
      <c r="R516" s="3"/>
      <c r="S516" s="4"/>
      <c r="T516" s="5"/>
      <c r="U516" s="4"/>
      <c r="V516" s="4"/>
      <c r="W516" s="6"/>
      <c r="X516" s="67"/>
      <c r="Y516" s="67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3"/>
      <c r="M517" s="4"/>
      <c r="N517" s="3"/>
      <c r="O517" s="3"/>
      <c r="P517" s="4"/>
      <c r="Q517" s="4"/>
      <c r="R517" s="3"/>
      <c r="S517" s="4"/>
      <c r="T517" s="5"/>
      <c r="U517" s="4"/>
      <c r="V517" s="4"/>
      <c r="W517" s="6"/>
      <c r="X517" s="67"/>
      <c r="Y517" s="67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3"/>
      <c r="M518" s="4"/>
      <c r="N518" s="3"/>
      <c r="O518" s="3"/>
      <c r="P518" s="4"/>
      <c r="Q518" s="4"/>
      <c r="R518" s="3"/>
      <c r="S518" s="4"/>
      <c r="T518" s="5"/>
      <c r="U518" s="4"/>
      <c r="V518" s="4"/>
      <c r="W518" s="6"/>
      <c r="X518" s="67"/>
      <c r="Y518" s="67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3"/>
      <c r="M519" s="4"/>
      <c r="N519" s="3"/>
      <c r="O519" s="3"/>
      <c r="P519" s="4"/>
      <c r="Q519" s="4"/>
      <c r="R519" s="3"/>
      <c r="S519" s="4"/>
      <c r="T519" s="5"/>
      <c r="U519" s="4"/>
      <c r="V519" s="4"/>
      <c r="W519" s="6"/>
      <c r="X519" s="67"/>
      <c r="Y519" s="67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3"/>
      <c r="M520" s="4"/>
      <c r="N520" s="3"/>
      <c r="O520" s="3"/>
      <c r="P520" s="4"/>
      <c r="Q520" s="4"/>
      <c r="R520" s="3"/>
      <c r="S520" s="4"/>
      <c r="T520" s="5"/>
      <c r="U520" s="4"/>
      <c r="V520" s="4"/>
      <c r="W520" s="6"/>
      <c r="X520" s="67"/>
      <c r="Y520" s="67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3"/>
      <c r="M521" s="4"/>
      <c r="N521" s="3"/>
      <c r="O521" s="3"/>
      <c r="P521" s="4"/>
      <c r="Q521" s="4"/>
      <c r="R521" s="3"/>
      <c r="S521" s="4"/>
      <c r="T521" s="5"/>
      <c r="U521" s="4"/>
      <c r="V521" s="4"/>
      <c r="W521" s="6"/>
      <c r="X521" s="67"/>
      <c r="Y521" s="67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3"/>
      <c r="M522" s="4"/>
      <c r="N522" s="3"/>
      <c r="O522" s="3"/>
      <c r="P522" s="4"/>
      <c r="Q522" s="4"/>
      <c r="R522" s="3"/>
      <c r="S522" s="4"/>
      <c r="T522" s="5"/>
      <c r="U522" s="4"/>
      <c r="V522" s="4"/>
      <c r="W522" s="6"/>
      <c r="X522" s="67"/>
      <c r="Y522" s="67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3"/>
      <c r="M523" s="4"/>
      <c r="N523" s="3"/>
      <c r="O523" s="3"/>
      <c r="P523" s="4"/>
      <c r="Q523" s="4"/>
      <c r="R523" s="3"/>
      <c r="S523" s="4"/>
      <c r="T523" s="5"/>
      <c r="U523" s="4"/>
      <c r="V523" s="4"/>
      <c r="W523" s="6"/>
      <c r="X523" s="67"/>
      <c r="Y523" s="67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3"/>
      <c r="M524" s="4"/>
      <c r="N524" s="3"/>
      <c r="O524" s="3"/>
      <c r="P524" s="4"/>
      <c r="Q524" s="4"/>
      <c r="R524" s="3"/>
      <c r="S524" s="4"/>
      <c r="T524" s="5"/>
      <c r="U524" s="4"/>
      <c r="V524" s="4"/>
      <c r="W524" s="6"/>
      <c r="X524" s="67"/>
      <c r="Y524" s="67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3"/>
      <c r="M525" s="4"/>
      <c r="N525" s="3"/>
      <c r="O525" s="3"/>
      <c r="P525" s="4"/>
      <c r="Q525" s="4"/>
      <c r="R525" s="3"/>
      <c r="S525" s="4"/>
      <c r="T525" s="5"/>
      <c r="U525" s="4"/>
      <c r="V525" s="4"/>
      <c r="W525" s="6"/>
      <c r="X525" s="67"/>
      <c r="Y525" s="67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3"/>
      <c r="M526" s="4"/>
      <c r="N526" s="3"/>
      <c r="O526" s="3"/>
      <c r="P526" s="4"/>
      <c r="Q526" s="4"/>
      <c r="R526" s="3"/>
      <c r="S526" s="4"/>
      <c r="T526" s="5"/>
      <c r="U526" s="4"/>
      <c r="V526" s="4"/>
      <c r="W526" s="6"/>
      <c r="X526" s="67"/>
      <c r="Y526" s="67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3"/>
      <c r="M527" s="4"/>
      <c r="N527" s="3"/>
      <c r="O527" s="3"/>
      <c r="P527" s="4"/>
      <c r="Q527" s="4"/>
      <c r="R527" s="3"/>
      <c r="S527" s="4"/>
      <c r="T527" s="5"/>
      <c r="U527" s="4"/>
      <c r="V527" s="4"/>
      <c r="W527" s="6"/>
      <c r="X527" s="67"/>
      <c r="Y527" s="67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3"/>
      <c r="M528" s="4"/>
      <c r="N528" s="3"/>
      <c r="O528" s="3"/>
      <c r="P528" s="4"/>
      <c r="Q528" s="4"/>
      <c r="R528" s="3"/>
      <c r="S528" s="4"/>
      <c r="T528" s="5"/>
      <c r="U528" s="4"/>
      <c r="V528" s="4"/>
      <c r="W528" s="6"/>
      <c r="X528" s="67"/>
      <c r="Y528" s="67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3"/>
      <c r="M529" s="4"/>
      <c r="N529" s="3"/>
      <c r="O529" s="3"/>
      <c r="P529" s="4"/>
      <c r="Q529" s="4"/>
      <c r="R529" s="3"/>
      <c r="S529" s="4"/>
      <c r="T529" s="5"/>
      <c r="U529" s="4"/>
      <c r="V529" s="4"/>
      <c r="W529" s="6"/>
      <c r="X529" s="67"/>
      <c r="Y529" s="67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3"/>
      <c r="M530" s="4"/>
      <c r="N530" s="3"/>
      <c r="O530" s="3"/>
      <c r="P530" s="4"/>
      <c r="Q530" s="4"/>
      <c r="R530" s="3"/>
      <c r="S530" s="4"/>
      <c r="T530" s="5"/>
      <c r="U530" s="4"/>
      <c r="V530" s="4"/>
      <c r="W530" s="6"/>
      <c r="X530" s="67"/>
      <c r="Y530" s="67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3"/>
      <c r="M531" s="4"/>
      <c r="N531" s="3"/>
      <c r="O531" s="3"/>
      <c r="P531" s="4"/>
      <c r="Q531" s="4"/>
      <c r="R531" s="3"/>
      <c r="S531" s="4"/>
      <c r="T531" s="5"/>
      <c r="U531" s="4"/>
      <c r="V531" s="4"/>
      <c r="W531" s="6"/>
      <c r="X531" s="67"/>
      <c r="Y531" s="67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3"/>
      <c r="M532" s="4"/>
      <c r="N532" s="3"/>
      <c r="O532" s="3"/>
      <c r="P532" s="4"/>
      <c r="Q532" s="4"/>
      <c r="R532" s="3"/>
      <c r="S532" s="4"/>
      <c r="T532" s="5"/>
      <c r="U532" s="4"/>
      <c r="V532" s="4"/>
      <c r="W532" s="6"/>
      <c r="X532" s="67"/>
      <c r="Y532" s="67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3"/>
      <c r="M533" s="4"/>
      <c r="N533" s="3"/>
      <c r="O533" s="3"/>
      <c r="P533" s="4"/>
      <c r="Q533" s="4"/>
      <c r="R533" s="3"/>
      <c r="S533" s="4"/>
      <c r="T533" s="5"/>
      <c r="U533" s="4"/>
      <c r="V533" s="4"/>
      <c r="W533" s="6"/>
      <c r="X533" s="67"/>
      <c r="Y533" s="67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3"/>
      <c r="M534" s="4"/>
      <c r="N534" s="3"/>
      <c r="O534" s="3"/>
      <c r="P534" s="4"/>
      <c r="Q534" s="4"/>
      <c r="R534" s="3"/>
      <c r="S534" s="4"/>
      <c r="T534" s="5"/>
      <c r="U534" s="4"/>
      <c r="V534" s="4"/>
      <c r="W534" s="6"/>
      <c r="X534" s="67"/>
      <c r="Y534" s="67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3"/>
      <c r="M535" s="4"/>
      <c r="N535" s="3"/>
      <c r="O535" s="3"/>
      <c r="P535" s="4"/>
      <c r="Q535" s="4"/>
      <c r="R535" s="3"/>
      <c r="S535" s="4"/>
      <c r="T535" s="5"/>
      <c r="U535" s="4"/>
      <c r="V535" s="4"/>
      <c r="W535" s="6"/>
      <c r="X535" s="67"/>
      <c r="Y535" s="67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3"/>
      <c r="M536" s="4"/>
      <c r="N536" s="3"/>
      <c r="O536" s="3"/>
      <c r="P536" s="4"/>
      <c r="Q536" s="4"/>
      <c r="R536" s="3"/>
      <c r="S536" s="4"/>
      <c r="T536" s="5"/>
      <c r="U536" s="4"/>
      <c r="V536" s="4"/>
      <c r="W536" s="6"/>
      <c r="X536" s="67"/>
      <c r="Y536" s="67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3"/>
      <c r="M537" s="4"/>
      <c r="N537" s="3"/>
      <c r="O537" s="3"/>
      <c r="P537" s="4"/>
      <c r="Q537" s="4"/>
      <c r="R537" s="3"/>
      <c r="S537" s="4"/>
      <c r="T537" s="5"/>
      <c r="U537" s="4"/>
      <c r="V537" s="4"/>
      <c r="W537" s="6"/>
      <c r="X537" s="67"/>
      <c r="Y537" s="67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3"/>
      <c r="M538" s="4"/>
      <c r="N538" s="3"/>
      <c r="O538" s="3"/>
      <c r="P538" s="4"/>
      <c r="Q538" s="4"/>
      <c r="R538" s="3"/>
      <c r="S538" s="4"/>
      <c r="T538" s="5"/>
      <c r="U538" s="4"/>
      <c r="V538" s="4"/>
      <c r="W538" s="6"/>
      <c r="X538" s="67"/>
      <c r="Y538" s="67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3"/>
      <c r="M539" s="4"/>
      <c r="N539" s="3"/>
      <c r="O539" s="3"/>
      <c r="P539" s="4"/>
      <c r="Q539" s="4"/>
      <c r="R539" s="3"/>
      <c r="S539" s="4"/>
      <c r="T539" s="5"/>
      <c r="U539" s="4"/>
      <c r="V539" s="4"/>
      <c r="W539" s="6"/>
      <c r="X539" s="67"/>
      <c r="Y539" s="67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3"/>
      <c r="M540" s="4"/>
      <c r="N540" s="3"/>
      <c r="O540" s="3"/>
      <c r="P540" s="4"/>
      <c r="Q540" s="4"/>
      <c r="R540" s="3"/>
      <c r="S540" s="4"/>
      <c r="T540" s="5"/>
      <c r="U540" s="4"/>
      <c r="V540" s="4"/>
      <c r="W540" s="6"/>
      <c r="X540" s="67"/>
      <c r="Y540" s="67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3"/>
      <c r="M541" s="4"/>
      <c r="N541" s="3"/>
      <c r="O541" s="3"/>
      <c r="P541" s="4"/>
      <c r="Q541" s="4"/>
      <c r="R541" s="3"/>
      <c r="S541" s="4"/>
      <c r="T541" s="5"/>
      <c r="U541" s="4"/>
      <c r="V541" s="4"/>
      <c r="W541" s="6"/>
      <c r="X541" s="67"/>
      <c r="Y541" s="67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3"/>
      <c r="M542" s="4"/>
      <c r="N542" s="3"/>
      <c r="O542" s="3"/>
      <c r="P542" s="4"/>
      <c r="Q542" s="4"/>
      <c r="R542" s="3"/>
      <c r="S542" s="4"/>
      <c r="T542" s="5"/>
      <c r="U542" s="4"/>
      <c r="V542" s="4"/>
      <c r="W542" s="6"/>
      <c r="X542" s="67"/>
      <c r="Y542" s="67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/>
      <c r="M543" s="4"/>
      <c r="N543" s="3"/>
      <c r="O543" s="3"/>
      <c r="P543" s="4"/>
      <c r="Q543" s="4"/>
      <c r="R543" s="3"/>
      <c r="S543" s="4"/>
      <c r="T543" s="5"/>
      <c r="U543" s="4"/>
      <c r="V543" s="4"/>
      <c r="W543" s="6"/>
      <c r="X543" s="67"/>
      <c r="Y543" s="67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/>
      <c r="M544" s="4"/>
      <c r="N544" s="3"/>
      <c r="O544" s="3"/>
      <c r="P544" s="4"/>
      <c r="Q544" s="4"/>
      <c r="R544" s="3"/>
      <c r="S544" s="4"/>
      <c r="T544" s="5"/>
      <c r="U544" s="4"/>
      <c r="V544" s="4"/>
      <c r="W544" s="6"/>
      <c r="X544" s="67"/>
      <c r="Y544" s="67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3"/>
      <c r="M545" s="4"/>
      <c r="N545" s="3"/>
      <c r="O545" s="3"/>
      <c r="P545" s="4"/>
      <c r="Q545" s="4"/>
      <c r="R545" s="3"/>
      <c r="S545" s="4"/>
      <c r="T545" s="5"/>
      <c r="U545" s="4"/>
      <c r="V545" s="4"/>
      <c r="W545" s="6"/>
      <c r="X545" s="67"/>
      <c r="Y545" s="67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3"/>
      <c r="M546" s="4"/>
      <c r="N546" s="3"/>
      <c r="O546" s="3"/>
      <c r="P546" s="4"/>
      <c r="Q546" s="4"/>
      <c r="R546" s="3"/>
      <c r="S546" s="4"/>
      <c r="T546" s="5"/>
      <c r="U546" s="4"/>
      <c r="V546" s="4"/>
      <c r="W546" s="6"/>
      <c r="X546" s="67"/>
      <c r="Y546" s="67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3"/>
      <c r="M547" s="4"/>
      <c r="N547" s="3"/>
      <c r="O547" s="3"/>
      <c r="P547" s="4"/>
      <c r="Q547" s="4"/>
      <c r="R547" s="3"/>
      <c r="S547" s="4"/>
      <c r="T547" s="5"/>
      <c r="U547" s="4"/>
      <c r="V547" s="4"/>
      <c r="W547" s="6"/>
      <c r="X547" s="67"/>
      <c r="Y547" s="67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3"/>
      <c r="M548" s="4"/>
      <c r="N548" s="3"/>
      <c r="O548" s="3"/>
      <c r="P548" s="4"/>
      <c r="Q548" s="4"/>
      <c r="R548" s="3"/>
      <c r="S548" s="4"/>
      <c r="T548" s="5"/>
      <c r="U548" s="4"/>
      <c r="V548" s="4"/>
      <c r="W548" s="6"/>
      <c r="X548" s="67"/>
      <c r="Y548" s="67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3"/>
      <c r="M549" s="4"/>
      <c r="N549" s="3"/>
      <c r="O549" s="3"/>
      <c r="P549" s="4"/>
      <c r="Q549" s="4"/>
      <c r="R549" s="3"/>
      <c r="S549" s="4"/>
      <c r="T549" s="5"/>
      <c r="U549" s="4"/>
      <c r="V549" s="4"/>
      <c r="W549" s="6"/>
      <c r="X549" s="67"/>
      <c r="Y549" s="67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/>
      <c r="M550" s="4"/>
      <c r="N550" s="3"/>
      <c r="O550" s="3"/>
      <c r="P550" s="4"/>
      <c r="Q550" s="4"/>
      <c r="R550" s="3"/>
      <c r="S550" s="4"/>
      <c r="T550" s="5"/>
      <c r="U550" s="4"/>
      <c r="V550" s="4"/>
      <c r="W550" s="6"/>
      <c r="X550" s="67"/>
      <c r="Y550" s="67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3"/>
      <c r="M551" s="4"/>
      <c r="N551" s="3"/>
      <c r="O551" s="3"/>
      <c r="P551" s="4"/>
      <c r="Q551" s="4"/>
      <c r="R551" s="3"/>
      <c r="S551" s="4"/>
      <c r="T551" s="5"/>
      <c r="U551" s="4"/>
      <c r="V551" s="4"/>
      <c r="W551" s="6"/>
      <c r="X551" s="67"/>
      <c r="Y551" s="67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/>
      <c r="M552" s="4"/>
      <c r="N552" s="3"/>
      <c r="O552" s="3"/>
      <c r="P552" s="4"/>
      <c r="Q552" s="4"/>
      <c r="R552" s="3"/>
      <c r="S552" s="4"/>
      <c r="T552" s="5"/>
      <c r="U552" s="4"/>
      <c r="V552" s="4"/>
      <c r="W552" s="6"/>
      <c r="X552" s="67"/>
      <c r="Y552" s="67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3"/>
      <c r="M553" s="4"/>
      <c r="N553" s="3"/>
      <c r="O553" s="3"/>
      <c r="P553" s="4"/>
      <c r="Q553" s="4"/>
      <c r="R553" s="3"/>
      <c r="S553" s="4"/>
      <c r="T553" s="5"/>
      <c r="U553" s="4"/>
      <c r="V553" s="4"/>
      <c r="W553" s="6"/>
      <c r="X553" s="67"/>
      <c r="Y553" s="67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/>
      <c r="M554" s="4"/>
      <c r="N554" s="3"/>
      <c r="O554" s="3"/>
      <c r="P554" s="4"/>
      <c r="Q554" s="4"/>
      <c r="R554" s="3"/>
      <c r="S554" s="4"/>
      <c r="T554" s="5"/>
      <c r="U554" s="4"/>
      <c r="V554" s="4"/>
      <c r="W554" s="6"/>
      <c r="X554" s="67"/>
      <c r="Y554" s="67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/>
      <c r="M555" s="4"/>
      <c r="N555" s="3"/>
      <c r="O555" s="3"/>
      <c r="P555" s="4"/>
      <c r="Q555" s="4"/>
      <c r="R555" s="3"/>
      <c r="S555" s="4"/>
      <c r="T555" s="5"/>
      <c r="U555" s="4"/>
      <c r="V555" s="4"/>
      <c r="W555" s="6"/>
      <c r="X555" s="67"/>
      <c r="Y555" s="67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/>
      <c r="M556" s="4"/>
      <c r="N556" s="3"/>
      <c r="O556" s="3"/>
      <c r="P556" s="4"/>
      <c r="Q556" s="4"/>
      <c r="R556" s="3"/>
      <c r="S556" s="4"/>
      <c r="T556" s="5"/>
      <c r="U556" s="4"/>
      <c r="V556" s="4"/>
      <c r="W556" s="6"/>
      <c r="X556" s="67"/>
      <c r="Y556" s="67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3"/>
      <c r="M557" s="4"/>
      <c r="N557" s="3"/>
      <c r="O557" s="3"/>
      <c r="P557" s="4"/>
      <c r="Q557" s="4"/>
      <c r="R557" s="3"/>
      <c r="S557" s="4"/>
      <c r="T557" s="5"/>
      <c r="U557" s="4"/>
      <c r="V557" s="4"/>
      <c r="W557" s="6"/>
      <c r="X557" s="67"/>
      <c r="Y557" s="67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/>
      <c r="M558" s="4"/>
      <c r="N558" s="3"/>
      <c r="O558" s="3"/>
      <c r="P558" s="4"/>
      <c r="Q558" s="4"/>
      <c r="R558" s="3"/>
      <c r="S558" s="4"/>
      <c r="T558" s="5"/>
      <c r="U558" s="4"/>
      <c r="V558" s="4"/>
      <c r="W558" s="6"/>
      <c r="X558" s="67"/>
      <c r="Y558" s="67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3"/>
      <c r="M559" s="4"/>
      <c r="N559" s="3"/>
      <c r="O559" s="3"/>
      <c r="P559" s="4"/>
      <c r="Q559" s="4"/>
      <c r="R559" s="3"/>
      <c r="S559" s="4"/>
      <c r="T559" s="5"/>
      <c r="U559" s="4"/>
      <c r="V559" s="4"/>
      <c r="W559" s="6"/>
      <c r="X559" s="67"/>
      <c r="Y559" s="67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3"/>
      <c r="M560" s="4"/>
      <c r="N560" s="3"/>
      <c r="O560" s="3"/>
      <c r="P560" s="4"/>
      <c r="Q560" s="4"/>
      <c r="R560" s="3"/>
      <c r="S560" s="4"/>
      <c r="T560" s="5"/>
      <c r="U560" s="4"/>
      <c r="V560" s="4"/>
      <c r="W560" s="6"/>
      <c r="X560" s="67"/>
      <c r="Y560" s="67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3"/>
      <c r="M561" s="4"/>
      <c r="N561" s="3"/>
      <c r="O561" s="3"/>
      <c r="P561" s="4"/>
      <c r="Q561" s="4"/>
      <c r="R561" s="3"/>
      <c r="S561" s="4"/>
      <c r="T561" s="5"/>
      <c r="U561" s="4"/>
      <c r="V561" s="4"/>
      <c r="W561" s="6"/>
      <c r="X561" s="67"/>
      <c r="Y561" s="67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3"/>
      <c r="M562" s="4"/>
      <c r="N562" s="3"/>
      <c r="O562" s="3"/>
      <c r="P562" s="4"/>
      <c r="Q562" s="4"/>
      <c r="R562" s="3"/>
      <c r="S562" s="4"/>
      <c r="T562" s="5"/>
      <c r="U562" s="4"/>
      <c r="V562" s="4"/>
      <c r="W562" s="6"/>
      <c r="X562" s="67"/>
      <c r="Y562" s="67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/>
      <c r="M563" s="4"/>
      <c r="N563" s="3"/>
      <c r="O563" s="3"/>
      <c r="P563" s="4"/>
      <c r="Q563" s="4"/>
      <c r="R563" s="3"/>
      <c r="S563" s="4"/>
      <c r="T563" s="5"/>
      <c r="U563" s="4"/>
      <c r="V563" s="4"/>
      <c r="W563" s="6"/>
      <c r="X563" s="67"/>
      <c r="Y563" s="67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3"/>
      <c r="M564" s="4"/>
      <c r="N564" s="3"/>
      <c r="O564" s="3"/>
      <c r="P564" s="4"/>
      <c r="Q564" s="4"/>
      <c r="R564" s="3"/>
      <c r="S564" s="4"/>
      <c r="T564" s="5"/>
      <c r="U564" s="4"/>
      <c r="V564" s="4"/>
      <c r="W564" s="6"/>
      <c r="X564" s="67"/>
      <c r="Y564" s="67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/>
      <c r="M565" s="4"/>
      <c r="N565" s="3"/>
      <c r="O565" s="3"/>
      <c r="P565" s="4"/>
      <c r="Q565" s="4"/>
      <c r="R565" s="3"/>
      <c r="S565" s="4"/>
      <c r="T565" s="5"/>
      <c r="U565" s="4"/>
      <c r="V565" s="4"/>
      <c r="W565" s="6"/>
      <c r="X565" s="67"/>
      <c r="Y565" s="67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3"/>
      <c r="M566" s="4"/>
      <c r="N566" s="3"/>
      <c r="O566" s="3"/>
      <c r="P566" s="4"/>
      <c r="Q566" s="4"/>
      <c r="R566" s="3"/>
      <c r="S566" s="4"/>
      <c r="T566" s="5"/>
      <c r="U566" s="4"/>
      <c r="V566" s="4"/>
      <c r="W566" s="6"/>
      <c r="X566" s="67"/>
      <c r="Y566" s="67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3"/>
      <c r="M567" s="4"/>
      <c r="N567" s="3"/>
      <c r="O567" s="3"/>
      <c r="P567" s="4"/>
      <c r="Q567" s="4"/>
      <c r="R567" s="3"/>
      <c r="S567" s="4"/>
      <c r="T567" s="5"/>
      <c r="U567" s="4"/>
      <c r="V567" s="4"/>
      <c r="W567" s="6"/>
      <c r="X567" s="67"/>
      <c r="Y567" s="67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3"/>
      <c r="M568" s="4"/>
      <c r="N568" s="3"/>
      <c r="O568" s="3"/>
      <c r="P568" s="4"/>
      <c r="Q568" s="4"/>
      <c r="R568" s="3"/>
      <c r="S568" s="4"/>
      <c r="T568" s="5"/>
      <c r="U568" s="4"/>
      <c r="V568" s="4"/>
      <c r="W568" s="6"/>
      <c r="X568" s="67"/>
      <c r="Y568" s="67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3"/>
      <c r="M569" s="4"/>
      <c r="N569" s="3"/>
      <c r="O569" s="3"/>
      <c r="P569" s="4"/>
      <c r="Q569" s="4"/>
      <c r="R569" s="3"/>
      <c r="S569" s="4"/>
      <c r="T569" s="5"/>
      <c r="U569" s="4"/>
      <c r="V569" s="4"/>
      <c r="W569" s="6"/>
      <c r="X569" s="67"/>
      <c r="Y569" s="67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3"/>
      <c r="M570" s="4"/>
      <c r="N570" s="3"/>
      <c r="O570" s="3"/>
      <c r="P570" s="4"/>
      <c r="Q570" s="4"/>
      <c r="R570" s="3"/>
      <c r="S570" s="4"/>
      <c r="T570" s="5"/>
      <c r="U570" s="4"/>
      <c r="V570" s="4"/>
      <c r="W570" s="6"/>
      <c r="X570" s="67"/>
      <c r="Y570" s="67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3"/>
      <c r="M571" s="4"/>
      <c r="N571" s="3"/>
      <c r="O571" s="3"/>
      <c r="P571" s="4"/>
      <c r="Q571" s="4"/>
      <c r="R571" s="3"/>
      <c r="S571" s="4"/>
      <c r="T571" s="5"/>
      <c r="U571" s="4"/>
      <c r="V571" s="4"/>
      <c r="W571" s="6"/>
      <c r="X571" s="67"/>
      <c r="Y571" s="67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3"/>
      <c r="M572" s="4"/>
      <c r="N572" s="3"/>
      <c r="O572" s="3"/>
      <c r="P572" s="4"/>
      <c r="Q572" s="4"/>
      <c r="R572" s="3"/>
      <c r="S572" s="4"/>
      <c r="T572" s="5"/>
      <c r="U572" s="4"/>
      <c r="V572" s="4"/>
      <c r="W572" s="6"/>
      <c r="X572" s="67"/>
      <c r="Y572" s="67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3"/>
      <c r="M573" s="4"/>
      <c r="N573" s="3"/>
      <c r="O573" s="3"/>
      <c r="P573" s="4"/>
      <c r="Q573" s="4"/>
      <c r="R573" s="3"/>
      <c r="S573" s="4"/>
      <c r="T573" s="5"/>
      <c r="U573" s="4"/>
      <c r="V573" s="4"/>
      <c r="W573" s="6"/>
      <c r="X573" s="67"/>
      <c r="Y573" s="67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3"/>
      <c r="M574" s="4"/>
      <c r="N574" s="3"/>
      <c r="O574" s="3"/>
      <c r="P574" s="4"/>
      <c r="Q574" s="4"/>
      <c r="R574" s="3"/>
      <c r="S574" s="4"/>
      <c r="T574" s="5"/>
      <c r="U574" s="4"/>
      <c r="V574" s="4"/>
      <c r="W574" s="6"/>
      <c r="X574" s="67"/>
      <c r="Y574" s="67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3"/>
      <c r="M575" s="4"/>
      <c r="N575" s="3"/>
      <c r="O575" s="3"/>
      <c r="P575" s="4"/>
      <c r="Q575" s="4"/>
      <c r="R575" s="3"/>
      <c r="S575" s="4"/>
      <c r="T575" s="5"/>
      <c r="U575" s="4"/>
      <c r="V575" s="4"/>
      <c r="W575" s="6"/>
      <c r="X575" s="67"/>
      <c r="Y575" s="67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3"/>
      <c r="M576" s="4"/>
      <c r="N576" s="3"/>
      <c r="O576" s="3"/>
      <c r="P576" s="4"/>
      <c r="Q576" s="4"/>
      <c r="R576" s="3"/>
      <c r="S576" s="4"/>
      <c r="T576" s="5"/>
      <c r="U576" s="4"/>
      <c r="V576" s="4"/>
      <c r="W576" s="6"/>
      <c r="X576" s="67"/>
      <c r="Y576" s="67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3"/>
      <c r="M577" s="4"/>
      <c r="N577" s="3"/>
      <c r="O577" s="3"/>
      <c r="P577" s="4"/>
      <c r="Q577" s="4"/>
      <c r="R577" s="3"/>
      <c r="S577" s="4"/>
      <c r="T577" s="5"/>
      <c r="U577" s="4"/>
      <c r="V577" s="4"/>
      <c r="W577" s="6"/>
      <c r="X577" s="67"/>
      <c r="Y577" s="67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3"/>
      <c r="M578" s="4"/>
      <c r="N578" s="3"/>
      <c r="O578" s="3"/>
      <c r="P578" s="4"/>
      <c r="Q578" s="4"/>
      <c r="R578" s="3"/>
      <c r="S578" s="4"/>
      <c r="T578" s="5"/>
      <c r="U578" s="4"/>
      <c r="V578" s="4"/>
      <c r="W578" s="6"/>
      <c r="X578" s="67"/>
      <c r="Y578" s="67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3"/>
      <c r="M579" s="4"/>
      <c r="N579" s="3"/>
      <c r="O579" s="3"/>
      <c r="P579" s="4"/>
      <c r="Q579" s="4"/>
      <c r="R579" s="3"/>
      <c r="S579" s="4"/>
      <c r="T579" s="5"/>
      <c r="U579" s="4"/>
      <c r="V579" s="4"/>
      <c r="W579" s="6"/>
      <c r="X579" s="67"/>
      <c r="Y579" s="67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3"/>
      <c r="M580" s="4"/>
      <c r="N580" s="3"/>
      <c r="O580" s="3"/>
      <c r="P580" s="4"/>
      <c r="Q580" s="4"/>
      <c r="R580" s="3"/>
      <c r="S580" s="4"/>
      <c r="T580" s="5"/>
      <c r="U580" s="4"/>
      <c r="V580" s="4"/>
      <c r="W580" s="6"/>
      <c r="X580" s="67"/>
      <c r="Y580" s="67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3"/>
      <c r="M581" s="4"/>
      <c r="N581" s="3"/>
      <c r="O581" s="3"/>
      <c r="P581" s="4"/>
      <c r="Q581" s="4"/>
      <c r="R581" s="3"/>
      <c r="S581" s="4"/>
      <c r="T581" s="5"/>
      <c r="U581" s="4"/>
      <c r="V581" s="4"/>
      <c r="W581" s="6"/>
      <c r="X581" s="67"/>
      <c r="Y581" s="67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3"/>
      <c r="M582" s="4"/>
      <c r="N582" s="3"/>
      <c r="O582" s="3"/>
      <c r="P582" s="4"/>
      <c r="Q582" s="4"/>
      <c r="R582" s="3"/>
      <c r="S582" s="4"/>
      <c r="T582" s="5"/>
      <c r="U582" s="4"/>
      <c r="V582" s="4"/>
      <c r="W582" s="6"/>
      <c r="X582" s="67"/>
      <c r="Y582" s="67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3"/>
      <c r="M583" s="4"/>
      <c r="N583" s="3"/>
      <c r="O583" s="3"/>
      <c r="P583" s="4"/>
      <c r="Q583" s="4"/>
      <c r="R583" s="3"/>
      <c r="S583" s="4"/>
      <c r="T583" s="5"/>
      <c r="U583" s="4"/>
      <c r="V583" s="4"/>
      <c r="W583" s="6"/>
      <c r="X583" s="67"/>
      <c r="Y583" s="67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3"/>
      <c r="M584" s="4"/>
      <c r="N584" s="3"/>
      <c r="O584" s="3"/>
      <c r="P584" s="4"/>
      <c r="Q584" s="4"/>
      <c r="R584" s="3"/>
      <c r="S584" s="4"/>
      <c r="T584" s="5"/>
      <c r="U584" s="4"/>
      <c r="V584" s="4"/>
      <c r="W584" s="6"/>
      <c r="X584" s="67"/>
      <c r="Y584" s="67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3"/>
      <c r="M585" s="4"/>
      <c r="N585" s="3"/>
      <c r="O585" s="3"/>
      <c r="P585" s="4"/>
      <c r="Q585" s="4"/>
      <c r="R585" s="3"/>
      <c r="S585" s="4"/>
      <c r="T585" s="5"/>
      <c r="U585" s="4"/>
      <c r="V585" s="4"/>
      <c r="W585" s="6"/>
      <c r="X585" s="67"/>
      <c r="Y585" s="67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3"/>
      <c r="M586" s="4"/>
      <c r="N586" s="3"/>
      <c r="O586" s="3"/>
      <c r="P586" s="4"/>
      <c r="Q586" s="4"/>
      <c r="R586" s="3"/>
      <c r="S586" s="4"/>
      <c r="T586" s="5"/>
      <c r="U586" s="4"/>
      <c r="V586" s="4"/>
      <c r="W586" s="6"/>
      <c r="X586" s="67"/>
      <c r="Y586" s="67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3"/>
      <c r="M587" s="4"/>
      <c r="N587" s="3"/>
      <c r="O587" s="3"/>
      <c r="P587" s="4"/>
      <c r="Q587" s="4"/>
      <c r="R587" s="3"/>
      <c r="S587" s="4"/>
      <c r="T587" s="5"/>
      <c r="U587" s="4"/>
      <c r="V587" s="4"/>
      <c r="W587" s="6"/>
      <c r="X587" s="67"/>
      <c r="Y587" s="67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3"/>
      <c r="M588" s="4"/>
      <c r="N588" s="3"/>
      <c r="O588" s="3"/>
      <c r="P588" s="4"/>
      <c r="Q588" s="4"/>
      <c r="R588" s="3"/>
      <c r="S588" s="4"/>
      <c r="T588" s="5"/>
      <c r="U588" s="4"/>
      <c r="V588" s="4"/>
      <c r="W588" s="6"/>
      <c r="X588" s="67"/>
      <c r="Y588" s="67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3"/>
      <c r="M589" s="4"/>
      <c r="N589" s="3"/>
      <c r="O589" s="3"/>
      <c r="P589" s="4"/>
      <c r="Q589" s="4"/>
      <c r="R589" s="3"/>
      <c r="S589" s="4"/>
      <c r="T589" s="5"/>
      <c r="U589" s="4"/>
      <c r="V589" s="4"/>
      <c r="W589" s="6"/>
      <c r="X589" s="67"/>
      <c r="Y589" s="67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3"/>
      <c r="M590" s="4"/>
      <c r="N590" s="3"/>
      <c r="O590" s="3"/>
      <c r="P590" s="4"/>
      <c r="Q590" s="4"/>
      <c r="R590" s="3"/>
      <c r="S590" s="4"/>
      <c r="T590" s="5"/>
      <c r="U590" s="4"/>
      <c r="V590" s="4"/>
      <c r="W590" s="6"/>
      <c r="X590" s="67"/>
      <c r="Y590" s="67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3"/>
      <c r="M591" s="4"/>
      <c r="N591" s="3"/>
      <c r="O591" s="3"/>
      <c r="P591" s="4"/>
      <c r="Q591" s="4"/>
      <c r="R591" s="3"/>
      <c r="S591" s="4"/>
      <c r="T591" s="5"/>
      <c r="U591" s="4"/>
      <c r="V591" s="4"/>
      <c r="W591" s="6"/>
      <c r="X591" s="67"/>
      <c r="Y591" s="67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3"/>
      <c r="M592" s="4"/>
      <c r="N592" s="3"/>
      <c r="O592" s="3"/>
      <c r="P592" s="4"/>
      <c r="Q592" s="4"/>
      <c r="R592" s="3"/>
      <c r="S592" s="4"/>
      <c r="T592" s="5"/>
      <c r="U592" s="4"/>
      <c r="V592" s="4"/>
      <c r="W592" s="6"/>
      <c r="X592" s="67"/>
      <c r="Y592" s="67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3"/>
      <c r="M593" s="4"/>
      <c r="N593" s="3"/>
      <c r="O593" s="3"/>
      <c r="P593" s="4"/>
      <c r="Q593" s="4"/>
      <c r="R593" s="3"/>
      <c r="S593" s="4"/>
      <c r="T593" s="5"/>
      <c r="U593" s="4"/>
      <c r="V593" s="4"/>
      <c r="W593" s="6"/>
      <c r="X593" s="67"/>
      <c r="Y593" s="67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3"/>
      <c r="M594" s="4"/>
      <c r="N594" s="3"/>
      <c r="O594" s="3"/>
      <c r="P594" s="4"/>
      <c r="Q594" s="4"/>
      <c r="R594" s="3"/>
      <c r="S594" s="4"/>
      <c r="T594" s="5"/>
      <c r="U594" s="4"/>
      <c r="V594" s="4"/>
      <c r="W594" s="6"/>
      <c r="X594" s="67"/>
      <c r="Y594" s="67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3"/>
      <c r="M595" s="4"/>
      <c r="N595" s="3"/>
      <c r="O595" s="3"/>
      <c r="P595" s="4"/>
      <c r="Q595" s="4"/>
      <c r="R595" s="3"/>
      <c r="S595" s="4"/>
      <c r="T595" s="5"/>
      <c r="U595" s="4"/>
      <c r="V595" s="4"/>
      <c r="W595" s="6"/>
      <c r="X595" s="67"/>
      <c r="Y595" s="67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3"/>
      <c r="M596" s="4"/>
      <c r="N596" s="3"/>
      <c r="O596" s="3"/>
      <c r="P596" s="4"/>
      <c r="Q596" s="4"/>
      <c r="R596" s="3"/>
      <c r="S596" s="4"/>
      <c r="T596" s="5"/>
      <c r="U596" s="4"/>
      <c r="V596" s="4"/>
      <c r="W596" s="6"/>
      <c r="X596" s="67"/>
      <c r="Y596" s="67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3"/>
      <c r="M597" s="4"/>
      <c r="N597" s="3"/>
      <c r="O597" s="3"/>
      <c r="P597" s="4"/>
      <c r="Q597" s="4"/>
      <c r="R597" s="3"/>
      <c r="S597" s="4"/>
      <c r="T597" s="5"/>
      <c r="U597" s="4"/>
      <c r="V597" s="4"/>
      <c r="W597" s="6"/>
      <c r="X597" s="67"/>
      <c r="Y597" s="67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3"/>
      <c r="M598" s="4"/>
      <c r="N598" s="3"/>
      <c r="O598" s="3"/>
      <c r="P598" s="4"/>
      <c r="Q598" s="4"/>
      <c r="R598" s="3"/>
      <c r="S598" s="4"/>
      <c r="T598" s="5"/>
      <c r="U598" s="4"/>
      <c r="V598" s="4"/>
      <c r="W598" s="6"/>
      <c r="X598" s="67"/>
      <c r="Y598" s="67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3"/>
      <c r="M599" s="4"/>
      <c r="N599" s="3"/>
      <c r="O599" s="3"/>
      <c r="P599" s="4"/>
      <c r="Q599" s="4"/>
      <c r="R599" s="3"/>
      <c r="S599" s="4"/>
      <c r="T599" s="5"/>
      <c r="U599" s="4"/>
      <c r="V599" s="4"/>
      <c r="W599" s="6"/>
      <c r="X599" s="67"/>
      <c r="Y599" s="67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3"/>
      <c r="M600" s="4"/>
      <c r="N600" s="3"/>
      <c r="O600" s="3"/>
      <c r="P600" s="4"/>
      <c r="Q600" s="4"/>
      <c r="R600" s="3"/>
      <c r="S600" s="4"/>
      <c r="T600" s="5"/>
      <c r="U600" s="4"/>
      <c r="V600" s="4"/>
      <c r="W600" s="6"/>
      <c r="X600" s="67"/>
      <c r="Y600" s="67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3"/>
      <c r="M601" s="4"/>
      <c r="N601" s="3"/>
      <c r="O601" s="3"/>
      <c r="P601" s="4"/>
      <c r="Q601" s="4"/>
      <c r="R601" s="3"/>
      <c r="S601" s="4"/>
      <c r="T601" s="5"/>
      <c r="U601" s="4"/>
      <c r="V601" s="4"/>
      <c r="W601" s="6"/>
      <c r="X601" s="67"/>
      <c r="Y601" s="67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3"/>
      <c r="M602" s="4"/>
      <c r="N602" s="3"/>
      <c r="O602" s="3"/>
      <c r="P602" s="4"/>
      <c r="Q602" s="4"/>
      <c r="R602" s="3"/>
      <c r="S602" s="4"/>
      <c r="T602" s="5"/>
      <c r="U602" s="4"/>
      <c r="V602" s="4"/>
      <c r="W602" s="6"/>
      <c r="X602" s="67"/>
      <c r="Y602" s="67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3"/>
      <c r="M603" s="4"/>
      <c r="N603" s="3"/>
      <c r="O603" s="3"/>
      <c r="P603" s="4"/>
      <c r="Q603" s="4"/>
      <c r="R603" s="3"/>
      <c r="S603" s="4"/>
      <c r="T603" s="5"/>
      <c r="U603" s="4"/>
      <c r="V603" s="4"/>
      <c r="W603" s="6"/>
      <c r="X603" s="67"/>
      <c r="Y603" s="67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3"/>
      <c r="M604" s="4"/>
      <c r="N604" s="3"/>
      <c r="O604" s="3"/>
      <c r="P604" s="4"/>
      <c r="Q604" s="4"/>
      <c r="R604" s="3"/>
      <c r="S604" s="4"/>
      <c r="T604" s="5"/>
      <c r="U604" s="4"/>
      <c r="V604" s="4"/>
      <c r="W604" s="6"/>
      <c r="X604" s="67"/>
      <c r="Y604" s="67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3"/>
      <c r="M605" s="4"/>
      <c r="N605" s="3"/>
      <c r="O605" s="3"/>
      <c r="P605" s="4"/>
      <c r="Q605" s="4"/>
      <c r="R605" s="3"/>
      <c r="S605" s="4"/>
      <c r="T605" s="5"/>
      <c r="U605" s="4"/>
      <c r="V605" s="4"/>
      <c r="W605" s="6"/>
      <c r="X605" s="67"/>
      <c r="Y605" s="67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3"/>
      <c r="M606" s="4"/>
      <c r="N606" s="3"/>
      <c r="O606" s="3"/>
      <c r="P606" s="4"/>
      <c r="Q606" s="4"/>
      <c r="R606" s="3"/>
      <c r="S606" s="4"/>
      <c r="T606" s="5"/>
      <c r="U606" s="4"/>
      <c r="V606" s="4"/>
      <c r="W606" s="6"/>
      <c r="X606" s="67"/>
      <c r="Y606" s="67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3"/>
      <c r="M607" s="4"/>
      <c r="N607" s="3"/>
      <c r="O607" s="3"/>
      <c r="P607" s="4"/>
      <c r="Q607" s="4"/>
      <c r="R607" s="3"/>
      <c r="S607" s="4"/>
      <c r="T607" s="5"/>
      <c r="U607" s="4"/>
      <c r="V607" s="4"/>
      <c r="W607" s="6"/>
      <c r="X607" s="67"/>
      <c r="Y607" s="67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3"/>
      <c r="M608" s="4"/>
      <c r="N608" s="3"/>
      <c r="O608" s="3"/>
      <c r="P608" s="4"/>
      <c r="Q608" s="4"/>
      <c r="R608" s="3"/>
      <c r="S608" s="4"/>
      <c r="T608" s="5"/>
      <c r="U608" s="4"/>
      <c r="V608" s="4"/>
      <c r="W608" s="6"/>
      <c r="X608" s="67"/>
      <c r="Y608" s="67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  <c r="M609" s="4"/>
      <c r="N609" s="3"/>
      <c r="O609" s="3"/>
      <c r="P609" s="4"/>
      <c r="Q609" s="4"/>
      <c r="R609" s="3"/>
      <c r="S609" s="4"/>
      <c r="T609" s="5"/>
      <c r="U609" s="4"/>
      <c r="V609" s="4"/>
      <c r="W609" s="6"/>
      <c r="X609" s="67"/>
      <c r="Y609" s="67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  <c r="M610" s="4"/>
      <c r="N610" s="3"/>
      <c r="O610" s="3"/>
      <c r="P610" s="4"/>
      <c r="Q610" s="4"/>
      <c r="R610" s="3"/>
      <c r="S610" s="4"/>
      <c r="T610" s="5"/>
      <c r="U610" s="4"/>
      <c r="V610" s="4"/>
      <c r="W610" s="6"/>
      <c r="X610" s="67"/>
      <c r="Y610" s="67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  <c r="M611" s="4"/>
      <c r="N611" s="3"/>
      <c r="O611" s="3"/>
      <c r="P611" s="4"/>
      <c r="Q611" s="4"/>
      <c r="R611" s="3"/>
      <c r="S611" s="4"/>
      <c r="T611" s="5"/>
      <c r="U611" s="4"/>
      <c r="V611" s="4"/>
      <c r="W611" s="6"/>
      <c r="X611" s="67"/>
      <c r="Y611" s="67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  <c r="M612" s="4"/>
      <c r="N612" s="3"/>
      <c r="O612" s="3"/>
      <c r="P612" s="4"/>
      <c r="Q612" s="4"/>
      <c r="R612" s="3"/>
      <c r="S612" s="4"/>
      <c r="T612" s="5"/>
      <c r="U612" s="4"/>
      <c r="V612" s="4"/>
      <c r="W612" s="6"/>
      <c r="X612" s="67"/>
      <c r="Y612" s="67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  <c r="M613" s="4"/>
      <c r="N613" s="3"/>
      <c r="O613" s="3"/>
      <c r="P613" s="4"/>
      <c r="Q613" s="4"/>
      <c r="R613" s="3"/>
      <c r="S613" s="4"/>
      <c r="T613" s="5"/>
      <c r="U613" s="4"/>
      <c r="V613" s="4"/>
      <c r="W613" s="6"/>
      <c r="X613" s="67"/>
      <c r="Y613" s="67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  <c r="M614" s="4"/>
      <c r="N614" s="3"/>
      <c r="O614" s="3"/>
      <c r="P614" s="4"/>
      <c r="Q614" s="4"/>
      <c r="R614" s="3"/>
      <c r="S614" s="4"/>
      <c r="T614" s="5"/>
      <c r="U614" s="4"/>
      <c r="V614" s="4"/>
      <c r="W614" s="6"/>
      <c r="X614" s="67"/>
      <c r="Y614" s="67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  <c r="M615" s="4"/>
      <c r="N615" s="3"/>
      <c r="O615" s="3"/>
      <c r="P615" s="4"/>
      <c r="Q615" s="4"/>
      <c r="R615" s="3"/>
      <c r="S615" s="4"/>
      <c r="T615" s="5"/>
      <c r="U615" s="4"/>
      <c r="V615" s="4"/>
      <c r="W615" s="6"/>
      <c r="X615" s="67"/>
      <c r="Y615" s="67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  <c r="M616" s="4"/>
      <c r="N616" s="3"/>
      <c r="O616" s="3"/>
      <c r="P616" s="4"/>
      <c r="Q616" s="4"/>
      <c r="R616" s="3"/>
      <c r="S616" s="4"/>
      <c r="T616" s="5"/>
      <c r="U616" s="4"/>
      <c r="V616" s="4"/>
      <c r="W616" s="6"/>
      <c r="X616" s="67"/>
      <c r="Y616" s="67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  <c r="M617" s="4"/>
      <c r="N617" s="3"/>
      <c r="O617" s="3"/>
      <c r="P617" s="4"/>
      <c r="Q617" s="4"/>
      <c r="R617" s="3"/>
      <c r="S617" s="4"/>
      <c r="T617" s="5"/>
      <c r="U617" s="4"/>
      <c r="V617" s="4"/>
      <c r="W617" s="6"/>
      <c r="X617" s="67"/>
      <c r="Y617" s="67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  <c r="M618" s="4"/>
      <c r="N618" s="3"/>
      <c r="O618" s="3"/>
      <c r="P618" s="4"/>
      <c r="Q618" s="4"/>
      <c r="R618" s="3"/>
      <c r="S618" s="4"/>
      <c r="T618" s="5"/>
      <c r="U618" s="4"/>
      <c r="V618" s="4"/>
      <c r="W618" s="6"/>
      <c r="X618" s="67"/>
      <c r="Y618" s="67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  <c r="M619" s="4"/>
      <c r="N619" s="3"/>
      <c r="O619" s="3"/>
      <c r="P619" s="4"/>
      <c r="Q619" s="4"/>
      <c r="R619" s="3"/>
      <c r="S619" s="4"/>
      <c r="T619" s="5"/>
      <c r="U619" s="4"/>
      <c r="V619" s="4"/>
      <c r="W619" s="6"/>
      <c r="X619" s="67"/>
      <c r="Y619" s="67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  <c r="M620" s="4"/>
      <c r="N620" s="3"/>
      <c r="O620" s="3"/>
      <c r="P620" s="4"/>
      <c r="Q620" s="4"/>
      <c r="R620" s="3"/>
      <c r="S620" s="4"/>
      <c r="T620" s="5"/>
      <c r="U620" s="4"/>
      <c r="V620" s="4"/>
      <c r="W620" s="6"/>
      <c r="X620" s="67"/>
      <c r="Y620" s="67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  <c r="M621" s="4"/>
      <c r="N621" s="3"/>
      <c r="O621" s="3"/>
      <c r="P621" s="4"/>
      <c r="Q621" s="4"/>
      <c r="R621" s="3"/>
      <c r="S621" s="4"/>
      <c r="T621" s="5"/>
      <c r="U621" s="4"/>
      <c r="V621" s="4"/>
      <c r="W621" s="6"/>
      <c r="X621" s="67"/>
      <c r="Y621" s="67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  <c r="M622" s="4"/>
      <c r="N622" s="3"/>
      <c r="O622" s="3"/>
      <c r="P622" s="4"/>
      <c r="Q622" s="4"/>
      <c r="R622" s="3"/>
      <c r="S622" s="4"/>
      <c r="T622" s="5"/>
      <c r="U622" s="4"/>
      <c r="V622" s="4"/>
      <c r="W622" s="6"/>
      <c r="X622" s="67"/>
      <c r="Y622" s="67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  <c r="M623" s="4"/>
      <c r="N623" s="3"/>
      <c r="O623" s="3"/>
      <c r="P623" s="4"/>
      <c r="Q623" s="4"/>
      <c r="R623" s="3"/>
      <c r="S623" s="4"/>
      <c r="T623" s="5"/>
      <c r="U623" s="4"/>
      <c r="V623" s="4"/>
      <c r="W623" s="6"/>
      <c r="X623" s="67"/>
      <c r="Y623" s="67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  <c r="M624" s="4"/>
      <c r="N624" s="3"/>
      <c r="O624" s="3"/>
      <c r="P624" s="4"/>
      <c r="Q624" s="4"/>
      <c r="R624" s="3"/>
      <c r="S624" s="4"/>
      <c r="T624" s="5"/>
      <c r="U624" s="4"/>
      <c r="V624" s="4"/>
      <c r="W624" s="6"/>
      <c r="X624" s="67"/>
      <c r="Y624" s="67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  <c r="M625" s="4"/>
      <c r="N625" s="3"/>
      <c r="O625" s="3"/>
      <c r="P625" s="4"/>
      <c r="Q625" s="4"/>
      <c r="R625" s="3"/>
      <c r="S625" s="4"/>
      <c r="T625" s="5"/>
      <c r="U625" s="4"/>
      <c r="V625" s="4"/>
      <c r="W625" s="6"/>
      <c r="X625" s="67"/>
      <c r="Y625" s="67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  <c r="M626" s="4"/>
      <c r="N626" s="3"/>
      <c r="O626" s="3"/>
      <c r="P626" s="4"/>
      <c r="Q626" s="4"/>
      <c r="R626" s="3"/>
      <c r="S626" s="4"/>
      <c r="T626" s="5"/>
      <c r="U626" s="4"/>
      <c r="V626" s="4"/>
      <c r="W626" s="6"/>
      <c r="X626" s="67"/>
      <c r="Y626" s="67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  <c r="M627" s="4"/>
      <c r="N627" s="3"/>
      <c r="O627" s="3"/>
      <c r="P627" s="4"/>
      <c r="Q627" s="4"/>
      <c r="R627" s="3"/>
      <c r="S627" s="4"/>
      <c r="T627" s="5"/>
      <c r="U627" s="4"/>
      <c r="V627" s="4"/>
      <c r="W627" s="6"/>
      <c r="X627" s="67"/>
      <c r="Y627" s="67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  <c r="M628" s="4"/>
      <c r="N628" s="3"/>
      <c r="O628" s="3"/>
      <c r="P628" s="4"/>
      <c r="Q628" s="4"/>
      <c r="R628" s="3"/>
      <c r="S628" s="4"/>
      <c r="T628" s="5"/>
      <c r="U628" s="4"/>
      <c r="V628" s="4"/>
      <c r="W628" s="6"/>
      <c r="X628" s="67"/>
      <c r="Y628" s="67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  <c r="M629" s="4"/>
      <c r="N629" s="3"/>
      <c r="O629" s="3"/>
      <c r="P629" s="4"/>
      <c r="Q629" s="4"/>
      <c r="R629" s="3"/>
      <c r="S629" s="4"/>
      <c r="T629" s="5"/>
      <c r="U629" s="4"/>
      <c r="V629" s="4"/>
      <c r="W629" s="6"/>
      <c r="X629" s="67"/>
      <c r="Y629" s="67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  <c r="M630" s="4"/>
      <c r="N630" s="3"/>
      <c r="O630" s="3"/>
      <c r="P630" s="4"/>
      <c r="Q630" s="4"/>
      <c r="R630" s="3"/>
      <c r="S630" s="4"/>
      <c r="T630" s="5"/>
      <c r="U630" s="4"/>
      <c r="V630" s="4"/>
      <c r="W630" s="6"/>
      <c r="X630" s="67"/>
      <c r="Y630" s="67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  <c r="M631" s="4"/>
      <c r="N631" s="3"/>
      <c r="O631" s="3"/>
      <c r="P631" s="4"/>
      <c r="Q631" s="4"/>
      <c r="R631" s="3"/>
      <c r="S631" s="4"/>
      <c r="T631" s="5"/>
      <c r="U631" s="4"/>
      <c r="V631" s="4"/>
      <c r="W631" s="6"/>
      <c r="X631" s="67"/>
      <c r="Y631" s="67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  <c r="M632" s="4"/>
      <c r="N632" s="3"/>
      <c r="O632" s="3"/>
      <c r="P632" s="4"/>
      <c r="Q632" s="4"/>
      <c r="R632" s="3"/>
      <c r="S632" s="4"/>
      <c r="T632" s="5"/>
      <c r="U632" s="4"/>
      <c r="V632" s="4"/>
      <c r="W632" s="6"/>
      <c r="X632" s="67"/>
      <c r="Y632" s="67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3"/>
      <c r="M633" s="4"/>
      <c r="N633" s="3"/>
      <c r="O633" s="3"/>
      <c r="P633" s="4"/>
      <c r="Q633" s="4"/>
      <c r="R633" s="3"/>
      <c r="S633" s="4"/>
      <c r="T633" s="5"/>
      <c r="U633" s="4"/>
      <c r="V633" s="4"/>
      <c r="W633" s="6"/>
      <c r="X633" s="67"/>
      <c r="Y633" s="67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3"/>
      <c r="M634" s="4"/>
      <c r="N634" s="3"/>
      <c r="O634" s="3"/>
      <c r="P634" s="4"/>
      <c r="Q634" s="4"/>
      <c r="R634" s="3"/>
      <c r="S634" s="4"/>
      <c r="T634" s="5"/>
      <c r="U634" s="4"/>
      <c r="V634" s="4"/>
      <c r="W634" s="6"/>
      <c r="X634" s="67"/>
      <c r="Y634" s="67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3"/>
      <c r="M635" s="4"/>
      <c r="N635" s="3"/>
      <c r="O635" s="3"/>
      <c r="P635" s="4"/>
      <c r="Q635" s="4"/>
      <c r="R635" s="3"/>
      <c r="S635" s="4"/>
      <c r="T635" s="5"/>
      <c r="U635" s="4"/>
      <c r="V635" s="4"/>
      <c r="W635" s="6"/>
      <c r="X635" s="67"/>
      <c r="Y635" s="67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3"/>
      <c r="M636" s="4"/>
      <c r="N636" s="3"/>
      <c r="O636" s="3"/>
      <c r="P636" s="4"/>
      <c r="Q636" s="4"/>
      <c r="R636" s="3"/>
      <c r="S636" s="4"/>
      <c r="T636" s="5"/>
      <c r="U636" s="4"/>
      <c r="V636" s="4"/>
      <c r="W636" s="6"/>
      <c r="X636" s="67"/>
      <c r="Y636" s="67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3"/>
      <c r="M637" s="4"/>
      <c r="N637" s="3"/>
      <c r="O637" s="3"/>
      <c r="P637" s="4"/>
      <c r="Q637" s="4"/>
      <c r="R637" s="3"/>
      <c r="S637" s="4"/>
      <c r="T637" s="5"/>
      <c r="U637" s="4"/>
      <c r="V637" s="4"/>
      <c r="W637" s="6"/>
      <c r="X637" s="67"/>
      <c r="Y637" s="67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3"/>
      <c r="M638" s="4"/>
      <c r="N638" s="3"/>
      <c r="O638" s="3"/>
      <c r="P638" s="4"/>
      <c r="Q638" s="4"/>
      <c r="R638" s="3"/>
      <c r="S638" s="4"/>
      <c r="T638" s="5"/>
      <c r="U638" s="4"/>
      <c r="V638" s="4"/>
      <c r="W638" s="6"/>
      <c r="X638" s="67"/>
      <c r="Y638" s="67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3"/>
      <c r="M639" s="4"/>
      <c r="N639" s="3"/>
      <c r="O639" s="3"/>
      <c r="P639" s="4"/>
      <c r="Q639" s="4"/>
      <c r="R639" s="3"/>
      <c r="S639" s="4"/>
      <c r="T639" s="5"/>
      <c r="U639" s="4"/>
      <c r="V639" s="4"/>
      <c r="W639" s="6"/>
      <c r="X639" s="67"/>
      <c r="Y639" s="67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3"/>
      <c r="M640" s="4"/>
      <c r="N640" s="3"/>
      <c r="O640" s="3"/>
      <c r="P640" s="4"/>
      <c r="Q640" s="4"/>
      <c r="R640" s="3"/>
      <c r="S640" s="4"/>
      <c r="T640" s="5"/>
      <c r="U640" s="4"/>
      <c r="V640" s="4"/>
      <c r="W640" s="6"/>
      <c r="X640" s="67"/>
      <c r="Y640" s="67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3"/>
      <c r="M641" s="4"/>
      <c r="N641" s="3"/>
      <c r="O641" s="3"/>
      <c r="P641" s="4"/>
      <c r="Q641" s="4"/>
      <c r="R641" s="3"/>
      <c r="S641" s="4"/>
      <c r="T641" s="5"/>
      <c r="U641" s="4"/>
      <c r="V641" s="4"/>
      <c r="W641" s="6"/>
      <c r="X641" s="67"/>
      <c r="Y641" s="67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3"/>
      <c r="M642" s="4"/>
      <c r="N642" s="3"/>
      <c r="O642" s="3"/>
      <c r="P642" s="4"/>
      <c r="Q642" s="4"/>
      <c r="R642" s="3"/>
      <c r="S642" s="4"/>
      <c r="T642" s="5"/>
      <c r="U642" s="4"/>
      <c r="V642" s="4"/>
      <c r="W642" s="6"/>
      <c r="X642" s="67"/>
      <c r="Y642" s="67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3"/>
      <c r="M643" s="4"/>
      <c r="N643" s="3"/>
      <c r="O643" s="3"/>
      <c r="P643" s="4"/>
      <c r="Q643" s="4"/>
      <c r="R643" s="3"/>
      <c r="S643" s="4"/>
      <c r="T643" s="5"/>
      <c r="U643" s="4"/>
      <c r="V643" s="4"/>
      <c r="W643" s="6"/>
      <c r="X643" s="67"/>
      <c r="Y643" s="67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3"/>
      <c r="M644" s="4"/>
      <c r="N644" s="3"/>
      <c r="O644" s="3"/>
      <c r="P644" s="4"/>
      <c r="Q644" s="4"/>
      <c r="R644" s="3"/>
      <c r="S644" s="4"/>
      <c r="T644" s="5"/>
      <c r="U644" s="4"/>
      <c r="V644" s="4"/>
      <c r="W644" s="6"/>
      <c r="X644" s="67"/>
      <c r="Y644" s="67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3"/>
      <c r="M645" s="4"/>
      <c r="N645" s="3"/>
      <c r="O645" s="3"/>
      <c r="P645" s="4"/>
      <c r="Q645" s="4"/>
      <c r="R645" s="3"/>
      <c r="S645" s="4"/>
      <c r="T645" s="5"/>
      <c r="U645" s="4"/>
      <c r="V645" s="4"/>
      <c r="W645" s="6"/>
      <c r="X645" s="67"/>
      <c r="Y645" s="67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3"/>
      <c r="M646" s="4"/>
      <c r="N646" s="3"/>
      <c r="O646" s="3"/>
      <c r="P646" s="4"/>
      <c r="Q646" s="4"/>
      <c r="R646" s="3"/>
      <c r="S646" s="4"/>
      <c r="T646" s="5"/>
      <c r="U646" s="4"/>
      <c r="V646" s="4"/>
      <c r="W646" s="6"/>
      <c r="X646" s="67"/>
      <c r="Y646" s="67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3"/>
      <c r="M647" s="4"/>
      <c r="N647" s="3"/>
      <c r="O647" s="3"/>
      <c r="P647" s="4"/>
      <c r="Q647" s="4"/>
      <c r="R647" s="3"/>
      <c r="S647" s="4"/>
      <c r="T647" s="5"/>
      <c r="U647" s="4"/>
      <c r="V647" s="4"/>
      <c r="W647" s="6"/>
      <c r="X647" s="67"/>
      <c r="Y647" s="67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3"/>
      <c r="M648" s="4"/>
      <c r="N648" s="3"/>
      <c r="O648" s="3"/>
      <c r="P648" s="4"/>
      <c r="Q648" s="4"/>
      <c r="R648" s="3"/>
      <c r="S648" s="4"/>
      <c r="T648" s="5"/>
      <c r="U648" s="4"/>
      <c r="V648" s="4"/>
      <c r="W648" s="6"/>
      <c r="X648" s="67"/>
      <c r="Y648" s="67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3"/>
      <c r="M649" s="4"/>
      <c r="N649" s="3"/>
      <c r="O649" s="3"/>
      <c r="P649" s="4"/>
      <c r="Q649" s="4"/>
      <c r="R649" s="3"/>
      <c r="S649" s="4"/>
      <c r="T649" s="5"/>
      <c r="U649" s="4"/>
      <c r="V649" s="4"/>
      <c r="W649" s="6"/>
      <c r="X649" s="67"/>
      <c r="Y649" s="67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3"/>
      <c r="M650" s="4"/>
      <c r="N650" s="3"/>
      <c r="O650" s="3"/>
      <c r="P650" s="4"/>
      <c r="Q650" s="4"/>
      <c r="R650" s="3"/>
      <c r="S650" s="4"/>
      <c r="T650" s="5"/>
      <c r="U650" s="4"/>
      <c r="V650" s="4"/>
      <c r="W650" s="6"/>
      <c r="X650" s="67"/>
      <c r="Y650" s="67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3"/>
      <c r="M651" s="4"/>
      <c r="N651" s="3"/>
      <c r="O651" s="3"/>
      <c r="P651" s="4"/>
      <c r="Q651" s="4"/>
      <c r="R651" s="3"/>
      <c r="S651" s="4"/>
      <c r="T651" s="5"/>
      <c r="U651" s="4"/>
      <c r="V651" s="4"/>
      <c r="W651" s="6"/>
      <c r="X651" s="67"/>
      <c r="Y651" s="67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3"/>
      <c r="M652" s="4"/>
      <c r="N652" s="3"/>
      <c r="O652" s="3"/>
      <c r="P652" s="4"/>
      <c r="Q652" s="4"/>
      <c r="R652" s="3"/>
      <c r="S652" s="4"/>
      <c r="T652" s="5"/>
      <c r="U652" s="4"/>
      <c r="V652" s="4"/>
      <c r="W652" s="6"/>
      <c r="X652" s="67"/>
      <c r="Y652" s="67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3"/>
      <c r="M653" s="4"/>
      <c r="N653" s="3"/>
      <c r="O653" s="3"/>
      <c r="P653" s="4"/>
      <c r="Q653" s="4"/>
      <c r="R653" s="3"/>
      <c r="S653" s="4"/>
      <c r="T653" s="5"/>
      <c r="U653" s="4"/>
      <c r="V653" s="4"/>
      <c r="W653" s="6"/>
      <c r="X653" s="67"/>
      <c r="Y653" s="67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3"/>
      <c r="M654" s="4"/>
      <c r="N654" s="3"/>
      <c r="O654" s="3"/>
      <c r="P654" s="4"/>
      <c r="Q654" s="4"/>
      <c r="R654" s="3"/>
      <c r="S654" s="4"/>
      <c r="T654" s="5"/>
      <c r="U654" s="4"/>
      <c r="V654" s="4"/>
      <c r="W654" s="6"/>
      <c r="X654" s="67"/>
      <c r="Y654" s="67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3"/>
      <c r="M655" s="4"/>
      <c r="N655" s="3"/>
      <c r="O655" s="3"/>
      <c r="P655" s="4"/>
      <c r="Q655" s="4"/>
      <c r="R655" s="3"/>
      <c r="S655" s="4"/>
      <c r="T655" s="5"/>
      <c r="U655" s="4"/>
      <c r="V655" s="4"/>
      <c r="W655" s="6"/>
      <c r="X655" s="67"/>
      <c r="Y655" s="67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3"/>
      <c r="M656" s="4"/>
      <c r="N656" s="3"/>
      <c r="O656" s="3"/>
      <c r="P656" s="4"/>
      <c r="Q656" s="4"/>
      <c r="R656" s="3"/>
      <c r="S656" s="4"/>
      <c r="T656" s="5"/>
      <c r="U656" s="4"/>
      <c r="V656" s="4"/>
      <c r="W656" s="6"/>
      <c r="X656" s="67"/>
      <c r="Y656" s="67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3"/>
      <c r="M657" s="4"/>
      <c r="N657" s="3"/>
      <c r="O657" s="3"/>
      <c r="P657" s="4"/>
      <c r="Q657" s="4"/>
      <c r="R657" s="3"/>
      <c r="S657" s="4"/>
      <c r="T657" s="5"/>
      <c r="U657" s="4"/>
      <c r="V657" s="4"/>
      <c r="W657" s="6"/>
      <c r="X657" s="67"/>
      <c r="Y657" s="67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3"/>
      <c r="M658" s="4"/>
      <c r="N658" s="3"/>
      <c r="O658" s="3"/>
      <c r="P658" s="4"/>
      <c r="Q658" s="4"/>
      <c r="R658" s="3"/>
      <c r="S658" s="4"/>
      <c r="T658" s="5"/>
      <c r="U658" s="4"/>
      <c r="V658" s="4"/>
      <c r="W658" s="6"/>
      <c r="X658" s="67"/>
      <c r="Y658" s="67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3"/>
      <c r="M659" s="4"/>
      <c r="N659" s="3"/>
      <c r="O659" s="3"/>
      <c r="P659" s="4"/>
      <c r="Q659" s="4"/>
      <c r="R659" s="3"/>
      <c r="S659" s="4"/>
      <c r="T659" s="5"/>
      <c r="U659" s="4"/>
      <c r="V659" s="4"/>
      <c r="W659" s="6"/>
      <c r="X659" s="67"/>
      <c r="Y659" s="67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3"/>
      <c r="M660" s="4"/>
      <c r="N660" s="3"/>
      <c r="O660" s="3"/>
      <c r="P660" s="4"/>
      <c r="Q660" s="4"/>
      <c r="R660" s="3"/>
      <c r="S660" s="4"/>
      <c r="T660" s="5"/>
      <c r="U660" s="4"/>
      <c r="V660" s="4"/>
      <c r="W660" s="6"/>
      <c r="X660" s="67"/>
      <c r="Y660" s="67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3"/>
      <c r="M661" s="4"/>
      <c r="N661" s="3"/>
      <c r="O661" s="3"/>
      <c r="P661" s="4"/>
      <c r="Q661" s="4"/>
      <c r="R661" s="3"/>
      <c r="S661" s="4"/>
      <c r="T661" s="5"/>
      <c r="U661" s="4"/>
      <c r="V661" s="4"/>
      <c r="W661" s="6"/>
      <c r="X661" s="67"/>
      <c r="Y661" s="67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3"/>
      <c r="M662" s="4"/>
      <c r="N662" s="3"/>
      <c r="O662" s="3"/>
      <c r="P662" s="4"/>
      <c r="Q662" s="4"/>
      <c r="R662" s="3"/>
      <c r="S662" s="4"/>
      <c r="T662" s="5"/>
      <c r="U662" s="4"/>
      <c r="V662" s="4"/>
      <c r="W662" s="6"/>
      <c r="X662" s="67"/>
      <c r="Y662" s="67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3"/>
      <c r="M663" s="4"/>
      <c r="N663" s="3"/>
      <c r="O663" s="3"/>
      <c r="P663" s="4"/>
      <c r="Q663" s="4"/>
      <c r="R663" s="3"/>
      <c r="S663" s="4"/>
      <c r="T663" s="5"/>
      <c r="U663" s="4"/>
      <c r="V663" s="4"/>
      <c r="W663" s="6"/>
      <c r="X663" s="67"/>
      <c r="Y663" s="67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3"/>
      <c r="M664" s="4"/>
      <c r="N664" s="3"/>
      <c r="O664" s="3"/>
      <c r="P664" s="4"/>
      <c r="Q664" s="4"/>
      <c r="R664" s="3"/>
      <c r="S664" s="4"/>
      <c r="T664" s="5"/>
      <c r="U664" s="4"/>
      <c r="V664" s="4"/>
      <c r="W664" s="6"/>
      <c r="X664" s="67"/>
      <c r="Y664" s="67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3"/>
      <c r="M665" s="4"/>
      <c r="N665" s="3"/>
      <c r="O665" s="3"/>
      <c r="P665" s="4"/>
      <c r="Q665" s="4"/>
      <c r="R665" s="3"/>
      <c r="S665" s="4"/>
      <c r="T665" s="5"/>
      <c r="U665" s="4"/>
      <c r="V665" s="4"/>
      <c r="W665" s="6"/>
      <c r="X665" s="67"/>
      <c r="Y665" s="67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3"/>
      <c r="M666" s="4"/>
      <c r="N666" s="3"/>
      <c r="O666" s="3"/>
      <c r="P666" s="4"/>
      <c r="Q666" s="4"/>
      <c r="R666" s="3"/>
      <c r="S666" s="4"/>
      <c r="T666" s="5"/>
      <c r="U666" s="4"/>
      <c r="V666" s="4"/>
      <c r="W666" s="6"/>
      <c r="X666" s="67"/>
      <c r="Y666" s="67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3"/>
      <c r="M667" s="4"/>
      <c r="N667" s="3"/>
      <c r="O667" s="3"/>
      <c r="P667" s="4"/>
      <c r="Q667" s="4"/>
      <c r="R667" s="3"/>
      <c r="S667" s="4"/>
      <c r="T667" s="5"/>
      <c r="U667" s="4"/>
      <c r="V667" s="4"/>
      <c r="W667" s="6"/>
      <c r="X667" s="67"/>
      <c r="Y667" s="67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3"/>
      <c r="M668" s="4"/>
      <c r="N668" s="3"/>
      <c r="O668" s="3"/>
      <c r="P668" s="4"/>
      <c r="Q668" s="4"/>
      <c r="R668" s="3"/>
      <c r="S668" s="4"/>
      <c r="T668" s="5"/>
      <c r="U668" s="4"/>
      <c r="V668" s="4"/>
      <c r="W668" s="6"/>
      <c r="X668" s="67"/>
      <c r="Y668" s="67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3"/>
      <c r="M669" s="4"/>
      <c r="N669" s="3"/>
      <c r="O669" s="3"/>
      <c r="P669" s="4"/>
      <c r="Q669" s="4"/>
      <c r="R669" s="3"/>
      <c r="S669" s="4"/>
      <c r="T669" s="5"/>
      <c r="U669" s="4"/>
      <c r="V669" s="4"/>
      <c r="W669" s="6"/>
      <c r="X669" s="67"/>
      <c r="Y669" s="67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3"/>
      <c r="M670" s="4"/>
      <c r="N670" s="3"/>
      <c r="O670" s="3"/>
      <c r="P670" s="4"/>
      <c r="Q670" s="4"/>
      <c r="R670" s="3"/>
      <c r="S670" s="4"/>
      <c r="T670" s="5"/>
      <c r="U670" s="4"/>
      <c r="V670" s="4"/>
      <c r="W670" s="6"/>
      <c r="X670" s="67"/>
      <c r="Y670" s="67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3"/>
      <c r="M671" s="4"/>
      <c r="N671" s="3"/>
      <c r="O671" s="3"/>
      <c r="P671" s="4"/>
      <c r="Q671" s="4"/>
      <c r="R671" s="3"/>
      <c r="S671" s="4"/>
      <c r="T671" s="5"/>
      <c r="U671" s="4"/>
      <c r="V671" s="4"/>
      <c r="W671" s="6"/>
      <c r="X671" s="67"/>
      <c r="Y671" s="67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3"/>
      <c r="M672" s="4"/>
      <c r="N672" s="3"/>
      <c r="O672" s="3"/>
      <c r="P672" s="4"/>
      <c r="Q672" s="4"/>
      <c r="R672" s="3"/>
      <c r="S672" s="4"/>
      <c r="T672" s="5"/>
      <c r="U672" s="4"/>
      <c r="V672" s="4"/>
      <c r="W672" s="6"/>
      <c r="X672" s="67"/>
      <c r="Y672" s="67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3"/>
      <c r="M673" s="4"/>
      <c r="N673" s="3"/>
      <c r="O673" s="3"/>
      <c r="P673" s="4"/>
      <c r="Q673" s="4"/>
      <c r="R673" s="3"/>
      <c r="S673" s="4"/>
      <c r="T673" s="5"/>
      <c r="U673" s="4"/>
      <c r="V673" s="4"/>
      <c r="W673" s="6"/>
      <c r="X673" s="67"/>
      <c r="Y673" s="67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3"/>
      <c r="M674" s="4"/>
      <c r="N674" s="3"/>
      <c r="O674" s="3"/>
      <c r="P674" s="4"/>
      <c r="Q674" s="4"/>
      <c r="R674" s="3"/>
      <c r="S674" s="4"/>
      <c r="T674" s="5"/>
      <c r="U674" s="4"/>
      <c r="V674" s="4"/>
      <c r="W674" s="6"/>
      <c r="X674" s="67"/>
      <c r="Y674" s="67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3"/>
      <c r="M675" s="4"/>
      <c r="N675" s="3"/>
      <c r="O675" s="3"/>
      <c r="P675" s="4"/>
      <c r="Q675" s="4"/>
      <c r="R675" s="3"/>
      <c r="S675" s="4"/>
      <c r="T675" s="5"/>
      <c r="U675" s="4"/>
      <c r="V675" s="4"/>
      <c r="W675" s="6"/>
      <c r="X675" s="67"/>
      <c r="Y675" s="67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3"/>
      <c r="M676" s="4"/>
      <c r="N676" s="3"/>
      <c r="O676" s="3"/>
      <c r="P676" s="4"/>
      <c r="Q676" s="4"/>
      <c r="R676" s="3"/>
      <c r="S676" s="4"/>
      <c r="T676" s="5"/>
      <c r="U676" s="4"/>
      <c r="V676" s="4"/>
      <c r="W676" s="6"/>
      <c r="X676" s="67"/>
      <c r="Y676" s="67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3"/>
      <c r="M677" s="4"/>
      <c r="N677" s="3"/>
      <c r="O677" s="3"/>
      <c r="P677" s="4"/>
      <c r="Q677" s="4"/>
      <c r="R677" s="3"/>
      <c r="S677" s="4"/>
      <c r="T677" s="5"/>
      <c r="U677" s="4"/>
      <c r="V677" s="4"/>
      <c r="W677" s="6"/>
      <c r="X677" s="67"/>
      <c r="Y677" s="67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4"/>
      <c r="N678" s="3"/>
      <c r="O678" s="3"/>
      <c r="P678" s="4"/>
      <c r="Q678" s="4"/>
      <c r="R678" s="3"/>
      <c r="S678" s="4"/>
      <c r="T678" s="5"/>
      <c r="U678" s="4"/>
      <c r="V678" s="4"/>
      <c r="W678" s="6"/>
      <c r="X678" s="67"/>
      <c r="Y678" s="67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4"/>
      <c r="N679" s="3"/>
      <c r="O679" s="3"/>
      <c r="P679" s="4"/>
      <c r="Q679" s="4"/>
      <c r="R679" s="3"/>
      <c r="S679" s="4"/>
      <c r="T679" s="5"/>
      <c r="U679" s="4"/>
      <c r="V679" s="4"/>
      <c r="W679" s="6"/>
      <c r="X679" s="67"/>
      <c r="Y679" s="67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4"/>
      <c r="N680" s="3"/>
      <c r="O680" s="3"/>
      <c r="P680" s="4"/>
      <c r="Q680" s="4"/>
      <c r="R680" s="3"/>
      <c r="S680" s="4"/>
      <c r="T680" s="5"/>
      <c r="U680" s="4"/>
      <c r="V680" s="4"/>
      <c r="W680" s="6"/>
      <c r="X680" s="67"/>
      <c r="Y680" s="67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4"/>
      <c r="N681" s="3"/>
      <c r="O681" s="3"/>
      <c r="P681" s="4"/>
      <c r="Q681" s="4"/>
      <c r="R681" s="3"/>
      <c r="S681" s="4"/>
      <c r="T681" s="5"/>
      <c r="U681" s="4"/>
      <c r="V681" s="4"/>
      <c r="W681" s="6"/>
      <c r="X681" s="67"/>
      <c r="Y681" s="67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4"/>
      <c r="N682" s="3"/>
      <c r="O682" s="3"/>
      <c r="P682" s="4"/>
      <c r="Q682" s="4"/>
      <c r="R682" s="3"/>
      <c r="S682" s="4"/>
      <c r="T682" s="5"/>
      <c r="U682" s="4"/>
      <c r="V682" s="4"/>
      <c r="W682" s="6"/>
      <c r="X682" s="67"/>
      <c r="Y682" s="67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4"/>
      <c r="N683" s="3"/>
      <c r="O683" s="3"/>
      <c r="P683" s="4"/>
      <c r="Q683" s="4"/>
      <c r="R683" s="3"/>
      <c r="S683" s="4"/>
      <c r="T683" s="5"/>
      <c r="U683" s="4"/>
      <c r="V683" s="4"/>
      <c r="W683" s="6"/>
      <c r="X683" s="67"/>
      <c r="Y683" s="67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4"/>
      <c r="N684" s="3"/>
      <c r="O684" s="3"/>
      <c r="P684" s="4"/>
      <c r="Q684" s="4"/>
      <c r="R684" s="3"/>
      <c r="S684" s="4"/>
      <c r="T684" s="5"/>
      <c r="U684" s="4"/>
      <c r="V684" s="4"/>
      <c r="W684" s="6"/>
      <c r="X684" s="67"/>
      <c r="Y684" s="67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4"/>
      <c r="N685" s="3"/>
      <c r="O685" s="3"/>
      <c r="P685" s="4"/>
      <c r="Q685" s="4"/>
      <c r="R685" s="3"/>
      <c r="S685" s="4"/>
      <c r="T685" s="5"/>
      <c r="U685" s="4"/>
      <c r="V685" s="4"/>
      <c r="W685" s="6"/>
      <c r="X685" s="67"/>
      <c r="Y685" s="67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4"/>
      <c r="N686" s="3"/>
      <c r="O686" s="3"/>
      <c r="P686" s="4"/>
      <c r="Q686" s="4"/>
      <c r="R686" s="3"/>
      <c r="S686" s="4"/>
      <c r="T686" s="5"/>
      <c r="U686" s="4"/>
      <c r="V686" s="4"/>
      <c r="W686" s="6"/>
      <c r="X686" s="67"/>
      <c r="Y686" s="67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3"/>
      <c r="M687" s="4"/>
      <c r="N687" s="3"/>
      <c r="O687" s="3"/>
      <c r="P687" s="4"/>
      <c r="Q687" s="4"/>
      <c r="R687" s="3"/>
      <c r="S687" s="4"/>
      <c r="T687" s="5"/>
      <c r="U687" s="4"/>
      <c r="V687" s="4"/>
      <c r="W687" s="6"/>
      <c r="X687" s="67"/>
      <c r="Y687" s="67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3"/>
      <c r="M688" s="4"/>
      <c r="N688" s="3"/>
      <c r="O688" s="3"/>
      <c r="P688" s="4"/>
      <c r="Q688" s="4"/>
      <c r="R688" s="3"/>
      <c r="S688" s="4"/>
      <c r="T688" s="5"/>
      <c r="U688" s="4"/>
      <c r="V688" s="4"/>
      <c r="W688" s="6"/>
      <c r="X688" s="67"/>
      <c r="Y688" s="67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3"/>
      <c r="M689" s="4"/>
      <c r="N689" s="3"/>
      <c r="O689" s="3"/>
      <c r="P689" s="4"/>
      <c r="Q689" s="4"/>
      <c r="R689" s="3"/>
      <c r="S689" s="4"/>
      <c r="T689" s="5"/>
      <c r="U689" s="4"/>
      <c r="V689" s="4"/>
      <c r="W689" s="6"/>
      <c r="X689" s="67"/>
      <c r="Y689" s="67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3"/>
      <c r="M690" s="4"/>
      <c r="N690" s="3"/>
      <c r="O690" s="3"/>
      <c r="P690" s="4"/>
      <c r="Q690" s="4"/>
      <c r="R690" s="3"/>
      <c r="S690" s="4"/>
      <c r="T690" s="5"/>
      <c r="U690" s="4"/>
      <c r="V690" s="4"/>
      <c r="W690" s="6"/>
      <c r="X690" s="67"/>
      <c r="Y690" s="67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3"/>
      <c r="M691" s="4"/>
      <c r="N691" s="3"/>
      <c r="O691" s="3"/>
      <c r="P691" s="4"/>
      <c r="Q691" s="4"/>
      <c r="R691" s="3"/>
      <c r="S691" s="4"/>
      <c r="T691" s="5"/>
      <c r="U691" s="4"/>
      <c r="V691" s="4"/>
      <c r="W691" s="6"/>
      <c r="X691" s="67"/>
      <c r="Y691" s="67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3"/>
      <c r="M692" s="4"/>
      <c r="N692" s="3"/>
      <c r="O692" s="3"/>
      <c r="P692" s="4"/>
      <c r="Q692" s="4"/>
      <c r="R692" s="3"/>
      <c r="S692" s="4"/>
      <c r="T692" s="5"/>
      <c r="U692" s="4"/>
      <c r="V692" s="4"/>
      <c r="W692" s="6"/>
      <c r="X692" s="67"/>
      <c r="Y692" s="67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3"/>
      <c r="M693" s="4"/>
      <c r="N693" s="3"/>
      <c r="O693" s="3"/>
      <c r="P693" s="4"/>
      <c r="Q693" s="4"/>
      <c r="R693" s="3"/>
      <c r="S693" s="4"/>
      <c r="T693" s="5"/>
      <c r="U693" s="4"/>
      <c r="V693" s="4"/>
      <c r="W693" s="6"/>
      <c r="X693" s="67"/>
      <c r="Y693" s="67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3"/>
      <c r="M694" s="4"/>
      <c r="N694" s="3"/>
      <c r="O694" s="3"/>
      <c r="P694" s="4"/>
      <c r="Q694" s="4"/>
      <c r="R694" s="3"/>
      <c r="S694" s="4"/>
      <c r="T694" s="5"/>
      <c r="U694" s="4"/>
      <c r="V694" s="4"/>
      <c r="W694" s="6"/>
      <c r="X694" s="67"/>
      <c r="Y694" s="67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3"/>
      <c r="M695" s="4"/>
      <c r="N695" s="3"/>
      <c r="O695" s="3"/>
      <c r="P695" s="4"/>
      <c r="Q695" s="4"/>
      <c r="R695" s="3"/>
      <c r="S695" s="4"/>
      <c r="T695" s="5"/>
      <c r="U695" s="4"/>
      <c r="V695" s="4"/>
      <c r="W695" s="6"/>
      <c r="X695" s="67"/>
      <c r="Y695" s="67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3"/>
      <c r="M696" s="4"/>
      <c r="N696" s="3"/>
      <c r="O696" s="3"/>
      <c r="P696" s="4"/>
      <c r="Q696" s="4"/>
      <c r="R696" s="3"/>
      <c r="S696" s="4"/>
      <c r="T696" s="5"/>
      <c r="U696" s="4"/>
      <c r="V696" s="4"/>
      <c r="W696" s="6"/>
      <c r="X696" s="67"/>
      <c r="Y696" s="67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3"/>
      <c r="M697" s="4"/>
      <c r="N697" s="3"/>
      <c r="O697" s="3"/>
      <c r="P697" s="4"/>
      <c r="Q697" s="4"/>
      <c r="R697" s="3"/>
      <c r="S697" s="4"/>
      <c r="T697" s="5"/>
      <c r="U697" s="4"/>
      <c r="V697" s="4"/>
      <c r="W697" s="6"/>
      <c r="X697" s="67"/>
      <c r="Y697" s="67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3"/>
      <c r="M698" s="4"/>
      <c r="N698" s="3"/>
      <c r="O698" s="3"/>
      <c r="P698" s="4"/>
      <c r="Q698" s="4"/>
      <c r="R698" s="3"/>
      <c r="S698" s="4"/>
      <c r="T698" s="5"/>
      <c r="U698" s="4"/>
      <c r="V698" s="4"/>
      <c r="W698" s="6"/>
      <c r="X698" s="67"/>
      <c r="Y698" s="67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3"/>
      <c r="M699" s="4"/>
      <c r="N699" s="3"/>
      <c r="O699" s="3"/>
      <c r="P699" s="4"/>
      <c r="Q699" s="4"/>
      <c r="R699" s="3"/>
      <c r="S699" s="4"/>
      <c r="T699" s="5"/>
      <c r="U699" s="4"/>
      <c r="V699" s="4"/>
      <c r="W699" s="6"/>
      <c r="X699" s="67"/>
      <c r="Y699" s="67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3"/>
      <c r="M700" s="4"/>
      <c r="N700" s="3"/>
      <c r="O700" s="3"/>
      <c r="P700" s="4"/>
      <c r="Q700" s="4"/>
      <c r="R700" s="3"/>
      <c r="S700" s="4"/>
      <c r="T700" s="5"/>
      <c r="U700" s="4"/>
      <c r="V700" s="4"/>
      <c r="W700" s="6"/>
      <c r="X700" s="67"/>
      <c r="Y700" s="67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3"/>
      <c r="M701" s="4"/>
      <c r="N701" s="3"/>
      <c r="O701" s="3"/>
      <c r="P701" s="4"/>
      <c r="Q701" s="4"/>
      <c r="R701" s="3"/>
      <c r="S701" s="4"/>
      <c r="T701" s="5"/>
      <c r="U701" s="4"/>
      <c r="V701" s="4"/>
      <c r="W701" s="6"/>
      <c r="X701" s="67"/>
      <c r="Y701" s="67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3"/>
      <c r="M702" s="4"/>
      <c r="N702" s="3"/>
      <c r="O702" s="3"/>
      <c r="P702" s="4"/>
      <c r="Q702" s="4"/>
      <c r="R702" s="3"/>
      <c r="S702" s="4"/>
      <c r="T702" s="5"/>
      <c r="U702" s="4"/>
      <c r="V702" s="4"/>
      <c r="W702" s="6"/>
      <c r="X702" s="67"/>
      <c r="Y702" s="67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3"/>
      <c r="M703" s="4"/>
      <c r="N703" s="3"/>
      <c r="O703" s="3"/>
      <c r="P703" s="4"/>
      <c r="Q703" s="4"/>
      <c r="R703" s="3"/>
      <c r="S703" s="4"/>
      <c r="T703" s="5"/>
      <c r="U703" s="4"/>
      <c r="V703" s="4"/>
      <c r="W703" s="6"/>
      <c r="X703" s="67"/>
      <c r="Y703" s="67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3"/>
      <c r="M704" s="4"/>
      <c r="N704" s="3"/>
      <c r="O704" s="3"/>
      <c r="P704" s="4"/>
      <c r="Q704" s="4"/>
      <c r="R704" s="3"/>
      <c r="S704" s="4"/>
      <c r="T704" s="5"/>
      <c r="U704" s="4"/>
      <c r="V704" s="4"/>
      <c r="W704" s="6"/>
      <c r="X704" s="67"/>
      <c r="Y704" s="67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3"/>
      <c r="M705" s="4"/>
      <c r="N705" s="3"/>
      <c r="O705" s="3"/>
      <c r="P705" s="4"/>
      <c r="Q705" s="4"/>
      <c r="R705" s="3"/>
      <c r="S705" s="4"/>
      <c r="T705" s="5"/>
      <c r="U705" s="4"/>
      <c r="V705" s="4"/>
      <c r="W705" s="6"/>
      <c r="X705" s="67"/>
      <c r="Y705" s="67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3"/>
      <c r="M706" s="4"/>
      <c r="N706" s="3"/>
      <c r="O706" s="3"/>
      <c r="P706" s="4"/>
      <c r="Q706" s="4"/>
      <c r="R706" s="3"/>
      <c r="S706" s="4"/>
      <c r="T706" s="5"/>
      <c r="U706" s="4"/>
      <c r="V706" s="4"/>
      <c r="W706" s="6"/>
      <c r="X706" s="67"/>
      <c r="Y706" s="67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3"/>
      <c r="M707" s="4"/>
      <c r="N707" s="3"/>
      <c r="O707" s="3"/>
      <c r="P707" s="4"/>
      <c r="Q707" s="4"/>
      <c r="R707" s="3"/>
      <c r="S707" s="4"/>
      <c r="T707" s="5"/>
      <c r="U707" s="4"/>
      <c r="V707" s="4"/>
      <c r="W707" s="6"/>
      <c r="X707" s="67"/>
      <c r="Y707" s="67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3"/>
      <c r="M708" s="4"/>
      <c r="N708" s="3"/>
      <c r="O708" s="3"/>
      <c r="P708" s="4"/>
      <c r="Q708" s="4"/>
      <c r="R708" s="3"/>
      <c r="S708" s="4"/>
      <c r="T708" s="5"/>
      <c r="U708" s="4"/>
      <c r="V708" s="4"/>
      <c r="W708" s="6"/>
      <c r="X708" s="67"/>
      <c r="Y708" s="67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4"/>
      <c r="N709" s="3"/>
      <c r="O709" s="3"/>
      <c r="P709" s="4"/>
      <c r="Q709" s="4"/>
      <c r="R709" s="3"/>
      <c r="S709" s="4"/>
      <c r="T709" s="5"/>
      <c r="U709" s="4"/>
      <c r="V709" s="4"/>
      <c r="W709" s="6"/>
      <c r="X709" s="67"/>
      <c r="Y709" s="67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4"/>
      <c r="N710" s="3"/>
      <c r="O710" s="3"/>
      <c r="P710" s="4"/>
      <c r="Q710" s="4"/>
      <c r="R710" s="3"/>
      <c r="S710" s="4"/>
      <c r="T710" s="5"/>
      <c r="U710" s="4"/>
      <c r="V710" s="4"/>
      <c r="W710" s="6"/>
      <c r="X710" s="67"/>
      <c r="Y710" s="67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4"/>
      <c r="N711" s="3"/>
      <c r="O711" s="3"/>
      <c r="P711" s="4"/>
      <c r="Q711" s="4"/>
      <c r="R711" s="3"/>
      <c r="S711" s="4"/>
      <c r="T711" s="5"/>
      <c r="U711" s="4"/>
      <c r="V711" s="4"/>
      <c r="W711" s="6"/>
      <c r="X711" s="67"/>
      <c r="Y711" s="67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4"/>
      <c r="N712" s="3"/>
      <c r="O712" s="3"/>
      <c r="P712" s="4"/>
      <c r="Q712" s="4"/>
      <c r="R712" s="3"/>
      <c r="S712" s="4"/>
      <c r="T712" s="5"/>
      <c r="U712" s="4"/>
      <c r="V712" s="4"/>
      <c r="W712" s="6"/>
      <c r="X712" s="67"/>
      <c r="Y712" s="67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3"/>
      <c r="M713" s="4"/>
      <c r="N713" s="3"/>
      <c r="O713" s="3"/>
      <c r="P713" s="4"/>
      <c r="Q713" s="4"/>
      <c r="R713" s="3"/>
      <c r="S713" s="4"/>
      <c r="T713" s="5"/>
      <c r="U713" s="4"/>
      <c r="V713" s="4"/>
      <c r="W713" s="6"/>
      <c r="X713" s="67"/>
      <c r="Y713" s="67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3"/>
      <c r="M714" s="4"/>
      <c r="N714" s="3"/>
      <c r="O714" s="3"/>
      <c r="P714" s="4"/>
      <c r="Q714" s="4"/>
      <c r="R714" s="3"/>
      <c r="S714" s="4"/>
      <c r="T714" s="5"/>
      <c r="U714" s="4"/>
      <c r="V714" s="4"/>
      <c r="W714" s="6"/>
      <c r="X714" s="67"/>
      <c r="Y714" s="67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3"/>
      <c r="M715" s="4"/>
      <c r="N715" s="3"/>
      <c r="O715" s="3"/>
      <c r="P715" s="4"/>
      <c r="Q715" s="4"/>
      <c r="R715" s="3"/>
      <c r="S715" s="4"/>
      <c r="T715" s="5"/>
      <c r="U715" s="4"/>
      <c r="V715" s="4"/>
      <c r="W715" s="6"/>
      <c r="X715" s="67"/>
      <c r="Y715" s="67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4"/>
      <c r="N716" s="3"/>
      <c r="O716" s="3"/>
      <c r="P716" s="4"/>
      <c r="Q716" s="4"/>
      <c r="R716" s="3"/>
      <c r="S716" s="4"/>
      <c r="T716" s="5"/>
      <c r="U716" s="4"/>
      <c r="V716" s="4"/>
      <c r="W716" s="6"/>
      <c r="X716" s="67"/>
      <c r="Y716" s="67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4"/>
      <c r="N717" s="3"/>
      <c r="O717" s="3"/>
      <c r="P717" s="4"/>
      <c r="Q717" s="4"/>
      <c r="R717" s="3"/>
      <c r="S717" s="4"/>
      <c r="T717" s="5"/>
      <c r="U717" s="4"/>
      <c r="V717" s="4"/>
      <c r="W717" s="6"/>
      <c r="X717" s="67"/>
      <c r="Y717" s="67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3"/>
      <c r="M718" s="4"/>
      <c r="N718" s="3"/>
      <c r="O718" s="3"/>
      <c r="P718" s="4"/>
      <c r="Q718" s="4"/>
      <c r="R718" s="3"/>
      <c r="S718" s="4"/>
      <c r="T718" s="5"/>
      <c r="U718" s="4"/>
      <c r="V718" s="4"/>
      <c r="W718" s="6"/>
      <c r="X718" s="67"/>
      <c r="Y718" s="67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3"/>
      <c r="M719" s="4"/>
      <c r="N719" s="3"/>
      <c r="O719" s="3"/>
      <c r="P719" s="4"/>
      <c r="Q719" s="4"/>
      <c r="R719" s="3"/>
      <c r="S719" s="4"/>
      <c r="T719" s="5"/>
      <c r="U719" s="4"/>
      <c r="V719" s="4"/>
      <c r="W719" s="6"/>
      <c r="X719" s="67"/>
      <c r="Y719" s="67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3"/>
      <c r="M720" s="4"/>
      <c r="N720" s="3"/>
      <c r="O720" s="3"/>
      <c r="P720" s="4"/>
      <c r="Q720" s="4"/>
      <c r="R720" s="3"/>
      <c r="S720" s="4"/>
      <c r="T720" s="5"/>
      <c r="U720" s="4"/>
      <c r="V720" s="4"/>
      <c r="W720" s="6"/>
      <c r="X720" s="67"/>
      <c r="Y720" s="67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3"/>
      <c r="M721" s="4"/>
      <c r="N721" s="3"/>
      <c r="O721" s="3"/>
      <c r="P721" s="4"/>
      <c r="Q721" s="4"/>
      <c r="R721" s="3"/>
      <c r="S721" s="4"/>
      <c r="T721" s="5"/>
      <c r="U721" s="4"/>
      <c r="V721" s="4"/>
      <c r="W721" s="6"/>
      <c r="X721" s="67"/>
      <c r="Y721" s="67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3"/>
      <c r="M722" s="4"/>
      <c r="N722" s="3"/>
      <c r="O722" s="3"/>
      <c r="P722" s="4"/>
      <c r="Q722" s="4"/>
      <c r="R722" s="3"/>
      <c r="S722" s="4"/>
      <c r="T722" s="5"/>
      <c r="U722" s="4"/>
      <c r="V722" s="4"/>
      <c r="W722" s="6"/>
      <c r="X722" s="67"/>
      <c r="Y722" s="67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4"/>
      <c r="N723" s="3"/>
      <c r="O723" s="3"/>
      <c r="P723" s="4"/>
      <c r="Q723" s="4"/>
      <c r="R723" s="3"/>
      <c r="S723" s="4"/>
      <c r="T723" s="5"/>
      <c r="U723" s="4"/>
      <c r="V723" s="4"/>
      <c r="W723" s="6"/>
      <c r="X723" s="67"/>
      <c r="Y723" s="67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4"/>
      <c r="N724" s="3"/>
      <c r="O724" s="3"/>
      <c r="P724" s="4"/>
      <c r="Q724" s="4"/>
      <c r="R724" s="3"/>
      <c r="S724" s="4"/>
      <c r="T724" s="5"/>
      <c r="U724" s="4"/>
      <c r="V724" s="4"/>
      <c r="W724" s="6"/>
      <c r="X724" s="67"/>
      <c r="Y724" s="67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4"/>
      <c r="N725" s="3"/>
      <c r="O725" s="3"/>
      <c r="P725" s="4"/>
      <c r="Q725" s="4"/>
      <c r="R725" s="3"/>
      <c r="S725" s="4"/>
      <c r="T725" s="5"/>
      <c r="U725" s="4"/>
      <c r="V725" s="4"/>
      <c r="W725" s="6"/>
      <c r="X725" s="67"/>
      <c r="Y725" s="67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4"/>
      <c r="N726" s="3"/>
      <c r="O726" s="3"/>
      <c r="P726" s="4"/>
      <c r="Q726" s="4"/>
      <c r="R726" s="3"/>
      <c r="S726" s="4"/>
      <c r="T726" s="5"/>
      <c r="U726" s="4"/>
      <c r="V726" s="4"/>
      <c r="W726" s="6"/>
      <c r="X726" s="67"/>
      <c r="Y726" s="67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4"/>
      <c r="N727" s="3"/>
      <c r="O727" s="3"/>
      <c r="P727" s="4"/>
      <c r="Q727" s="4"/>
      <c r="R727" s="3"/>
      <c r="S727" s="4"/>
      <c r="T727" s="5"/>
      <c r="U727" s="4"/>
      <c r="V727" s="4"/>
      <c r="W727" s="6"/>
      <c r="X727" s="67"/>
      <c r="Y727" s="67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4"/>
      <c r="N728" s="3"/>
      <c r="O728" s="3"/>
      <c r="P728" s="4"/>
      <c r="Q728" s="4"/>
      <c r="R728" s="3"/>
      <c r="S728" s="4"/>
      <c r="T728" s="5"/>
      <c r="U728" s="4"/>
      <c r="V728" s="4"/>
      <c r="W728" s="6"/>
      <c r="X728" s="67"/>
      <c r="Y728" s="67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3"/>
      <c r="M729" s="4"/>
      <c r="N729" s="3"/>
      <c r="O729" s="3"/>
      <c r="P729" s="4"/>
      <c r="Q729" s="4"/>
      <c r="R729" s="3"/>
      <c r="S729" s="4"/>
      <c r="T729" s="5"/>
      <c r="U729" s="4"/>
      <c r="V729" s="4"/>
      <c r="W729" s="6"/>
      <c r="X729" s="67"/>
      <c r="Y729" s="67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3"/>
      <c r="M730" s="4"/>
      <c r="N730" s="3"/>
      <c r="O730" s="3"/>
      <c r="P730" s="4"/>
      <c r="Q730" s="4"/>
      <c r="R730" s="3"/>
      <c r="S730" s="4"/>
      <c r="T730" s="5"/>
      <c r="U730" s="4"/>
      <c r="V730" s="4"/>
      <c r="W730" s="6"/>
      <c r="X730" s="67"/>
      <c r="Y730" s="67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3"/>
      <c r="M731" s="4"/>
      <c r="N731" s="3"/>
      <c r="O731" s="3"/>
      <c r="P731" s="4"/>
      <c r="Q731" s="4"/>
      <c r="R731" s="3"/>
      <c r="S731" s="4"/>
      <c r="T731" s="5"/>
      <c r="U731" s="4"/>
      <c r="V731" s="4"/>
      <c r="W731" s="6"/>
      <c r="X731" s="67"/>
      <c r="Y731" s="67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3"/>
      <c r="M732" s="4"/>
      <c r="N732" s="3"/>
      <c r="O732" s="3"/>
      <c r="P732" s="4"/>
      <c r="Q732" s="4"/>
      <c r="R732" s="3"/>
      <c r="S732" s="4"/>
      <c r="T732" s="5"/>
      <c r="U732" s="4"/>
      <c r="V732" s="4"/>
      <c r="W732" s="6"/>
      <c r="X732" s="67"/>
      <c r="Y732" s="67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3"/>
      <c r="M733" s="4"/>
      <c r="N733" s="3"/>
      <c r="O733" s="3"/>
      <c r="P733" s="4"/>
      <c r="Q733" s="4"/>
      <c r="R733" s="3"/>
      <c r="S733" s="4"/>
      <c r="T733" s="5"/>
      <c r="U733" s="4"/>
      <c r="V733" s="4"/>
      <c r="W733" s="6"/>
      <c r="X733" s="67"/>
      <c r="Y733" s="67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3"/>
      <c r="M734" s="4"/>
      <c r="N734" s="3"/>
      <c r="O734" s="3"/>
      <c r="P734" s="4"/>
      <c r="Q734" s="4"/>
      <c r="R734" s="3"/>
      <c r="S734" s="4"/>
      <c r="T734" s="5"/>
      <c r="U734" s="4"/>
      <c r="V734" s="4"/>
      <c r="W734" s="6"/>
      <c r="X734" s="67"/>
      <c r="Y734" s="67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4"/>
      <c r="N735" s="3"/>
      <c r="O735" s="3"/>
      <c r="P735" s="4"/>
      <c r="Q735" s="4"/>
      <c r="R735" s="3"/>
      <c r="S735" s="4"/>
      <c r="T735" s="5"/>
      <c r="U735" s="4"/>
      <c r="V735" s="4"/>
      <c r="W735" s="6"/>
      <c r="X735" s="67"/>
      <c r="Y735" s="67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3"/>
      <c r="M736" s="4"/>
      <c r="N736" s="3"/>
      <c r="O736" s="3"/>
      <c r="P736" s="4"/>
      <c r="Q736" s="4"/>
      <c r="R736" s="3"/>
      <c r="S736" s="4"/>
      <c r="T736" s="5"/>
      <c r="U736" s="4"/>
      <c r="V736" s="4"/>
      <c r="W736" s="6"/>
      <c r="X736" s="67"/>
      <c r="Y736" s="67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3"/>
      <c r="M737" s="4"/>
      <c r="N737" s="3"/>
      <c r="O737" s="3"/>
      <c r="P737" s="4"/>
      <c r="Q737" s="4"/>
      <c r="R737" s="3"/>
      <c r="S737" s="4"/>
      <c r="T737" s="5"/>
      <c r="U737" s="4"/>
      <c r="V737" s="4"/>
      <c r="W737" s="6"/>
      <c r="X737" s="67"/>
      <c r="Y737" s="67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3"/>
      <c r="M738" s="4"/>
      <c r="N738" s="3"/>
      <c r="O738" s="3"/>
      <c r="P738" s="4"/>
      <c r="Q738" s="4"/>
      <c r="R738" s="3"/>
      <c r="S738" s="4"/>
      <c r="T738" s="5"/>
      <c r="U738" s="4"/>
      <c r="V738" s="4"/>
      <c r="W738" s="6"/>
      <c r="X738" s="67"/>
      <c r="Y738" s="67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3"/>
      <c r="M739" s="4"/>
      <c r="N739" s="3"/>
      <c r="O739" s="3"/>
      <c r="P739" s="4"/>
      <c r="Q739" s="4"/>
      <c r="R739" s="3"/>
      <c r="S739" s="4"/>
      <c r="T739" s="5"/>
      <c r="U739" s="4"/>
      <c r="V739" s="4"/>
      <c r="W739" s="6"/>
      <c r="X739" s="67"/>
      <c r="Y739" s="67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3"/>
      <c r="M740" s="4"/>
      <c r="N740" s="3"/>
      <c r="O740" s="3"/>
      <c r="P740" s="4"/>
      <c r="Q740" s="4"/>
      <c r="R740" s="3"/>
      <c r="S740" s="4"/>
      <c r="T740" s="5"/>
      <c r="U740" s="4"/>
      <c r="V740" s="4"/>
      <c r="W740" s="6"/>
      <c r="X740" s="67"/>
      <c r="Y740" s="67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3"/>
      <c r="M741" s="4"/>
      <c r="N741" s="3"/>
      <c r="O741" s="3"/>
      <c r="P741" s="4"/>
      <c r="Q741" s="4"/>
      <c r="R741" s="3"/>
      <c r="S741" s="4"/>
      <c r="T741" s="5"/>
      <c r="U741" s="4"/>
      <c r="V741" s="4"/>
      <c r="W741" s="6"/>
      <c r="X741" s="67"/>
      <c r="Y741" s="67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3"/>
      <c r="M742" s="4"/>
      <c r="N742" s="3"/>
      <c r="O742" s="3"/>
      <c r="P742" s="4"/>
      <c r="Q742" s="4"/>
      <c r="R742" s="3"/>
      <c r="S742" s="4"/>
      <c r="T742" s="5"/>
      <c r="U742" s="4"/>
      <c r="V742" s="4"/>
      <c r="W742" s="6"/>
      <c r="X742" s="67"/>
      <c r="Y742" s="67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3"/>
      <c r="M743" s="4"/>
      <c r="N743" s="3"/>
      <c r="O743" s="3"/>
      <c r="P743" s="4"/>
      <c r="Q743" s="4"/>
      <c r="R743" s="3"/>
      <c r="S743" s="4"/>
      <c r="T743" s="5"/>
      <c r="U743" s="4"/>
      <c r="V743" s="4"/>
      <c r="W743" s="6"/>
      <c r="X743" s="67"/>
      <c r="Y743" s="67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3"/>
      <c r="M744" s="4"/>
      <c r="N744" s="3"/>
      <c r="O744" s="3"/>
      <c r="P744" s="4"/>
      <c r="Q744" s="4"/>
      <c r="R744" s="3"/>
      <c r="S744" s="4"/>
      <c r="T744" s="5"/>
      <c r="U744" s="4"/>
      <c r="V744" s="4"/>
      <c r="W744" s="6"/>
      <c r="X744" s="67"/>
      <c r="Y744" s="67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3"/>
      <c r="M745" s="4"/>
      <c r="N745" s="3"/>
      <c r="O745" s="3"/>
      <c r="P745" s="4"/>
      <c r="Q745" s="4"/>
      <c r="R745" s="3"/>
      <c r="S745" s="4"/>
      <c r="T745" s="5"/>
      <c r="U745" s="4"/>
      <c r="V745" s="4"/>
      <c r="W745" s="6"/>
      <c r="X745" s="67"/>
      <c r="Y745" s="67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3"/>
      <c r="M746" s="4"/>
      <c r="N746" s="3"/>
      <c r="O746" s="3"/>
      <c r="P746" s="4"/>
      <c r="Q746" s="4"/>
      <c r="R746" s="3"/>
      <c r="S746" s="4"/>
      <c r="T746" s="5"/>
      <c r="U746" s="4"/>
      <c r="V746" s="4"/>
      <c r="W746" s="6"/>
      <c r="X746" s="67"/>
      <c r="Y746" s="67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3"/>
      <c r="M747" s="4"/>
      <c r="N747" s="3"/>
      <c r="O747" s="3"/>
      <c r="P747" s="4"/>
      <c r="Q747" s="4"/>
      <c r="R747" s="3"/>
      <c r="S747" s="4"/>
      <c r="T747" s="5"/>
      <c r="U747" s="4"/>
      <c r="V747" s="4"/>
      <c r="W747" s="6"/>
      <c r="X747" s="67"/>
      <c r="Y747" s="67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3"/>
      <c r="M748" s="4"/>
      <c r="N748" s="3"/>
      <c r="O748" s="3"/>
      <c r="P748" s="4"/>
      <c r="Q748" s="4"/>
      <c r="R748" s="3"/>
      <c r="S748" s="4"/>
      <c r="T748" s="5"/>
      <c r="U748" s="4"/>
      <c r="V748" s="4"/>
      <c r="W748" s="6"/>
      <c r="X748" s="67"/>
      <c r="Y748" s="67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3"/>
      <c r="M749" s="4"/>
      <c r="N749" s="3"/>
      <c r="O749" s="3"/>
      <c r="P749" s="4"/>
      <c r="Q749" s="4"/>
      <c r="R749" s="3"/>
      <c r="S749" s="4"/>
      <c r="T749" s="5"/>
      <c r="U749" s="4"/>
      <c r="V749" s="4"/>
      <c r="W749" s="6"/>
      <c r="X749" s="67"/>
      <c r="Y749" s="67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3"/>
      <c r="M750" s="4"/>
      <c r="N750" s="3"/>
      <c r="O750" s="3"/>
      <c r="P750" s="4"/>
      <c r="Q750" s="4"/>
      <c r="R750" s="3"/>
      <c r="S750" s="4"/>
      <c r="T750" s="5"/>
      <c r="U750" s="4"/>
      <c r="V750" s="4"/>
      <c r="W750" s="6"/>
      <c r="X750" s="67"/>
      <c r="Y750" s="67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3"/>
      <c r="M751" s="4"/>
      <c r="N751" s="3"/>
      <c r="O751" s="3"/>
      <c r="P751" s="4"/>
      <c r="Q751" s="4"/>
      <c r="R751" s="3"/>
      <c r="S751" s="4"/>
      <c r="T751" s="5"/>
      <c r="U751" s="4"/>
      <c r="V751" s="4"/>
      <c r="W751" s="6"/>
      <c r="X751" s="67"/>
      <c r="Y751" s="67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3"/>
      <c r="M752" s="4"/>
      <c r="N752" s="3"/>
      <c r="O752" s="3"/>
      <c r="P752" s="4"/>
      <c r="Q752" s="4"/>
      <c r="R752" s="3"/>
      <c r="S752" s="4"/>
      <c r="T752" s="5"/>
      <c r="U752" s="4"/>
      <c r="V752" s="4"/>
      <c r="W752" s="6"/>
      <c r="X752" s="67"/>
      <c r="Y752" s="67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3"/>
      <c r="M753" s="4"/>
      <c r="N753" s="3"/>
      <c r="O753" s="3"/>
      <c r="P753" s="4"/>
      <c r="Q753" s="4"/>
      <c r="R753" s="3"/>
      <c r="S753" s="4"/>
      <c r="T753" s="5"/>
      <c r="U753" s="4"/>
      <c r="V753" s="4"/>
      <c r="W753" s="6"/>
      <c r="X753" s="67"/>
      <c r="Y753" s="67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3"/>
      <c r="M754" s="4"/>
      <c r="N754" s="3"/>
      <c r="O754" s="3"/>
      <c r="P754" s="4"/>
      <c r="Q754" s="4"/>
      <c r="R754" s="3"/>
      <c r="S754" s="4"/>
      <c r="T754" s="5"/>
      <c r="U754" s="4"/>
      <c r="V754" s="4"/>
      <c r="W754" s="6"/>
      <c r="X754" s="67"/>
      <c r="Y754" s="67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3"/>
      <c r="M755" s="4"/>
      <c r="N755" s="3"/>
      <c r="O755" s="3"/>
      <c r="P755" s="4"/>
      <c r="Q755" s="4"/>
      <c r="R755" s="3"/>
      <c r="S755" s="4"/>
      <c r="T755" s="5"/>
      <c r="U755" s="4"/>
      <c r="V755" s="4"/>
      <c r="W755" s="6"/>
      <c r="X755" s="67"/>
      <c r="Y755" s="67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3"/>
      <c r="M756" s="4"/>
      <c r="N756" s="3"/>
      <c r="O756" s="3"/>
      <c r="P756" s="4"/>
      <c r="Q756" s="4"/>
      <c r="R756" s="3"/>
      <c r="S756" s="4"/>
      <c r="T756" s="5"/>
      <c r="U756" s="4"/>
      <c r="V756" s="4"/>
      <c r="W756" s="6"/>
      <c r="X756" s="67"/>
      <c r="Y756" s="67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3"/>
      <c r="M757" s="4"/>
      <c r="N757" s="3"/>
      <c r="O757" s="3"/>
      <c r="P757" s="4"/>
      <c r="Q757" s="4"/>
      <c r="R757" s="3"/>
      <c r="S757" s="4"/>
      <c r="T757" s="5"/>
      <c r="U757" s="4"/>
      <c r="V757" s="4"/>
      <c r="W757" s="6"/>
      <c r="X757" s="67"/>
      <c r="Y757" s="67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3"/>
      <c r="M758" s="4"/>
      <c r="N758" s="3"/>
      <c r="O758" s="3"/>
      <c r="P758" s="4"/>
      <c r="Q758" s="4"/>
      <c r="R758" s="3"/>
      <c r="S758" s="4"/>
      <c r="T758" s="5"/>
      <c r="U758" s="4"/>
      <c r="V758" s="4"/>
      <c r="W758" s="6"/>
      <c r="X758" s="67"/>
      <c r="Y758" s="67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3"/>
      <c r="M759" s="4"/>
      <c r="N759" s="3"/>
      <c r="O759" s="3"/>
      <c r="P759" s="4"/>
      <c r="Q759" s="4"/>
      <c r="R759" s="3"/>
      <c r="S759" s="4"/>
      <c r="T759" s="5"/>
      <c r="U759" s="4"/>
      <c r="V759" s="4"/>
      <c r="W759" s="6"/>
      <c r="X759" s="67"/>
      <c r="Y759" s="67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3"/>
      <c r="M760" s="4"/>
      <c r="N760" s="3"/>
      <c r="O760" s="3"/>
      <c r="P760" s="4"/>
      <c r="Q760" s="4"/>
      <c r="R760" s="3"/>
      <c r="S760" s="4"/>
      <c r="T760" s="5"/>
      <c r="U760" s="4"/>
      <c r="V760" s="4"/>
      <c r="W760" s="6"/>
      <c r="X760" s="67"/>
      <c r="Y760" s="67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3"/>
      <c r="M761" s="4"/>
      <c r="N761" s="3"/>
      <c r="O761" s="3"/>
      <c r="P761" s="4"/>
      <c r="Q761" s="4"/>
      <c r="R761" s="3"/>
      <c r="S761" s="4"/>
      <c r="T761" s="5"/>
      <c r="U761" s="4"/>
      <c r="V761" s="4"/>
      <c r="W761" s="6"/>
      <c r="X761" s="67"/>
      <c r="Y761" s="67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3"/>
      <c r="M762" s="4"/>
      <c r="N762" s="3"/>
      <c r="O762" s="3"/>
      <c r="P762" s="4"/>
      <c r="Q762" s="4"/>
      <c r="R762" s="3"/>
      <c r="S762" s="4"/>
      <c r="T762" s="5"/>
      <c r="U762" s="4"/>
      <c r="V762" s="4"/>
      <c r="W762" s="6"/>
      <c r="X762" s="67"/>
      <c r="Y762" s="67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3"/>
      <c r="M763" s="4"/>
      <c r="N763" s="3"/>
      <c r="O763" s="3"/>
      <c r="P763" s="4"/>
      <c r="Q763" s="4"/>
      <c r="R763" s="3"/>
      <c r="S763" s="4"/>
      <c r="T763" s="5"/>
      <c r="U763" s="4"/>
      <c r="V763" s="4"/>
      <c r="W763" s="6"/>
      <c r="X763" s="67"/>
      <c r="Y763" s="67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3"/>
      <c r="M764" s="4"/>
      <c r="N764" s="3"/>
      <c r="O764" s="3"/>
      <c r="P764" s="4"/>
      <c r="Q764" s="4"/>
      <c r="R764" s="3"/>
      <c r="S764" s="4"/>
      <c r="T764" s="5"/>
      <c r="U764" s="4"/>
      <c r="V764" s="4"/>
      <c r="W764" s="6"/>
      <c r="X764" s="67"/>
      <c r="Y764" s="67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3"/>
      <c r="M765" s="4"/>
      <c r="N765" s="3"/>
      <c r="O765" s="3"/>
      <c r="P765" s="4"/>
      <c r="Q765" s="4"/>
      <c r="R765" s="3"/>
      <c r="S765" s="4"/>
      <c r="T765" s="5"/>
      <c r="U765" s="4"/>
      <c r="V765" s="4"/>
      <c r="W765" s="6"/>
      <c r="X765" s="67"/>
      <c r="Y765" s="67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3"/>
      <c r="M766" s="4"/>
      <c r="N766" s="3"/>
      <c r="O766" s="3"/>
      <c r="P766" s="4"/>
      <c r="Q766" s="4"/>
      <c r="R766" s="3"/>
      <c r="S766" s="4"/>
      <c r="T766" s="5"/>
      <c r="U766" s="4"/>
      <c r="V766" s="4"/>
      <c r="W766" s="6"/>
      <c r="X766" s="67"/>
      <c r="Y766" s="67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3"/>
      <c r="M767" s="4"/>
      <c r="N767" s="3"/>
      <c r="O767" s="3"/>
      <c r="P767" s="4"/>
      <c r="Q767" s="4"/>
      <c r="R767" s="3"/>
      <c r="S767" s="4"/>
      <c r="T767" s="5"/>
      <c r="U767" s="4"/>
      <c r="V767" s="4"/>
      <c r="W767" s="6"/>
      <c r="X767" s="67"/>
      <c r="Y767" s="67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3"/>
      <c r="M768" s="4"/>
      <c r="N768" s="3"/>
      <c r="O768" s="3"/>
      <c r="P768" s="4"/>
      <c r="Q768" s="4"/>
      <c r="R768" s="3"/>
      <c r="S768" s="4"/>
      <c r="T768" s="5"/>
      <c r="U768" s="4"/>
      <c r="V768" s="4"/>
      <c r="W768" s="6"/>
      <c r="X768" s="67"/>
      <c r="Y768" s="67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3"/>
      <c r="M769" s="4"/>
      <c r="N769" s="3"/>
      <c r="O769" s="3"/>
      <c r="P769" s="4"/>
      <c r="Q769" s="4"/>
      <c r="R769" s="3"/>
      <c r="S769" s="4"/>
      <c r="T769" s="5"/>
      <c r="U769" s="4"/>
      <c r="V769" s="4"/>
      <c r="W769" s="6"/>
      <c r="X769" s="67"/>
      <c r="Y769" s="67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3"/>
      <c r="M770" s="4"/>
      <c r="N770" s="3"/>
      <c r="O770" s="3"/>
      <c r="P770" s="4"/>
      <c r="Q770" s="4"/>
      <c r="R770" s="3"/>
      <c r="S770" s="4"/>
      <c r="T770" s="5"/>
      <c r="U770" s="4"/>
      <c r="V770" s="4"/>
      <c r="W770" s="6"/>
      <c r="X770" s="67"/>
      <c r="Y770" s="67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3"/>
      <c r="M771" s="4"/>
      <c r="N771" s="3"/>
      <c r="O771" s="3"/>
      <c r="P771" s="4"/>
      <c r="Q771" s="4"/>
      <c r="R771" s="3"/>
      <c r="S771" s="4"/>
      <c r="T771" s="5"/>
      <c r="U771" s="4"/>
      <c r="V771" s="4"/>
      <c r="W771" s="6"/>
      <c r="X771" s="67"/>
      <c r="Y771" s="67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3"/>
      <c r="M772" s="4"/>
      <c r="N772" s="3"/>
      <c r="O772" s="3"/>
      <c r="P772" s="4"/>
      <c r="Q772" s="4"/>
      <c r="R772" s="3"/>
      <c r="S772" s="4"/>
      <c r="T772" s="5"/>
      <c r="U772" s="4"/>
      <c r="V772" s="4"/>
      <c r="W772" s="6"/>
      <c r="X772" s="67"/>
      <c r="Y772" s="67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3"/>
      <c r="M773" s="4"/>
      <c r="N773" s="3"/>
      <c r="O773" s="3"/>
      <c r="P773" s="4"/>
      <c r="Q773" s="4"/>
      <c r="R773" s="3"/>
      <c r="S773" s="4"/>
      <c r="T773" s="5"/>
      <c r="U773" s="4"/>
      <c r="V773" s="4"/>
      <c r="W773" s="6"/>
      <c r="X773" s="67"/>
      <c r="Y773" s="67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3"/>
      <c r="M774" s="4"/>
      <c r="N774" s="3"/>
      <c r="O774" s="3"/>
      <c r="P774" s="4"/>
      <c r="Q774" s="4"/>
      <c r="R774" s="3"/>
      <c r="S774" s="4"/>
      <c r="T774" s="5"/>
      <c r="U774" s="4"/>
      <c r="V774" s="4"/>
      <c r="W774" s="6"/>
      <c r="X774" s="67"/>
      <c r="Y774" s="67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3"/>
      <c r="M775" s="4"/>
      <c r="N775" s="3"/>
      <c r="O775" s="3"/>
      <c r="P775" s="4"/>
      <c r="Q775" s="4"/>
      <c r="R775" s="3"/>
      <c r="S775" s="4"/>
      <c r="T775" s="5"/>
      <c r="U775" s="4"/>
      <c r="V775" s="4"/>
      <c r="W775" s="6"/>
      <c r="X775" s="67"/>
      <c r="Y775" s="67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3"/>
      <c r="M776" s="4"/>
      <c r="N776" s="3"/>
      <c r="O776" s="3"/>
      <c r="P776" s="4"/>
      <c r="Q776" s="4"/>
      <c r="R776" s="3"/>
      <c r="S776" s="4"/>
      <c r="T776" s="5"/>
      <c r="U776" s="4"/>
      <c r="V776" s="4"/>
      <c r="W776" s="6"/>
      <c r="X776" s="67"/>
      <c r="Y776" s="67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3"/>
      <c r="M777" s="4"/>
      <c r="N777" s="3"/>
      <c r="O777" s="3"/>
      <c r="P777" s="4"/>
      <c r="Q777" s="4"/>
      <c r="R777" s="3"/>
      <c r="S777" s="4"/>
      <c r="T777" s="5"/>
      <c r="U777" s="4"/>
      <c r="V777" s="4"/>
      <c r="W777" s="6"/>
      <c r="X777" s="67"/>
      <c r="Y777" s="67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3"/>
      <c r="M778" s="4"/>
      <c r="N778" s="3"/>
      <c r="O778" s="3"/>
      <c r="P778" s="4"/>
      <c r="Q778" s="4"/>
      <c r="R778" s="3"/>
      <c r="S778" s="4"/>
      <c r="T778" s="5"/>
      <c r="U778" s="4"/>
      <c r="V778" s="4"/>
      <c r="W778" s="6"/>
      <c r="X778" s="67"/>
      <c r="Y778" s="67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3"/>
      <c r="M779" s="4"/>
      <c r="N779" s="3"/>
      <c r="O779" s="3"/>
      <c r="P779" s="4"/>
      <c r="Q779" s="4"/>
      <c r="R779" s="3"/>
      <c r="S779" s="4"/>
      <c r="T779" s="5"/>
      <c r="U779" s="4"/>
      <c r="V779" s="4"/>
      <c r="W779" s="6"/>
      <c r="X779" s="67"/>
      <c r="Y779" s="67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3"/>
      <c r="M780" s="4"/>
      <c r="N780" s="3"/>
      <c r="O780" s="3"/>
      <c r="P780" s="4"/>
      <c r="Q780" s="4"/>
      <c r="R780" s="3"/>
      <c r="S780" s="4"/>
      <c r="T780" s="5"/>
      <c r="U780" s="4"/>
      <c r="V780" s="4"/>
      <c r="W780" s="6"/>
      <c r="X780" s="67"/>
      <c r="Y780" s="67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3"/>
      <c r="M781" s="4"/>
      <c r="N781" s="3"/>
      <c r="O781" s="3"/>
      <c r="P781" s="4"/>
      <c r="Q781" s="4"/>
      <c r="R781" s="3"/>
      <c r="S781" s="4"/>
      <c r="T781" s="5"/>
      <c r="U781" s="4"/>
      <c r="V781" s="4"/>
      <c r="W781" s="6"/>
      <c r="X781" s="67"/>
      <c r="Y781" s="67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3"/>
      <c r="M782" s="4"/>
      <c r="N782" s="3"/>
      <c r="O782" s="3"/>
      <c r="P782" s="4"/>
      <c r="Q782" s="4"/>
      <c r="R782" s="3"/>
      <c r="S782" s="4"/>
      <c r="T782" s="5"/>
      <c r="U782" s="4"/>
      <c r="V782" s="4"/>
      <c r="W782" s="6"/>
      <c r="X782" s="67"/>
      <c r="Y782" s="67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3"/>
      <c r="M783" s="4"/>
      <c r="N783" s="3"/>
      <c r="O783" s="3"/>
      <c r="P783" s="4"/>
      <c r="Q783" s="4"/>
      <c r="R783" s="3"/>
      <c r="S783" s="4"/>
      <c r="T783" s="5"/>
      <c r="U783" s="4"/>
      <c r="V783" s="4"/>
      <c r="W783" s="6"/>
      <c r="X783" s="67"/>
      <c r="Y783" s="67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3"/>
      <c r="M784" s="4"/>
      <c r="N784" s="3"/>
      <c r="O784" s="3"/>
      <c r="P784" s="4"/>
      <c r="Q784" s="4"/>
      <c r="R784" s="3"/>
      <c r="S784" s="4"/>
      <c r="T784" s="5"/>
      <c r="U784" s="4"/>
      <c r="V784" s="4"/>
      <c r="W784" s="6"/>
      <c r="X784" s="67"/>
      <c r="Y784" s="67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3"/>
      <c r="M785" s="4"/>
      <c r="N785" s="3"/>
      <c r="O785" s="3"/>
      <c r="P785" s="4"/>
      <c r="Q785" s="4"/>
      <c r="R785" s="3"/>
      <c r="S785" s="4"/>
      <c r="T785" s="5"/>
      <c r="U785" s="4"/>
      <c r="V785" s="4"/>
      <c r="W785" s="6"/>
      <c r="X785" s="67"/>
      <c r="Y785" s="67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3"/>
      <c r="M786" s="4"/>
      <c r="N786" s="3"/>
      <c r="O786" s="3"/>
      <c r="P786" s="4"/>
      <c r="Q786" s="4"/>
      <c r="R786" s="3"/>
      <c r="S786" s="4"/>
      <c r="T786" s="5"/>
      <c r="U786" s="4"/>
      <c r="V786" s="4"/>
      <c r="W786" s="6"/>
      <c r="X786" s="67"/>
      <c r="Y786" s="67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3"/>
      <c r="M787" s="4"/>
      <c r="N787" s="3"/>
      <c r="O787" s="3"/>
      <c r="P787" s="4"/>
      <c r="Q787" s="4"/>
      <c r="R787" s="3"/>
      <c r="S787" s="4"/>
      <c r="T787" s="5"/>
      <c r="U787" s="4"/>
      <c r="V787" s="4"/>
      <c r="W787" s="6"/>
      <c r="X787" s="67"/>
      <c r="Y787" s="67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3"/>
      <c r="M788" s="4"/>
      <c r="N788" s="3"/>
      <c r="O788" s="3"/>
      <c r="P788" s="4"/>
      <c r="Q788" s="4"/>
      <c r="R788" s="3"/>
      <c r="S788" s="4"/>
      <c r="T788" s="5"/>
      <c r="U788" s="4"/>
      <c r="V788" s="4"/>
      <c r="W788" s="6"/>
      <c r="X788" s="67"/>
      <c r="Y788" s="67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3"/>
      <c r="M789" s="4"/>
      <c r="N789" s="3"/>
      <c r="O789" s="3"/>
      <c r="P789" s="4"/>
      <c r="Q789" s="4"/>
      <c r="R789" s="3"/>
      <c r="S789" s="4"/>
      <c r="T789" s="5"/>
      <c r="U789" s="4"/>
      <c r="V789" s="4"/>
      <c r="W789" s="6"/>
      <c r="X789" s="67"/>
      <c r="Y789" s="67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3"/>
      <c r="M790" s="4"/>
      <c r="N790" s="3"/>
      <c r="O790" s="3"/>
      <c r="P790" s="4"/>
      <c r="Q790" s="4"/>
      <c r="R790" s="3"/>
      <c r="S790" s="4"/>
      <c r="T790" s="5"/>
      <c r="U790" s="4"/>
      <c r="V790" s="4"/>
      <c r="W790" s="6"/>
      <c r="X790" s="67"/>
      <c r="Y790" s="67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3"/>
      <c r="M791" s="4"/>
      <c r="N791" s="3"/>
      <c r="O791" s="3"/>
      <c r="P791" s="4"/>
      <c r="Q791" s="4"/>
      <c r="R791" s="3"/>
      <c r="S791" s="4"/>
      <c r="T791" s="5"/>
      <c r="U791" s="4"/>
      <c r="V791" s="4"/>
      <c r="W791" s="6"/>
      <c r="X791" s="67"/>
      <c r="Y791" s="67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3"/>
      <c r="M792" s="4"/>
      <c r="N792" s="3"/>
      <c r="O792" s="3"/>
      <c r="P792" s="4"/>
      <c r="Q792" s="4"/>
      <c r="R792" s="3"/>
      <c r="S792" s="4"/>
      <c r="T792" s="5"/>
      <c r="U792" s="4"/>
      <c r="V792" s="4"/>
      <c r="W792" s="6"/>
      <c r="X792" s="67"/>
      <c r="Y792" s="67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3"/>
      <c r="M793" s="4"/>
      <c r="N793" s="3"/>
      <c r="O793" s="3"/>
      <c r="P793" s="4"/>
      <c r="Q793" s="4"/>
      <c r="R793" s="3"/>
      <c r="S793" s="4"/>
      <c r="T793" s="5"/>
      <c r="U793" s="4"/>
      <c r="V793" s="4"/>
      <c r="W793" s="6"/>
      <c r="X793" s="67"/>
      <c r="Y793" s="67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3"/>
      <c r="M794" s="4"/>
      <c r="N794" s="3"/>
      <c r="O794" s="3"/>
      <c r="P794" s="4"/>
      <c r="Q794" s="4"/>
      <c r="R794" s="3"/>
      <c r="S794" s="4"/>
      <c r="T794" s="5"/>
      <c r="U794" s="4"/>
      <c r="V794" s="4"/>
      <c r="W794" s="6"/>
      <c r="X794" s="67"/>
      <c r="Y794" s="67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3"/>
      <c r="M795" s="4"/>
      <c r="N795" s="3"/>
      <c r="O795" s="3"/>
      <c r="P795" s="4"/>
      <c r="Q795" s="4"/>
      <c r="R795" s="3"/>
      <c r="S795" s="4"/>
      <c r="T795" s="5"/>
      <c r="U795" s="4"/>
      <c r="V795" s="4"/>
      <c r="W795" s="6"/>
      <c r="X795" s="67"/>
      <c r="Y795" s="67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3"/>
      <c r="M796" s="4"/>
      <c r="N796" s="3"/>
      <c r="O796" s="3"/>
      <c r="P796" s="4"/>
      <c r="Q796" s="4"/>
      <c r="R796" s="3"/>
      <c r="S796" s="4"/>
      <c r="T796" s="5"/>
      <c r="U796" s="4"/>
      <c r="V796" s="4"/>
      <c r="W796" s="6"/>
      <c r="X796" s="67"/>
      <c r="Y796" s="67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3"/>
      <c r="M797" s="4"/>
      <c r="N797" s="3"/>
      <c r="O797" s="3"/>
      <c r="P797" s="4"/>
      <c r="Q797" s="4"/>
      <c r="R797" s="3"/>
      <c r="S797" s="4"/>
      <c r="T797" s="5"/>
      <c r="U797" s="4"/>
      <c r="V797" s="4"/>
      <c r="W797" s="6"/>
      <c r="X797" s="67"/>
      <c r="Y797" s="67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3"/>
      <c r="M798" s="4"/>
      <c r="N798" s="3"/>
      <c r="O798" s="3"/>
      <c r="P798" s="4"/>
      <c r="Q798" s="4"/>
      <c r="R798" s="3"/>
      <c r="S798" s="4"/>
      <c r="T798" s="5"/>
      <c r="U798" s="4"/>
      <c r="V798" s="4"/>
      <c r="W798" s="6"/>
      <c r="X798" s="67"/>
      <c r="Y798" s="67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3"/>
      <c r="M799" s="4"/>
      <c r="N799" s="3"/>
      <c r="O799" s="3"/>
      <c r="P799" s="4"/>
      <c r="Q799" s="4"/>
      <c r="R799" s="3"/>
      <c r="S799" s="4"/>
      <c r="T799" s="5"/>
      <c r="U799" s="4"/>
      <c r="V799" s="4"/>
      <c r="W799" s="6"/>
      <c r="X799" s="67"/>
      <c r="Y799" s="67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3"/>
      <c r="M800" s="4"/>
      <c r="N800" s="3"/>
      <c r="O800" s="3"/>
      <c r="P800" s="4"/>
      <c r="Q800" s="4"/>
      <c r="R800" s="3"/>
      <c r="S800" s="4"/>
      <c r="T800" s="5"/>
      <c r="U800" s="4"/>
      <c r="V800" s="4"/>
      <c r="W800" s="6"/>
      <c r="X800" s="67"/>
      <c r="Y800" s="67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3"/>
      <c r="M801" s="4"/>
      <c r="N801" s="3"/>
      <c r="O801" s="3"/>
      <c r="P801" s="4"/>
      <c r="Q801" s="4"/>
      <c r="R801" s="3"/>
      <c r="S801" s="4"/>
      <c r="T801" s="5"/>
      <c r="U801" s="4"/>
      <c r="V801" s="4"/>
      <c r="W801" s="6"/>
      <c r="X801" s="67"/>
      <c r="Y801" s="67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3"/>
      <c r="M802" s="4"/>
      <c r="N802" s="3"/>
      <c r="O802" s="3"/>
      <c r="P802" s="4"/>
      <c r="Q802" s="4"/>
      <c r="R802" s="3"/>
      <c r="S802" s="4"/>
      <c r="T802" s="5"/>
      <c r="U802" s="4"/>
      <c r="V802" s="4"/>
      <c r="W802" s="6"/>
      <c r="X802" s="67"/>
      <c r="Y802" s="67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3"/>
      <c r="M803" s="4"/>
      <c r="N803" s="3"/>
      <c r="O803" s="3"/>
      <c r="P803" s="4"/>
      <c r="Q803" s="4"/>
      <c r="R803" s="3"/>
      <c r="S803" s="4"/>
      <c r="T803" s="5"/>
      <c r="U803" s="4"/>
      <c r="V803" s="4"/>
      <c r="W803" s="6"/>
      <c r="X803" s="67"/>
      <c r="Y803" s="67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3"/>
      <c r="M804" s="4"/>
      <c r="N804" s="3"/>
      <c r="O804" s="3"/>
      <c r="P804" s="4"/>
      <c r="Q804" s="4"/>
      <c r="R804" s="3"/>
      <c r="S804" s="4"/>
      <c r="T804" s="5"/>
      <c r="U804" s="4"/>
      <c r="V804" s="4"/>
      <c r="W804" s="6"/>
      <c r="X804" s="67"/>
      <c r="Y804" s="67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3"/>
      <c r="M805" s="4"/>
      <c r="N805" s="3"/>
      <c r="O805" s="3"/>
      <c r="P805" s="4"/>
      <c r="Q805" s="4"/>
      <c r="R805" s="3"/>
      <c r="S805" s="4"/>
      <c r="T805" s="5"/>
      <c r="U805" s="4"/>
      <c r="V805" s="4"/>
      <c r="W805" s="6"/>
      <c r="X805" s="67"/>
      <c r="Y805" s="67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3"/>
      <c r="M806" s="4"/>
      <c r="N806" s="3"/>
      <c r="O806" s="3"/>
      <c r="P806" s="4"/>
      <c r="Q806" s="4"/>
      <c r="R806" s="3"/>
      <c r="S806" s="4"/>
      <c r="T806" s="5"/>
      <c r="U806" s="4"/>
      <c r="V806" s="4"/>
      <c r="W806" s="6"/>
      <c r="X806" s="67"/>
      <c r="Y806" s="67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3"/>
      <c r="M807" s="4"/>
      <c r="N807" s="3"/>
      <c r="O807" s="3"/>
      <c r="P807" s="4"/>
      <c r="Q807" s="4"/>
      <c r="R807" s="3"/>
      <c r="S807" s="4"/>
      <c r="T807" s="5"/>
      <c r="U807" s="4"/>
      <c r="V807" s="4"/>
      <c r="W807" s="6"/>
      <c r="X807" s="67"/>
      <c r="Y807" s="67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3"/>
      <c r="M808" s="4"/>
      <c r="N808" s="3"/>
      <c r="O808" s="3"/>
      <c r="P808" s="4"/>
      <c r="Q808" s="4"/>
      <c r="R808" s="3"/>
      <c r="S808" s="4"/>
      <c r="T808" s="5"/>
      <c r="U808" s="4"/>
      <c r="V808" s="4"/>
      <c r="W808" s="6"/>
      <c r="X808" s="67"/>
      <c r="Y808" s="67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/>
      <c r="M809" s="4"/>
      <c r="N809" s="3"/>
      <c r="O809" s="3"/>
      <c r="P809" s="4"/>
      <c r="Q809" s="4"/>
      <c r="R809" s="3"/>
      <c r="S809" s="4"/>
      <c r="T809" s="5"/>
      <c r="U809" s="4"/>
      <c r="V809" s="4"/>
      <c r="W809" s="6"/>
      <c r="X809" s="67"/>
      <c r="Y809" s="67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4"/>
      <c r="N810" s="3"/>
      <c r="O810" s="3"/>
      <c r="P810" s="4"/>
      <c r="Q810" s="4"/>
      <c r="R810" s="3"/>
      <c r="S810" s="4"/>
      <c r="T810" s="5"/>
      <c r="U810" s="4"/>
      <c r="V810" s="4"/>
      <c r="W810" s="6"/>
      <c r="X810" s="67"/>
      <c r="Y810" s="67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4"/>
      <c r="N811" s="3"/>
      <c r="O811" s="3"/>
      <c r="P811" s="4"/>
      <c r="Q811" s="4"/>
      <c r="R811" s="3"/>
      <c r="S811" s="4"/>
      <c r="T811" s="5"/>
      <c r="U811" s="4"/>
      <c r="V811" s="4"/>
      <c r="W811" s="6"/>
      <c r="X811" s="67"/>
      <c r="Y811" s="67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4"/>
      <c r="N812" s="3"/>
      <c r="O812" s="3"/>
      <c r="P812" s="4"/>
      <c r="Q812" s="4"/>
      <c r="R812" s="3"/>
      <c r="S812" s="4"/>
      <c r="T812" s="5"/>
      <c r="U812" s="4"/>
      <c r="V812" s="4"/>
      <c r="W812" s="6"/>
      <c r="X812" s="67"/>
      <c r="Y812" s="67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4"/>
      <c r="N813" s="3"/>
      <c r="O813" s="3"/>
      <c r="P813" s="4"/>
      <c r="Q813" s="4"/>
      <c r="R813" s="3"/>
      <c r="S813" s="4"/>
      <c r="T813" s="5"/>
      <c r="U813" s="4"/>
      <c r="V813" s="4"/>
      <c r="W813" s="6"/>
      <c r="X813" s="67"/>
      <c r="Y813" s="67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4"/>
      <c r="N814" s="3"/>
      <c r="O814" s="3"/>
      <c r="P814" s="4"/>
      <c r="Q814" s="4"/>
      <c r="R814" s="3"/>
      <c r="S814" s="4"/>
      <c r="T814" s="5"/>
      <c r="U814" s="4"/>
      <c r="V814" s="4"/>
      <c r="W814" s="6"/>
      <c r="X814" s="67"/>
      <c r="Y814" s="67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4"/>
      <c r="N815" s="3"/>
      <c r="O815" s="3"/>
      <c r="P815" s="4"/>
      <c r="Q815" s="4"/>
      <c r="R815" s="3"/>
      <c r="S815" s="4"/>
      <c r="T815" s="5"/>
      <c r="U815" s="4"/>
      <c r="V815" s="4"/>
      <c r="W815" s="6"/>
      <c r="X815" s="67"/>
      <c r="Y815" s="67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4"/>
      <c r="N816" s="3"/>
      <c r="O816" s="3"/>
      <c r="P816" s="4"/>
      <c r="Q816" s="4"/>
      <c r="R816" s="3"/>
      <c r="S816" s="4"/>
      <c r="T816" s="5"/>
      <c r="U816" s="4"/>
      <c r="V816" s="4"/>
      <c r="W816" s="6"/>
      <c r="X816" s="67"/>
      <c r="Y816" s="67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4"/>
      <c r="N817" s="3"/>
      <c r="O817" s="3"/>
      <c r="P817" s="4"/>
      <c r="Q817" s="4"/>
      <c r="R817" s="3"/>
      <c r="S817" s="4"/>
      <c r="T817" s="5"/>
      <c r="U817" s="4"/>
      <c r="V817" s="4"/>
      <c r="W817" s="6"/>
      <c r="X817" s="67"/>
      <c r="Y817" s="67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4"/>
      <c r="N818" s="3"/>
      <c r="O818" s="3"/>
      <c r="P818" s="4"/>
      <c r="Q818" s="4"/>
      <c r="R818" s="3"/>
      <c r="S818" s="4"/>
      <c r="T818" s="5"/>
      <c r="U818" s="4"/>
      <c r="V818" s="4"/>
      <c r="W818" s="6"/>
      <c r="X818" s="67"/>
      <c r="Y818" s="67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4"/>
      <c r="N819" s="3"/>
      <c r="O819" s="3"/>
      <c r="P819" s="4"/>
      <c r="Q819" s="4"/>
      <c r="R819" s="3"/>
      <c r="S819" s="4"/>
      <c r="T819" s="5"/>
      <c r="U819" s="4"/>
      <c r="V819" s="4"/>
      <c r="W819" s="6"/>
      <c r="X819" s="67"/>
      <c r="Y819" s="67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4"/>
      <c r="N820" s="3"/>
      <c r="O820" s="3"/>
      <c r="P820" s="4"/>
      <c r="Q820" s="4"/>
      <c r="R820" s="3"/>
      <c r="S820" s="4"/>
      <c r="T820" s="5"/>
      <c r="U820" s="4"/>
      <c r="V820" s="4"/>
      <c r="W820" s="6"/>
      <c r="X820" s="67"/>
      <c r="Y820" s="67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4"/>
      <c r="N821" s="3"/>
      <c r="O821" s="3"/>
      <c r="P821" s="4"/>
      <c r="Q821" s="4"/>
      <c r="R821" s="3"/>
      <c r="S821" s="4"/>
      <c r="T821" s="5"/>
      <c r="U821" s="4"/>
      <c r="V821" s="4"/>
      <c r="W821" s="6"/>
      <c r="X821" s="67"/>
      <c r="Y821" s="67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4"/>
      <c r="N822" s="3"/>
      <c r="O822" s="3"/>
      <c r="P822" s="4"/>
      <c r="Q822" s="4"/>
      <c r="R822" s="3"/>
      <c r="S822" s="4"/>
      <c r="T822" s="5"/>
      <c r="U822" s="4"/>
      <c r="V822" s="4"/>
      <c r="W822" s="6"/>
      <c r="X822" s="67"/>
      <c r="Y822" s="67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4"/>
      <c r="N823" s="3"/>
      <c r="O823" s="3"/>
      <c r="P823" s="4"/>
      <c r="Q823" s="4"/>
      <c r="R823" s="3"/>
      <c r="S823" s="4"/>
      <c r="T823" s="5"/>
      <c r="U823" s="4"/>
      <c r="V823" s="4"/>
      <c r="W823" s="6"/>
      <c r="X823" s="67"/>
      <c r="Y823" s="67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3"/>
      <c r="M824" s="4"/>
      <c r="N824" s="3"/>
      <c r="O824" s="3"/>
      <c r="P824" s="4"/>
      <c r="Q824" s="4"/>
      <c r="R824" s="3"/>
      <c r="S824" s="4"/>
      <c r="T824" s="5"/>
      <c r="U824" s="4"/>
      <c r="V824" s="4"/>
      <c r="W824" s="6"/>
      <c r="X824" s="67"/>
      <c r="Y824" s="67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3"/>
      <c r="M825" s="4"/>
      <c r="N825" s="3"/>
      <c r="O825" s="3"/>
      <c r="P825" s="4"/>
      <c r="Q825" s="4"/>
      <c r="R825" s="3"/>
      <c r="S825" s="4"/>
      <c r="T825" s="5"/>
      <c r="U825" s="4"/>
      <c r="V825" s="4"/>
      <c r="W825" s="6"/>
      <c r="X825" s="67"/>
      <c r="Y825" s="67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3"/>
      <c r="M826" s="4"/>
      <c r="N826" s="3"/>
      <c r="O826" s="3"/>
      <c r="P826" s="4"/>
      <c r="Q826" s="4"/>
      <c r="R826" s="3"/>
      <c r="S826" s="4"/>
      <c r="T826" s="5"/>
      <c r="U826" s="4"/>
      <c r="V826" s="4"/>
      <c r="W826" s="6"/>
      <c r="X826" s="67"/>
      <c r="Y826" s="67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3"/>
      <c r="M827" s="4"/>
      <c r="N827" s="3"/>
      <c r="O827" s="3"/>
      <c r="P827" s="4"/>
      <c r="Q827" s="4"/>
      <c r="R827" s="3"/>
      <c r="S827" s="4"/>
      <c r="T827" s="5"/>
      <c r="U827" s="4"/>
      <c r="V827" s="4"/>
      <c r="W827" s="6"/>
      <c r="X827" s="67"/>
      <c r="Y827" s="67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3"/>
      <c r="M828" s="4"/>
      <c r="N828" s="3"/>
      <c r="O828" s="3"/>
      <c r="P828" s="4"/>
      <c r="Q828" s="4"/>
      <c r="R828" s="3"/>
      <c r="S828" s="4"/>
      <c r="T828" s="5"/>
      <c r="U828" s="4"/>
      <c r="V828" s="4"/>
      <c r="W828" s="6"/>
      <c r="X828" s="67"/>
      <c r="Y828" s="67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4"/>
      <c r="N829" s="3"/>
      <c r="O829" s="3"/>
      <c r="P829" s="4"/>
      <c r="Q829" s="4"/>
      <c r="R829" s="3"/>
      <c r="S829" s="4"/>
      <c r="T829" s="5"/>
      <c r="U829" s="4"/>
      <c r="V829" s="4"/>
      <c r="W829" s="6"/>
      <c r="X829" s="67"/>
      <c r="Y829" s="67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3"/>
      <c r="M830" s="4"/>
      <c r="N830" s="3"/>
      <c r="O830" s="3"/>
      <c r="P830" s="4"/>
      <c r="Q830" s="4"/>
      <c r="R830" s="3"/>
      <c r="S830" s="4"/>
      <c r="T830" s="5"/>
      <c r="U830" s="4"/>
      <c r="V830" s="4"/>
      <c r="W830" s="6"/>
      <c r="X830" s="67"/>
      <c r="Y830" s="67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3"/>
      <c r="M831" s="4"/>
      <c r="N831" s="3"/>
      <c r="O831" s="3"/>
      <c r="P831" s="4"/>
      <c r="Q831" s="4"/>
      <c r="R831" s="3"/>
      <c r="S831" s="4"/>
      <c r="T831" s="5"/>
      <c r="U831" s="4"/>
      <c r="V831" s="4"/>
      <c r="W831" s="6"/>
      <c r="X831" s="67"/>
      <c r="Y831" s="67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3"/>
      <c r="M832" s="4"/>
      <c r="N832" s="3"/>
      <c r="O832" s="3"/>
      <c r="P832" s="4"/>
      <c r="Q832" s="4"/>
      <c r="R832" s="3"/>
      <c r="S832" s="4"/>
      <c r="T832" s="5"/>
      <c r="U832" s="4"/>
      <c r="V832" s="4"/>
      <c r="W832" s="6"/>
      <c r="X832" s="67"/>
      <c r="Y832" s="67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3"/>
      <c r="M833" s="4"/>
      <c r="N833" s="3"/>
      <c r="O833" s="3"/>
      <c r="P833" s="4"/>
      <c r="Q833" s="4"/>
      <c r="R833" s="3"/>
      <c r="S833" s="4"/>
      <c r="T833" s="5"/>
      <c r="U833" s="4"/>
      <c r="V833" s="4"/>
      <c r="W833" s="6"/>
      <c r="X833" s="67"/>
      <c r="Y833" s="67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3"/>
      <c r="M834" s="4"/>
      <c r="N834" s="3"/>
      <c r="O834" s="3"/>
      <c r="P834" s="4"/>
      <c r="Q834" s="4"/>
      <c r="R834" s="3"/>
      <c r="S834" s="4"/>
      <c r="T834" s="5"/>
      <c r="U834" s="4"/>
      <c r="V834" s="4"/>
      <c r="W834" s="6"/>
      <c r="X834" s="67"/>
      <c r="Y834" s="67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3"/>
      <c r="M835" s="4"/>
      <c r="N835" s="3"/>
      <c r="O835" s="3"/>
      <c r="P835" s="4"/>
      <c r="Q835" s="4"/>
      <c r="R835" s="3"/>
      <c r="S835" s="4"/>
      <c r="T835" s="5"/>
      <c r="U835" s="4"/>
      <c r="V835" s="4"/>
      <c r="W835" s="6"/>
      <c r="X835" s="67"/>
      <c r="Y835" s="67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4"/>
      <c r="N836" s="3"/>
      <c r="O836" s="3"/>
      <c r="P836" s="4"/>
      <c r="Q836" s="4"/>
      <c r="R836" s="3"/>
      <c r="S836" s="4"/>
      <c r="T836" s="5"/>
      <c r="U836" s="4"/>
      <c r="V836" s="4"/>
      <c r="W836" s="6"/>
      <c r="X836" s="67"/>
      <c r="Y836" s="67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4"/>
      <c r="N837" s="3"/>
      <c r="O837" s="3"/>
      <c r="P837" s="4"/>
      <c r="Q837" s="4"/>
      <c r="R837" s="3"/>
      <c r="S837" s="4"/>
      <c r="T837" s="5"/>
      <c r="U837" s="4"/>
      <c r="V837" s="4"/>
      <c r="W837" s="6"/>
      <c r="X837" s="67"/>
      <c r="Y837" s="67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4"/>
      <c r="N838" s="3"/>
      <c r="O838" s="3"/>
      <c r="P838" s="4"/>
      <c r="Q838" s="4"/>
      <c r="R838" s="3"/>
      <c r="S838" s="4"/>
      <c r="T838" s="5"/>
      <c r="U838" s="4"/>
      <c r="V838" s="4"/>
      <c r="W838" s="6"/>
      <c r="X838" s="67"/>
      <c r="Y838" s="67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4"/>
      <c r="N839" s="3"/>
      <c r="O839" s="3"/>
      <c r="P839" s="4"/>
      <c r="Q839" s="4"/>
      <c r="R839" s="3"/>
      <c r="S839" s="4"/>
      <c r="T839" s="5"/>
      <c r="U839" s="4"/>
      <c r="V839" s="4"/>
      <c r="W839" s="6"/>
      <c r="X839" s="67"/>
      <c r="Y839" s="67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4"/>
      <c r="N840" s="3"/>
      <c r="O840" s="3"/>
      <c r="P840" s="4"/>
      <c r="Q840" s="4"/>
      <c r="R840" s="3"/>
      <c r="S840" s="4"/>
      <c r="T840" s="5"/>
      <c r="U840" s="4"/>
      <c r="V840" s="4"/>
      <c r="W840" s="6"/>
      <c r="X840" s="67"/>
      <c r="Y840" s="67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4"/>
      <c r="N841" s="3"/>
      <c r="O841" s="3"/>
      <c r="P841" s="4"/>
      <c r="Q841" s="4"/>
      <c r="R841" s="3"/>
      <c r="S841" s="4"/>
      <c r="T841" s="5"/>
      <c r="U841" s="4"/>
      <c r="V841" s="4"/>
      <c r="W841" s="6"/>
      <c r="X841" s="67"/>
      <c r="Y841" s="67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4"/>
      <c r="N842" s="3"/>
      <c r="O842" s="3"/>
      <c r="P842" s="4"/>
      <c r="Q842" s="4"/>
      <c r="R842" s="3"/>
      <c r="S842" s="4"/>
      <c r="T842" s="5"/>
      <c r="U842" s="4"/>
      <c r="V842" s="4"/>
      <c r="W842" s="6"/>
      <c r="X842" s="67"/>
      <c r="Y842" s="67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4"/>
      <c r="N843" s="3"/>
      <c r="O843" s="3"/>
      <c r="P843" s="4"/>
      <c r="Q843" s="4"/>
      <c r="R843" s="3"/>
      <c r="S843" s="4"/>
      <c r="T843" s="5"/>
      <c r="U843" s="4"/>
      <c r="V843" s="4"/>
      <c r="W843" s="6"/>
      <c r="X843" s="67"/>
      <c r="Y843" s="67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4"/>
      <c r="N844" s="3"/>
      <c r="O844" s="3"/>
      <c r="P844" s="4"/>
      <c r="Q844" s="4"/>
      <c r="R844" s="3"/>
      <c r="S844" s="4"/>
      <c r="T844" s="5"/>
      <c r="U844" s="4"/>
      <c r="V844" s="4"/>
      <c r="W844" s="6"/>
      <c r="X844" s="67"/>
      <c r="Y844" s="67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4"/>
      <c r="N845" s="3"/>
      <c r="O845" s="3"/>
      <c r="P845" s="4"/>
      <c r="Q845" s="4"/>
      <c r="R845" s="3"/>
      <c r="S845" s="4"/>
      <c r="T845" s="5"/>
      <c r="U845" s="4"/>
      <c r="V845" s="4"/>
      <c r="W845" s="6"/>
      <c r="X845" s="67"/>
      <c r="Y845" s="67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4"/>
      <c r="N846" s="3"/>
      <c r="O846" s="3"/>
      <c r="P846" s="4"/>
      <c r="Q846" s="4"/>
      <c r="R846" s="3"/>
      <c r="S846" s="4"/>
      <c r="T846" s="5"/>
      <c r="U846" s="4"/>
      <c r="V846" s="4"/>
      <c r="W846" s="6"/>
      <c r="X846" s="67"/>
      <c r="Y846" s="67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3"/>
      <c r="M847" s="4"/>
      <c r="N847" s="3"/>
      <c r="O847" s="3"/>
      <c r="P847" s="4"/>
      <c r="Q847" s="4"/>
      <c r="R847" s="3"/>
      <c r="S847" s="4"/>
      <c r="T847" s="5"/>
      <c r="U847" s="4"/>
      <c r="V847" s="4"/>
      <c r="W847" s="6"/>
      <c r="X847" s="67"/>
      <c r="Y847" s="67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3"/>
      <c r="M848" s="4"/>
      <c r="N848" s="3"/>
      <c r="O848" s="3"/>
      <c r="P848" s="4"/>
      <c r="Q848" s="4"/>
      <c r="R848" s="3"/>
      <c r="S848" s="4"/>
      <c r="T848" s="5"/>
      <c r="U848" s="4"/>
      <c r="V848" s="4"/>
      <c r="W848" s="6"/>
      <c r="X848" s="67"/>
      <c r="Y848" s="67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3"/>
      <c r="M849" s="4"/>
      <c r="N849" s="3"/>
      <c r="O849" s="3"/>
      <c r="P849" s="4"/>
      <c r="Q849" s="4"/>
      <c r="R849" s="3"/>
      <c r="S849" s="4"/>
      <c r="T849" s="5"/>
      <c r="U849" s="4"/>
      <c r="V849" s="4"/>
      <c r="W849" s="6"/>
      <c r="X849" s="67"/>
      <c r="Y849" s="67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3"/>
      <c r="M850" s="4"/>
      <c r="N850" s="3"/>
      <c r="O850" s="3"/>
      <c r="P850" s="4"/>
      <c r="Q850" s="4"/>
      <c r="R850" s="3"/>
      <c r="S850" s="4"/>
      <c r="T850" s="5"/>
      <c r="U850" s="4"/>
      <c r="V850" s="4"/>
      <c r="W850" s="6"/>
      <c r="X850" s="67"/>
      <c r="Y850" s="67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3"/>
      <c r="M851" s="4"/>
      <c r="N851" s="3"/>
      <c r="O851" s="3"/>
      <c r="P851" s="4"/>
      <c r="Q851" s="4"/>
      <c r="R851" s="3"/>
      <c r="S851" s="4"/>
      <c r="T851" s="5"/>
      <c r="U851" s="4"/>
      <c r="V851" s="4"/>
      <c r="W851" s="6"/>
      <c r="X851" s="67"/>
      <c r="Y851" s="67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3"/>
      <c r="M852" s="4"/>
      <c r="N852" s="3"/>
      <c r="O852" s="3"/>
      <c r="P852" s="4"/>
      <c r="Q852" s="4"/>
      <c r="R852" s="3"/>
      <c r="S852" s="4"/>
      <c r="T852" s="5"/>
      <c r="U852" s="4"/>
      <c r="V852" s="4"/>
      <c r="W852" s="6"/>
      <c r="X852" s="67"/>
      <c r="Y852" s="67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3"/>
      <c r="M853" s="4"/>
      <c r="N853" s="3"/>
      <c r="O853" s="3"/>
      <c r="P853" s="4"/>
      <c r="Q853" s="4"/>
      <c r="R853" s="3"/>
      <c r="S853" s="4"/>
      <c r="T853" s="5"/>
      <c r="U853" s="4"/>
      <c r="V853" s="4"/>
      <c r="W853" s="6"/>
      <c r="X853" s="67"/>
      <c r="Y853" s="67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3"/>
      <c r="M854" s="4"/>
      <c r="N854" s="3"/>
      <c r="O854" s="3"/>
      <c r="P854" s="4"/>
      <c r="Q854" s="4"/>
      <c r="R854" s="3"/>
      <c r="S854" s="4"/>
      <c r="T854" s="5"/>
      <c r="U854" s="4"/>
      <c r="V854" s="4"/>
      <c r="W854" s="6"/>
      <c r="X854" s="67"/>
      <c r="Y854" s="67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3"/>
      <c r="M855" s="4"/>
      <c r="N855" s="3"/>
      <c r="O855" s="3"/>
      <c r="P855" s="4"/>
      <c r="Q855" s="4"/>
      <c r="R855" s="3"/>
      <c r="S855" s="4"/>
      <c r="T855" s="5"/>
      <c r="U855" s="4"/>
      <c r="V855" s="4"/>
      <c r="W855" s="6"/>
      <c r="X855" s="67"/>
      <c r="Y855" s="67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3"/>
      <c r="M856" s="4"/>
      <c r="N856" s="3"/>
      <c r="O856" s="3"/>
      <c r="P856" s="4"/>
      <c r="Q856" s="4"/>
      <c r="R856" s="3"/>
      <c r="S856" s="4"/>
      <c r="T856" s="5"/>
      <c r="U856" s="4"/>
      <c r="V856" s="4"/>
      <c r="W856" s="6"/>
      <c r="X856" s="67"/>
      <c r="Y856" s="67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3"/>
      <c r="M857" s="4"/>
      <c r="N857" s="3"/>
      <c r="O857" s="3"/>
      <c r="P857" s="4"/>
      <c r="Q857" s="4"/>
      <c r="R857" s="3"/>
      <c r="S857" s="4"/>
      <c r="T857" s="5"/>
      <c r="U857" s="4"/>
      <c r="V857" s="4"/>
      <c r="W857" s="6"/>
      <c r="X857" s="67"/>
      <c r="Y857" s="67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3"/>
      <c r="M858" s="4"/>
      <c r="N858" s="3"/>
      <c r="O858" s="3"/>
      <c r="P858" s="4"/>
      <c r="Q858" s="4"/>
      <c r="R858" s="3"/>
      <c r="S858" s="4"/>
      <c r="T858" s="5"/>
      <c r="U858" s="4"/>
      <c r="V858" s="4"/>
      <c r="W858" s="6"/>
      <c r="X858" s="67"/>
      <c r="Y858" s="67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3"/>
      <c r="M859" s="4"/>
      <c r="N859" s="3"/>
      <c r="O859" s="3"/>
      <c r="P859" s="4"/>
      <c r="Q859" s="4"/>
      <c r="R859" s="3"/>
      <c r="S859" s="4"/>
      <c r="T859" s="5"/>
      <c r="U859" s="4"/>
      <c r="V859" s="4"/>
      <c r="W859" s="6"/>
      <c r="X859" s="67"/>
      <c r="Y859" s="67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3"/>
      <c r="M860" s="4"/>
      <c r="N860" s="3"/>
      <c r="O860" s="3"/>
      <c r="P860" s="4"/>
      <c r="Q860" s="4"/>
      <c r="R860" s="3"/>
      <c r="S860" s="4"/>
      <c r="T860" s="5"/>
      <c r="U860" s="4"/>
      <c r="V860" s="4"/>
      <c r="W860" s="6"/>
      <c r="X860" s="67"/>
      <c r="Y860" s="67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3"/>
      <c r="M861" s="4"/>
      <c r="N861" s="3"/>
      <c r="O861" s="3"/>
      <c r="P861" s="4"/>
      <c r="Q861" s="4"/>
      <c r="R861" s="3"/>
      <c r="S861" s="4"/>
      <c r="T861" s="5"/>
      <c r="U861" s="4"/>
      <c r="V861" s="4"/>
      <c r="W861" s="6"/>
      <c r="X861" s="67"/>
      <c r="Y861" s="67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3"/>
      <c r="M862" s="4"/>
      <c r="N862" s="3"/>
      <c r="O862" s="3"/>
      <c r="P862" s="4"/>
      <c r="Q862" s="4"/>
      <c r="R862" s="3"/>
      <c r="S862" s="4"/>
      <c r="T862" s="5"/>
      <c r="U862" s="4"/>
      <c r="V862" s="4"/>
      <c r="W862" s="6"/>
      <c r="X862" s="67"/>
      <c r="Y862" s="67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3"/>
      <c r="M863" s="4"/>
      <c r="N863" s="3"/>
      <c r="O863" s="3"/>
      <c r="P863" s="4"/>
      <c r="Q863" s="4"/>
      <c r="R863" s="3"/>
      <c r="S863" s="4"/>
      <c r="T863" s="5"/>
      <c r="U863" s="4"/>
      <c r="V863" s="4"/>
      <c r="W863" s="6"/>
      <c r="X863" s="67"/>
      <c r="Y863" s="67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3"/>
      <c r="M864" s="4"/>
      <c r="N864" s="3"/>
      <c r="O864" s="3"/>
      <c r="P864" s="4"/>
      <c r="Q864" s="4"/>
      <c r="R864" s="3"/>
      <c r="S864" s="4"/>
      <c r="T864" s="5"/>
      <c r="U864" s="4"/>
      <c r="V864" s="4"/>
      <c r="W864" s="6"/>
      <c r="X864" s="67"/>
      <c r="Y864" s="67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3"/>
      <c r="M865" s="4"/>
      <c r="N865" s="3"/>
      <c r="O865" s="3"/>
      <c r="P865" s="4"/>
      <c r="Q865" s="4"/>
      <c r="R865" s="3"/>
      <c r="S865" s="4"/>
      <c r="T865" s="5"/>
      <c r="U865" s="4"/>
      <c r="V865" s="4"/>
      <c r="W865" s="6"/>
      <c r="X865" s="67"/>
      <c r="Y865" s="67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3"/>
      <c r="M866" s="4"/>
      <c r="N866" s="3"/>
      <c r="O866" s="3"/>
      <c r="P866" s="4"/>
      <c r="Q866" s="4"/>
      <c r="R866" s="3"/>
      <c r="S866" s="4"/>
      <c r="T866" s="5"/>
      <c r="U866" s="4"/>
      <c r="V866" s="4"/>
      <c r="W866" s="6"/>
      <c r="X866" s="67"/>
      <c r="Y866" s="67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3"/>
      <c r="M867" s="4"/>
      <c r="N867" s="3"/>
      <c r="O867" s="3"/>
      <c r="P867" s="4"/>
      <c r="Q867" s="4"/>
      <c r="R867" s="3"/>
      <c r="S867" s="4"/>
      <c r="T867" s="5"/>
      <c r="U867" s="4"/>
      <c r="V867" s="4"/>
      <c r="W867" s="6"/>
      <c r="X867" s="67"/>
      <c r="Y867" s="67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3"/>
      <c r="M868" s="4"/>
      <c r="N868" s="3"/>
      <c r="O868" s="3"/>
      <c r="P868" s="4"/>
      <c r="Q868" s="4"/>
      <c r="R868" s="3"/>
      <c r="S868" s="4"/>
      <c r="T868" s="5"/>
      <c r="U868" s="4"/>
      <c r="V868" s="4"/>
      <c r="W868" s="6"/>
      <c r="X868" s="67"/>
      <c r="Y868" s="67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3"/>
      <c r="M869" s="4"/>
      <c r="N869" s="3"/>
      <c r="O869" s="3"/>
      <c r="P869" s="4"/>
      <c r="Q869" s="4"/>
      <c r="R869" s="3"/>
      <c r="S869" s="4"/>
      <c r="T869" s="5"/>
      <c r="U869" s="4"/>
      <c r="V869" s="4"/>
      <c r="W869" s="6"/>
      <c r="X869" s="67"/>
      <c r="Y869" s="67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3"/>
      <c r="M870" s="4"/>
      <c r="N870" s="3"/>
      <c r="O870" s="3"/>
      <c r="P870" s="4"/>
      <c r="Q870" s="4"/>
      <c r="R870" s="3"/>
      <c r="S870" s="4"/>
      <c r="T870" s="5"/>
      <c r="U870" s="4"/>
      <c r="V870" s="4"/>
      <c r="W870" s="6"/>
      <c r="X870" s="67"/>
      <c r="Y870" s="67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3"/>
      <c r="M871" s="4"/>
      <c r="N871" s="3"/>
      <c r="O871" s="3"/>
      <c r="P871" s="4"/>
      <c r="Q871" s="4"/>
      <c r="R871" s="3"/>
      <c r="S871" s="4"/>
      <c r="T871" s="5"/>
      <c r="U871" s="4"/>
      <c r="V871" s="4"/>
      <c r="W871" s="6"/>
      <c r="X871" s="67"/>
      <c r="Y871" s="67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3"/>
      <c r="M872" s="4"/>
      <c r="N872" s="3"/>
      <c r="O872" s="3"/>
      <c r="P872" s="4"/>
      <c r="Q872" s="4"/>
      <c r="R872" s="3"/>
      <c r="S872" s="4"/>
      <c r="T872" s="5"/>
      <c r="U872" s="4"/>
      <c r="V872" s="4"/>
      <c r="W872" s="6"/>
      <c r="X872" s="67"/>
      <c r="Y872" s="67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3"/>
      <c r="M873" s="4"/>
      <c r="N873" s="3"/>
      <c r="O873" s="3"/>
      <c r="P873" s="4"/>
      <c r="Q873" s="4"/>
      <c r="R873" s="3"/>
      <c r="S873" s="4"/>
      <c r="T873" s="5"/>
      <c r="U873" s="4"/>
      <c r="V873" s="4"/>
      <c r="W873" s="6"/>
      <c r="X873" s="67"/>
      <c r="Y873" s="67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3"/>
      <c r="M874" s="4"/>
      <c r="N874" s="3"/>
      <c r="O874" s="3"/>
      <c r="P874" s="4"/>
      <c r="Q874" s="4"/>
      <c r="R874" s="3"/>
      <c r="S874" s="4"/>
      <c r="T874" s="5"/>
      <c r="U874" s="4"/>
      <c r="V874" s="4"/>
      <c r="W874" s="6"/>
      <c r="X874" s="67"/>
      <c r="Y874" s="67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3"/>
      <c r="M875" s="4"/>
      <c r="N875" s="3"/>
      <c r="O875" s="3"/>
      <c r="P875" s="4"/>
      <c r="Q875" s="4"/>
      <c r="R875" s="3"/>
      <c r="S875" s="4"/>
      <c r="T875" s="5"/>
      <c r="U875" s="4"/>
      <c r="V875" s="4"/>
      <c r="W875" s="6"/>
      <c r="X875" s="67"/>
      <c r="Y875" s="67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3"/>
      <c r="M876" s="4"/>
      <c r="N876" s="3"/>
      <c r="O876" s="3"/>
      <c r="P876" s="4"/>
      <c r="Q876" s="4"/>
      <c r="R876" s="3"/>
      <c r="S876" s="4"/>
      <c r="T876" s="5"/>
      <c r="U876" s="4"/>
      <c r="V876" s="4"/>
      <c r="W876" s="6"/>
      <c r="X876" s="67"/>
      <c r="Y876" s="67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4"/>
      <c r="N877" s="3"/>
      <c r="O877" s="3"/>
      <c r="P877" s="4"/>
      <c r="Q877" s="4"/>
      <c r="R877" s="3"/>
      <c r="S877" s="4"/>
      <c r="T877" s="5"/>
      <c r="U877" s="4"/>
      <c r="V877" s="4"/>
      <c r="W877" s="6"/>
      <c r="X877" s="67"/>
      <c r="Y877" s="67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3"/>
      <c r="M878" s="4"/>
      <c r="N878" s="3"/>
      <c r="O878" s="3"/>
      <c r="P878" s="4"/>
      <c r="Q878" s="4"/>
      <c r="R878" s="3"/>
      <c r="S878" s="4"/>
      <c r="T878" s="5"/>
      <c r="U878" s="4"/>
      <c r="V878" s="4"/>
      <c r="W878" s="6"/>
      <c r="X878" s="67"/>
      <c r="Y878" s="67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3"/>
      <c r="M879" s="4"/>
      <c r="N879" s="3"/>
      <c r="O879" s="3"/>
      <c r="P879" s="4"/>
      <c r="Q879" s="4"/>
      <c r="R879" s="3"/>
      <c r="S879" s="4"/>
      <c r="T879" s="5"/>
      <c r="U879" s="4"/>
      <c r="V879" s="4"/>
      <c r="W879" s="6"/>
      <c r="X879" s="67"/>
      <c r="Y879" s="67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3"/>
      <c r="M880" s="4"/>
      <c r="N880" s="3"/>
      <c r="O880" s="3"/>
      <c r="P880" s="4"/>
      <c r="Q880" s="4"/>
      <c r="R880" s="3"/>
      <c r="S880" s="4"/>
      <c r="T880" s="5"/>
      <c r="U880" s="4"/>
      <c r="V880" s="4"/>
      <c r="W880" s="6"/>
      <c r="X880" s="67"/>
      <c r="Y880" s="67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3"/>
      <c r="M881" s="4"/>
      <c r="N881" s="3"/>
      <c r="O881" s="3"/>
      <c r="P881" s="4"/>
      <c r="Q881" s="4"/>
      <c r="R881" s="3"/>
      <c r="S881" s="4"/>
      <c r="T881" s="5"/>
      <c r="U881" s="4"/>
      <c r="V881" s="4"/>
      <c r="W881" s="6"/>
      <c r="X881" s="67"/>
      <c r="Y881" s="67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3"/>
      <c r="M882" s="4"/>
      <c r="N882" s="3"/>
      <c r="O882" s="3"/>
      <c r="P882" s="4"/>
      <c r="Q882" s="4"/>
      <c r="R882" s="3"/>
      <c r="S882" s="4"/>
      <c r="T882" s="5"/>
      <c r="U882" s="4"/>
      <c r="V882" s="4"/>
      <c r="W882" s="6"/>
      <c r="X882" s="67"/>
      <c r="Y882" s="67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3"/>
      <c r="M883" s="4"/>
      <c r="N883" s="3"/>
      <c r="O883" s="3"/>
      <c r="P883" s="4"/>
      <c r="Q883" s="4"/>
      <c r="R883" s="3"/>
      <c r="S883" s="4"/>
      <c r="T883" s="5"/>
      <c r="U883" s="4"/>
      <c r="V883" s="4"/>
      <c r="W883" s="6"/>
      <c r="X883" s="67"/>
      <c r="Y883" s="67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3"/>
      <c r="M884" s="4"/>
      <c r="N884" s="3"/>
      <c r="O884" s="3"/>
      <c r="P884" s="4"/>
      <c r="Q884" s="4"/>
      <c r="R884" s="3"/>
      <c r="S884" s="4"/>
      <c r="T884" s="5"/>
      <c r="U884" s="4"/>
      <c r="V884" s="4"/>
      <c r="W884" s="6"/>
      <c r="X884" s="67"/>
      <c r="Y884" s="67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3"/>
      <c r="M885" s="4"/>
      <c r="N885" s="3"/>
      <c r="O885" s="3"/>
      <c r="P885" s="4"/>
      <c r="Q885" s="4"/>
      <c r="R885" s="3"/>
      <c r="S885" s="4"/>
      <c r="T885" s="5"/>
      <c r="U885" s="4"/>
      <c r="V885" s="4"/>
      <c r="W885" s="6"/>
      <c r="X885" s="67"/>
      <c r="Y885" s="67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3"/>
      <c r="M886" s="4"/>
      <c r="N886" s="3"/>
      <c r="O886" s="3"/>
      <c r="P886" s="4"/>
      <c r="Q886" s="4"/>
      <c r="R886" s="3"/>
      <c r="S886" s="4"/>
      <c r="T886" s="5"/>
      <c r="U886" s="4"/>
      <c r="V886" s="4"/>
      <c r="W886" s="6"/>
      <c r="X886" s="67"/>
      <c r="Y886" s="67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3"/>
      <c r="M887" s="4"/>
      <c r="N887" s="3"/>
      <c r="O887" s="3"/>
      <c r="P887" s="4"/>
      <c r="Q887" s="4"/>
      <c r="R887" s="3"/>
      <c r="S887" s="4"/>
      <c r="T887" s="5"/>
      <c r="U887" s="4"/>
      <c r="V887" s="4"/>
      <c r="W887" s="6"/>
      <c r="X887" s="67"/>
      <c r="Y887" s="67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3"/>
      <c r="M888" s="4"/>
      <c r="N888" s="3"/>
      <c r="O888" s="3"/>
      <c r="P888" s="4"/>
      <c r="Q888" s="4"/>
      <c r="R888" s="3"/>
      <c r="S888" s="4"/>
      <c r="T888" s="5"/>
      <c r="U888" s="4"/>
      <c r="V888" s="4"/>
      <c r="W888" s="6"/>
      <c r="X888" s="67"/>
      <c r="Y888" s="67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3"/>
      <c r="M889" s="4"/>
      <c r="N889" s="3"/>
      <c r="O889" s="3"/>
      <c r="P889" s="4"/>
      <c r="Q889" s="4"/>
      <c r="R889" s="3"/>
      <c r="S889" s="4"/>
      <c r="T889" s="5"/>
      <c r="U889" s="4"/>
      <c r="V889" s="4"/>
      <c r="W889" s="6"/>
      <c r="X889" s="67"/>
      <c r="Y889" s="67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3"/>
      <c r="M890" s="4"/>
      <c r="N890" s="3"/>
      <c r="O890" s="3"/>
      <c r="P890" s="4"/>
      <c r="Q890" s="4"/>
      <c r="R890" s="3"/>
      <c r="S890" s="4"/>
      <c r="T890" s="5"/>
      <c r="U890" s="4"/>
      <c r="V890" s="4"/>
      <c r="W890" s="6"/>
      <c r="X890" s="67"/>
      <c r="Y890" s="67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3"/>
      <c r="M891" s="4"/>
      <c r="N891" s="3"/>
      <c r="O891" s="3"/>
      <c r="P891" s="4"/>
      <c r="Q891" s="4"/>
      <c r="R891" s="3"/>
      <c r="S891" s="4"/>
      <c r="T891" s="5"/>
      <c r="U891" s="4"/>
      <c r="V891" s="4"/>
      <c r="W891" s="6"/>
      <c r="X891" s="67"/>
      <c r="Y891" s="67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3"/>
      <c r="M892" s="4"/>
      <c r="N892" s="3"/>
      <c r="O892" s="3"/>
      <c r="P892" s="4"/>
      <c r="Q892" s="4"/>
      <c r="R892" s="3"/>
      <c r="S892" s="4"/>
      <c r="T892" s="5"/>
      <c r="U892" s="4"/>
      <c r="V892" s="4"/>
      <c r="W892" s="6"/>
      <c r="X892" s="67"/>
      <c r="Y892" s="67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3"/>
      <c r="M893" s="4"/>
      <c r="N893" s="3"/>
      <c r="O893" s="3"/>
      <c r="P893" s="4"/>
      <c r="Q893" s="4"/>
      <c r="R893" s="3"/>
      <c r="S893" s="4"/>
      <c r="T893" s="5"/>
      <c r="U893" s="4"/>
      <c r="V893" s="4"/>
      <c r="W893" s="6"/>
      <c r="X893" s="67"/>
      <c r="Y893" s="67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3"/>
      <c r="M894" s="4"/>
      <c r="N894" s="3"/>
      <c r="O894" s="3"/>
      <c r="P894" s="4"/>
      <c r="Q894" s="4"/>
      <c r="R894" s="3"/>
      <c r="S894" s="4"/>
      <c r="T894" s="5"/>
      <c r="U894" s="4"/>
      <c r="V894" s="4"/>
      <c r="W894" s="6"/>
      <c r="X894" s="67"/>
      <c r="Y894" s="67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3"/>
      <c r="M895" s="4"/>
      <c r="N895" s="3"/>
      <c r="O895" s="3"/>
      <c r="P895" s="4"/>
      <c r="Q895" s="4"/>
      <c r="R895" s="3"/>
      <c r="S895" s="4"/>
      <c r="T895" s="5"/>
      <c r="U895" s="4"/>
      <c r="V895" s="4"/>
      <c r="W895" s="6"/>
      <c r="X895" s="67"/>
      <c r="Y895" s="67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3"/>
      <c r="M896" s="4"/>
      <c r="N896" s="3"/>
      <c r="O896" s="3"/>
      <c r="P896" s="4"/>
      <c r="Q896" s="4"/>
      <c r="R896" s="3"/>
      <c r="S896" s="4"/>
      <c r="T896" s="5"/>
      <c r="U896" s="4"/>
      <c r="V896" s="4"/>
      <c r="W896" s="6"/>
      <c r="X896" s="67"/>
      <c r="Y896" s="67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3"/>
      <c r="M897" s="4"/>
      <c r="N897" s="3"/>
      <c r="O897" s="3"/>
      <c r="P897" s="4"/>
      <c r="Q897" s="4"/>
      <c r="R897" s="3"/>
      <c r="S897" s="4"/>
      <c r="T897" s="5"/>
      <c r="U897" s="4"/>
      <c r="V897" s="4"/>
      <c r="W897" s="6"/>
      <c r="X897" s="67"/>
      <c r="Y897" s="67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3"/>
      <c r="M898" s="4"/>
      <c r="N898" s="3"/>
      <c r="O898" s="3"/>
      <c r="P898" s="4"/>
      <c r="Q898" s="4"/>
      <c r="R898" s="3"/>
      <c r="S898" s="4"/>
      <c r="T898" s="5"/>
      <c r="U898" s="4"/>
      <c r="V898" s="4"/>
      <c r="W898" s="6"/>
      <c r="X898" s="67"/>
      <c r="Y898" s="67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3"/>
      <c r="M899" s="4"/>
      <c r="N899" s="3"/>
      <c r="O899" s="3"/>
      <c r="P899" s="4"/>
      <c r="Q899" s="4"/>
      <c r="R899" s="3"/>
      <c r="S899" s="4"/>
      <c r="T899" s="5"/>
      <c r="U899" s="4"/>
      <c r="V899" s="4"/>
      <c r="W899" s="6"/>
      <c r="X899" s="67"/>
      <c r="Y899" s="67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3"/>
      <c r="M900" s="4"/>
      <c r="N900" s="3"/>
      <c r="O900" s="3"/>
      <c r="P900" s="4"/>
      <c r="Q900" s="4"/>
      <c r="R900" s="3"/>
      <c r="S900" s="4"/>
      <c r="T900" s="5"/>
      <c r="U900" s="4"/>
      <c r="V900" s="4"/>
      <c r="W900" s="6"/>
      <c r="X900" s="67"/>
      <c r="Y900" s="67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3"/>
      <c r="M901" s="4"/>
      <c r="N901" s="3"/>
      <c r="O901" s="3"/>
      <c r="P901" s="4"/>
      <c r="Q901" s="4"/>
      <c r="R901" s="3"/>
      <c r="S901" s="4"/>
      <c r="T901" s="5"/>
      <c r="U901" s="4"/>
      <c r="V901" s="4"/>
      <c r="W901" s="6"/>
      <c r="X901" s="67"/>
      <c r="Y901" s="67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3"/>
      <c r="M902" s="4"/>
      <c r="N902" s="3"/>
      <c r="O902" s="3"/>
      <c r="P902" s="4"/>
      <c r="Q902" s="4"/>
      <c r="R902" s="3"/>
      <c r="S902" s="4"/>
      <c r="T902" s="5"/>
      <c r="U902" s="4"/>
      <c r="V902" s="4"/>
      <c r="W902" s="6"/>
      <c r="X902" s="67"/>
      <c r="Y902" s="67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3"/>
      <c r="M903" s="4"/>
      <c r="N903" s="3"/>
      <c r="O903" s="3"/>
      <c r="P903" s="4"/>
      <c r="Q903" s="4"/>
      <c r="R903" s="3"/>
      <c r="S903" s="4"/>
      <c r="T903" s="5"/>
      <c r="U903" s="4"/>
      <c r="V903" s="4"/>
      <c r="W903" s="6"/>
      <c r="X903" s="67"/>
      <c r="Y903" s="67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3"/>
      <c r="M904" s="4"/>
      <c r="N904" s="3"/>
      <c r="O904" s="3"/>
      <c r="P904" s="4"/>
      <c r="Q904" s="4"/>
      <c r="R904" s="3"/>
      <c r="S904" s="4"/>
      <c r="T904" s="5"/>
      <c r="U904" s="4"/>
      <c r="V904" s="4"/>
      <c r="W904" s="6"/>
      <c r="X904" s="67"/>
      <c r="Y904" s="67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3"/>
      <c r="M905" s="4"/>
      <c r="N905" s="3"/>
      <c r="O905" s="3"/>
      <c r="P905" s="4"/>
      <c r="Q905" s="4"/>
      <c r="R905" s="3"/>
      <c r="S905" s="4"/>
      <c r="T905" s="5"/>
      <c r="U905" s="4"/>
      <c r="V905" s="4"/>
      <c r="W905" s="6"/>
      <c r="X905" s="67"/>
      <c r="Y905" s="67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3"/>
      <c r="M906" s="4"/>
      <c r="N906" s="3"/>
      <c r="O906" s="3"/>
      <c r="P906" s="4"/>
      <c r="Q906" s="4"/>
      <c r="R906" s="3"/>
      <c r="S906" s="4"/>
      <c r="T906" s="5"/>
      <c r="U906" s="4"/>
      <c r="V906" s="4"/>
      <c r="W906" s="6"/>
      <c r="X906" s="67"/>
      <c r="Y906" s="67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3"/>
      <c r="M907" s="4"/>
      <c r="N907" s="3"/>
      <c r="O907" s="3"/>
      <c r="P907" s="4"/>
      <c r="Q907" s="4"/>
      <c r="R907" s="3"/>
      <c r="S907" s="4"/>
      <c r="T907" s="5"/>
      <c r="U907" s="4"/>
      <c r="V907" s="4"/>
      <c r="W907" s="6"/>
      <c r="X907" s="67"/>
      <c r="Y907" s="67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3"/>
      <c r="M908" s="4"/>
      <c r="N908" s="3"/>
      <c r="O908" s="3"/>
      <c r="P908" s="4"/>
      <c r="Q908" s="4"/>
      <c r="R908" s="3"/>
      <c r="S908" s="4"/>
      <c r="T908" s="5"/>
      <c r="U908" s="4"/>
      <c r="V908" s="4"/>
      <c r="W908" s="6"/>
      <c r="X908" s="67"/>
      <c r="Y908" s="67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3"/>
      <c r="M909" s="4"/>
      <c r="N909" s="3"/>
      <c r="O909" s="3"/>
      <c r="P909" s="4"/>
      <c r="Q909" s="4"/>
      <c r="R909" s="3"/>
      <c r="S909" s="4"/>
      <c r="T909" s="5"/>
      <c r="U909" s="4"/>
      <c r="V909" s="4"/>
      <c r="W909" s="6"/>
      <c r="X909" s="67"/>
      <c r="Y909" s="67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3"/>
      <c r="M910" s="4"/>
      <c r="N910" s="3"/>
      <c r="O910" s="3"/>
      <c r="P910" s="4"/>
      <c r="Q910" s="4"/>
      <c r="R910" s="3"/>
      <c r="S910" s="4"/>
      <c r="T910" s="5"/>
      <c r="U910" s="4"/>
      <c r="V910" s="4"/>
      <c r="W910" s="6"/>
      <c r="X910" s="67"/>
      <c r="Y910" s="67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3"/>
      <c r="M911" s="4"/>
      <c r="N911" s="3"/>
      <c r="O911" s="3"/>
      <c r="P911" s="4"/>
      <c r="Q911" s="4"/>
      <c r="R911" s="3"/>
      <c r="S911" s="4"/>
      <c r="T911" s="5"/>
      <c r="U911" s="4"/>
      <c r="V911" s="4"/>
      <c r="W911" s="6"/>
      <c r="X911" s="67"/>
      <c r="Y911" s="67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3"/>
      <c r="M912" s="4"/>
      <c r="N912" s="3"/>
      <c r="O912" s="3"/>
      <c r="P912" s="4"/>
      <c r="Q912" s="4"/>
      <c r="R912" s="3"/>
      <c r="S912" s="4"/>
      <c r="T912" s="5"/>
      <c r="U912" s="4"/>
      <c r="V912" s="4"/>
      <c r="W912" s="6"/>
      <c r="X912" s="67"/>
      <c r="Y912" s="67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3"/>
      <c r="M913" s="4"/>
      <c r="N913" s="3"/>
      <c r="O913" s="3"/>
      <c r="P913" s="4"/>
      <c r="Q913" s="4"/>
      <c r="R913" s="3"/>
      <c r="S913" s="4"/>
      <c r="T913" s="5"/>
      <c r="U913" s="4"/>
      <c r="V913" s="4"/>
      <c r="W913" s="6"/>
      <c r="X913" s="67"/>
      <c r="Y913" s="67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3"/>
      <c r="M914" s="4"/>
      <c r="N914" s="3"/>
      <c r="O914" s="3"/>
      <c r="P914" s="4"/>
      <c r="Q914" s="4"/>
      <c r="R914" s="3"/>
      <c r="S914" s="4"/>
      <c r="T914" s="5"/>
      <c r="U914" s="4"/>
      <c r="V914" s="4"/>
      <c r="W914" s="6"/>
      <c r="X914" s="67"/>
      <c r="Y914" s="67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3"/>
      <c r="M915" s="4"/>
      <c r="N915" s="3"/>
      <c r="O915" s="3"/>
      <c r="P915" s="4"/>
      <c r="Q915" s="4"/>
      <c r="R915" s="3"/>
      <c r="S915" s="4"/>
      <c r="T915" s="5"/>
      <c r="U915" s="4"/>
      <c r="V915" s="4"/>
      <c r="W915" s="6"/>
      <c r="X915" s="67"/>
      <c r="Y915" s="67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3"/>
      <c r="M916" s="4"/>
      <c r="N916" s="3"/>
      <c r="O916" s="3"/>
      <c r="P916" s="4"/>
      <c r="Q916" s="4"/>
      <c r="R916" s="3"/>
      <c r="S916" s="4"/>
      <c r="T916" s="5"/>
      <c r="U916" s="4"/>
      <c r="V916" s="4"/>
      <c r="W916" s="6"/>
      <c r="X916" s="67"/>
      <c r="Y916" s="67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3"/>
      <c r="M917" s="4"/>
      <c r="N917" s="3"/>
      <c r="O917" s="3"/>
      <c r="P917" s="4"/>
      <c r="Q917" s="4"/>
      <c r="R917" s="3"/>
      <c r="S917" s="4"/>
      <c r="T917" s="5"/>
      <c r="U917" s="4"/>
      <c r="V917" s="4"/>
      <c r="W917" s="6"/>
      <c r="X917" s="67"/>
      <c r="Y917" s="67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3"/>
      <c r="M918" s="4"/>
      <c r="N918" s="3"/>
      <c r="O918" s="3"/>
      <c r="P918" s="4"/>
      <c r="Q918" s="4"/>
      <c r="R918" s="3"/>
      <c r="S918" s="4"/>
      <c r="T918" s="5"/>
      <c r="U918" s="4"/>
      <c r="V918" s="4"/>
      <c r="W918" s="6"/>
      <c r="X918" s="67"/>
      <c r="Y918" s="67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3"/>
      <c r="M919" s="4"/>
      <c r="N919" s="3"/>
      <c r="O919" s="3"/>
      <c r="P919" s="4"/>
      <c r="Q919" s="4"/>
      <c r="R919" s="3"/>
      <c r="S919" s="4"/>
      <c r="T919" s="5"/>
      <c r="U919" s="4"/>
      <c r="V919" s="4"/>
      <c r="W919" s="6"/>
      <c r="X919" s="67"/>
      <c r="Y919" s="67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3"/>
      <c r="M920" s="4"/>
      <c r="N920" s="3"/>
      <c r="O920" s="3"/>
      <c r="P920" s="4"/>
      <c r="Q920" s="4"/>
      <c r="R920" s="3"/>
      <c r="S920" s="4"/>
      <c r="T920" s="5"/>
      <c r="U920" s="4"/>
      <c r="V920" s="4"/>
      <c r="W920" s="6"/>
      <c r="X920" s="67"/>
      <c r="Y920" s="67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3"/>
      <c r="M921" s="4"/>
      <c r="N921" s="3"/>
      <c r="O921" s="3"/>
      <c r="P921" s="4"/>
      <c r="Q921" s="4"/>
      <c r="R921" s="3"/>
      <c r="S921" s="4"/>
      <c r="T921" s="5"/>
      <c r="U921" s="4"/>
      <c r="V921" s="4"/>
      <c r="W921" s="6"/>
      <c r="X921" s="67"/>
      <c r="Y921" s="67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3"/>
      <c r="M922" s="4"/>
      <c r="N922" s="3"/>
      <c r="O922" s="3"/>
      <c r="P922" s="4"/>
      <c r="Q922" s="4"/>
      <c r="R922" s="3"/>
      <c r="S922" s="4"/>
      <c r="T922" s="5"/>
      <c r="U922" s="4"/>
      <c r="V922" s="4"/>
      <c r="W922" s="6"/>
      <c r="X922" s="67"/>
      <c r="Y922" s="67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3"/>
      <c r="M923" s="4"/>
      <c r="N923" s="3"/>
      <c r="O923" s="3"/>
      <c r="P923" s="4"/>
      <c r="Q923" s="4"/>
      <c r="R923" s="3"/>
      <c r="S923" s="4"/>
      <c r="T923" s="5"/>
      <c r="U923" s="4"/>
      <c r="V923" s="4"/>
      <c r="W923" s="6"/>
      <c r="X923" s="67"/>
      <c r="Y923" s="67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3"/>
      <c r="M924" s="4"/>
      <c r="N924" s="3"/>
      <c r="O924" s="3"/>
      <c r="P924" s="4"/>
      <c r="Q924" s="4"/>
      <c r="R924" s="3"/>
      <c r="S924" s="4"/>
      <c r="T924" s="5"/>
      <c r="U924" s="4"/>
      <c r="V924" s="4"/>
      <c r="W924" s="6"/>
      <c r="X924" s="67"/>
      <c r="Y924" s="67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3"/>
      <c r="M925" s="4"/>
      <c r="N925" s="3"/>
      <c r="O925" s="3"/>
      <c r="P925" s="4"/>
      <c r="Q925" s="4"/>
      <c r="R925" s="3"/>
      <c r="S925" s="4"/>
      <c r="T925" s="5"/>
      <c r="U925" s="4"/>
      <c r="V925" s="4"/>
      <c r="W925" s="6"/>
      <c r="X925" s="67"/>
      <c r="Y925" s="67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3"/>
      <c r="M926" s="4"/>
      <c r="N926" s="3"/>
      <c r="O926" s="3"/>
      <c r="P926" s="4"/>
      <c r="Q926" s="4"/>
      <c r="R926" s="3"/>
      <c r="S926" s="4"/>
      <c r="T926" s="5"/>
      <c r="U926" s="4"/>
      <c r="V926" s="4"/>
      <c r="W926" s="6"/>
      <c r="X926" s="67"/>
      <c r="Y926" s="67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3"/>
      <c r="M927" s="4"/>
      <c r="N927" s="3"/>
      <c r="O927" s="3"/>
      <c r="P927" s="4"/>
      <c r="Q927" s="4"/>
      <c r="R927" s="3"/>
      <c r="S927" s="4"/>
      <c r="T927" s="5"/>
      <c r="U927" s="4"/>
      <c r="V927" s="4"/>
      <c r="W927" s="6"/>
      <c r="X927" s="67"/>
      <c r="Y927" s="67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4"/>
      <c r="N928" s="3"/>
      <c r="O928" s="3"/>
      <c r="P928" s="4"/>
      <c r="Q928" s="4"/>
      <c r="R928" s="3"/>
      <c r="S928" s="4"/>
      <c r="T928" s="5"/>
      <c r="U928" s="4"/>
      <c r="V928" s="4"/>
      <c r="W928" s="6"/>
      <c r="X928" s="67"/>
      <c r="Y928" s="67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4"/>
      <c r="N929" s="3"/>
      <c r="O929" s="3"/>
      <c r="P929" s="4"/>
      <c r="Q929" s="4"/>
      <c r="R929" s="3"/>
      <c r="S929" s="4"/>
      <c r="T929" s="5"/>
      <c r="U929" s="4"/>
      <c r="V929" s="4"/>
      <c r="W929" s="6"/>
      <c r="X929" s="67"/>
      <c r="Y929" s="67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4"/>
      <c r="N930" s="3"/>
      <c r="O930" s="3"/>
      <c r="P930" s="4"/>
      <c r="Q930" s="4"/>
      <c r="R930" s="3"/>
      <c r="S930" s="4"/>
      <c r="T930" s="5"/>
      <c r="U930" s="4"/>
      <c r="V930" s="4"/>
      <c r="W930" s="6"/>
      <c r="X930" s="67"/>
      <c r="Y930" s="67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4"/>
      <c r="N931" s="3"/>
      <c r="O931" s="3"/>
      <c r="P931" s="4"/>
      <c r="Q931" s="4"/>
      <c r="R931" s="3"/>
      <c r="S931" s="4"/>
      <c r="T931" s="5"/>
      <c r="U931" s="4"/>
      <c r="V931" s="4"/>
      <c r="W931" s="6"/>
      <c r="X931" s="67"/>
      <c r="Y931" s="67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4"/>
      <c r="N932" s="3"/>
      <c r="O932" s="3"/>
      <c r="P932" s="4"/>
      <c r="Q932" s="4"/>
      <c r="R932" s="3"/>
      <c r="S932" s="4"/>
      <c r="T932" s="5"/>
      <c r="U932" s="4"/>
      <c r="V932" s="4"/>
      <c r="W932" s="6"/>
      <c r="X932" s="67"/>
      <c r="Y932" s="67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4"/>
      <c r="N933" s="3"/>
      <c r="O933" s="3"/>
      <c r="P933" s="4"/>
      <c r="Q933" s="4"/>
      <c r="R933" s="3"/>
      <c r="S933" s="4"/>
      <c r="T933" s="5"/>
      <c r="U933" s="4"/>
      <c r="V933" s="4"/>
      <c r="W933" s="6"/>
      <c r="X933" s="67"/>
      <c r="Y933" s="67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4"/>
      <c r="N934" s="3"/>
      <c r="O934" s="3"/>
      <c r="P934" s="4"/>
      <c r="Q934" s="4"/>
      <c r="R934" s="3"/>
      <c r="S934" s="4"/>
      <c r="T934" s="5"/>
      <c r="U934" s="4"/>
      <c r="V934" s="4"/>
      <c r="W934" s="6"/>
      <c r="X934" s="67"/>
      <c r="Y934" s="67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4"/>
      <c r="N935" s="3"/>
      <c r="O935" s="3"/>
      <c r="P935" s="4"/>
      <c r="Q935" s="4"/>
      <c r="R935" s="3"/>
      <c r="S935" s="4"/>
      <c r="T935" s="5"/>
      <c r="U935" s="4"/>
      <c r="V935" s="4"/>
      <c r="W935" s="6"/>
      <c r="X935" s="67"/>
      <c r="Y935" s="67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4"/>
      <c r="N936" s="3"/>
      <c r="O936" s="3"/>
      <c r="P936" s="4"/>
      <c r="Q936" s="4"/>
      <c r="R936" s="3"/>
      <c r="S936" s="4"/>
      <c r="T936" s="5"/>
      <c r="U936" s="4"/>
      <c r="V936" s="4"/>
      <c r="W936" s="6"/>
      <c r="X936" s="67"/>
      <c r="Y936" s="67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3"/>
      <c r="M937" s="4"/>
      <c r="N937" s="3"/>
      <c r="O937" s="3"/>
      <c r="P937" s="4"/>
      <c r="Q937" s="4"/>
      <c r="R937" s="3"/>
      <c r="S937" s="4"/>
      <c r="T937" s="5"/>
      <c r="U937" s="4"/>
      <c r="V937" s="4"/>
      <c r="W937" s="6"/>
      <c r="X937" s="67"/>
      <c r="Y937" s="67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4"/>
      <c r="N938" s="3"/>
      <c r="O938" s="3"/>
      <c r="P938" s="4"/>
      <c r="Q938" s="4"/>
      <c r="R938" s="3"/>
      <c r="S938" s="4"/>
      <c r="T938" s="5"/>
      <c r="U938" s="4"/>
      <c r="V938" s="4"/>
      <c r="W938" s="6"/>
      <c r="X938" s="67"/>
      <c r="Y938" s="67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4"/>
      <c r="N939" s="3"/>
      <c r="O939" s="3"/>
      <c r="P939" s="4"/>
      <c r="Q939" s="4"/>
      <c r="R939" s="3"/>
      <c r="S939" s="4"/>
      <c r="T939" s="5"/>
      <c r="U939" s="4"/>
      <c r="V939" s="4"/>
      <c r="W939" s="6"/>
      <c r="X939" s="67"/>
      <c r="Y939" s="67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3"/>
      <c r="M940" s="4"/>
      <c r="N940" s="3"/>
      <c r="O940" s="3"/>
      <c r="P940" s="4"/>
      <c r="Q940" s="4"/>
      <c r="R940" s="3"/>
      <c r="S940" s="4"/>
      <c r="T940" s="5"/>
      <c r="U940" s="4"/>
      <c r="V940" s="4"/>
      <c r="W940" s="6"/>
      <c r="X940" s="67"/>
      <c r="Y940" s="67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3"/>
      <c r="M941" s="4"/>
      <c r="N941" s="3"/>
      <c r="O941" s="3"/>
      <c r="P941" s="4"/>
      <c r="Q941" s="4"/>
      <c r="R941" s="3"/>
      <c r="S941" s="4"/>
      <c r="T941" s="5"/>
      <c r="U941" s="4"/>
      <c r="V941" s="4"/>
      <c r="W941" s="6"/>
      <c r="X941" s="67"/>
      <c r="Y941" s="67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3"/>
      <c r="M942" s="4"/>
      <c r="N942" s="3"/>
      <c r="O942" s="3"/>
      <c r="P942" s="4"/>
      <c r="Q942" s="4"/>
      <c r="R942" s="3"/>
      <c r="S942" s="4"/>
      <c r="T942" s="5"/>
      <c r="U942" s="4"/>
      <c r="V942" s="4"/>
      <c r="W942" s="6"/>
      <c r="X942" s="67"/>
      <c r="Y942" s="67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3"/>
      <c r="M943" s="4"/>
      <c r="N943" s="3"/>
      <c r="O943" s="3"/>
      <c r="P943" s="4"/>
      <c r="Q943" s="4"/>
      <c r="R943" s="3"/>
      <c r="S943" s="4"/>
      <c r="T943" s="5"/>
      <c r="U943" s="4"/>
      <c r="V943" s="4"/>
      <c r="W943" s="6"/>
      <c r="X943" s="67"/>
      <c r="Y943" s="67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3"/>
      <c r="M944" s="4"/>
      <c r="N944" s="3"/>
      <c r="O944" s="3"/>
      <c r="P944" s="4"/>
      <c r="Q944" s="4"/>
      <c r="R944" s="3"/>
      <c r="S944" s="4"/>
      <c r="T944" s="5"/>
      <c r="U944" s="4"/>
      <c r="V944" s="4"/>
      <c r="W944" s="6"/>
      <c r="X944" s="67"/>
      <c r="Y944" s="67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3"/>
      <c r="M945" s="4"/>
      <c r="N945" s="3"/>
      <c r="O945" s="3"/>
      <c r="P945" s="4"/>
      <c r="Q945" s="4"/>
      <c r="R945" s="3"/>
      <c r="S945" s="4"/>
      <c r="T945" s="5"/>
      <c r="U945" s="4"/>
      <c r="V945" s="4"/>
      <c r="W945" s="6"/>
      <c r="X945" s="67"/>
      <c r="Y945" s="67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4"/>
      <c r="N946" s="3"/>
      <c r="O946" s="3"/>
      <c r="P946" s="4"/>
      <c r="Q946" s="4"/>
      <c r="R946" s="3"/>
      <c r="S946" s="4"/>
      <c r="T946" s="5"/>
      <c r="U946" s="4"/>
      <c r="V946" s="4"/>
      <c r="W946" s="6"/>
      <c r="X946" s="67"/>
      <c r="Y946" s="67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3"/>
      <c r="M947" s="4"/>
      <c r="N947" s="3"/>
      <c r="O947" s="3"/>
      <c r="P947" s="4"/>
      <c r="Q947" s="4"/>
      <c r="R947" s="3"/>
      <c r="S947" s="4"/>
      <c r="T947" s="5"/>
      <c r="U947" s="4"/>
      <c r="V947" s="4"/>
      <c r="W947" s="6"/>
      <c r="X947" s="67"/>
      <c r="Y947" s="67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/>
      <c r="M948" s="4"/>
      <c r="N948" s="3"/>
      <c r="O948" s="3"/>
      <c r="P948" s="4"/>
      <c r="Q948" s="4"/>
      <c r="R948" s="3"/>
      <c r="S948" s="4"/>
      <c r="T948" s="5"/>
      <c r="U948" s="4"/>
      <c r="V948" s="4"/>
      <c r="W948" s="6"/>
      <c r="X948" s="67"/>
      <c r="Y948" s="67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3"/>
      <c r="M949" s="4"/>
      <c r="N949" s="3"/>
      <c r="O949" s="3"/>
      <c r="P949" s="4"/>
      <c r="Q949" s="4"/>
      <c r="R949" s="3"/>
      <c r="S949" s="4"/>
      <c r="T949" s="5"/>
      <c r="U949" s="4"/>
      <c r="V949" s="4"/>
      <c r="W949" s="6"/>
      <c r="X949" s="67"/>
      <c r="Y949" s="67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3"/>
      <c r="M950" s="4"/>
      <c r="N950" s="3"/>
      <c r="O950" s="3"/>
      <c r="P950" s="4"/>
      <c r="Q950" s="4"/>
      <c r="R950" s="3"/>
      <c r="S950" s="4"/>
      <c r="T950" s="5"/>
      <c r="U950" s="4"/>
      <c r="V950" s="4"/>
      <c r="W950" s="6"/>
      <c r="X950" s="67"/>
      <c r="Y950" s="67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3"/>
      <c r="M951" s="4"/>
      <c r="N951" s="3"/>
      <c r="O951" s="3"/>
      <c r="P951" s="4"/>
      <c r="Q951" s="4"/>
      <c r="R951" s="3"/>
      <c r="S951" s="4"/>
      <c r="T951" s="5"/>
      <c r="U951" s="4"/>
      <c r="V951" s="4"/>
      <c r="W951" s="6"/>
      <c r="X951" s="67"/>
      <c r="Y951" s="67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3"/>
      <c r="M952" s="4"/>
      <c r="N952" s="3"/>
      <c r="O952" s="3"/>
      <c r="P952" s="4"/>
      <c r="Q952" s="4"/>
      <c r="R952" s="3"/>
      <c r="S952" s="4"/>
      <c r="T952" s="5"/>
      <c r="U952" s="4"/>
      <c r="V952" s="4"/>
      <c r="W952" s="6"/>
      <c r="X952" s="67"/>
      <c r="Y952" s="67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3"/>
      <c r="M953" s="4"/>
      <c r="N953" s="3"/>
      <c r="O953" s="3"/>
      <c r="P953" s="4"/>
      <c r="Q953" s="4"/>
      <c r="R953" s="3"/>
      <c r="S953" s="4"/>
      <c r="T953" s="5"/>
      <c r="U953" s="4"/>
      <c r="V953" s="4"/>
      <c r="W953" s="6"/>
      <c r="X953" s="67"/>
      <c r="Y953" s="67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3"/>
      <c r="M954" s="4"/>
      <c r="N954" s="3"/>
      <c r="O954" s="3"/>
      <c r="P954" s="4"/>
      <c r="Q954" s="4"/>
      <c r="R954" s="3"/>
      <c r="S954" s="4"/>
      <c r="T954" s="5"/>
      <c r="U954" s="4"/>
      <c r="V954" s="4"/>
      <c r="W954" s="6"/>
      <c r="X954" s="67"/>
      <c r="Y954" s="67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3"/>
      <c r="M955" s="4"/>
      <c r="N955" s="3"/>
      <c r="O955" s="3"/>
      <c r="P955" s="4"/>
      <c r="Q955" s="4"/>
      <c r="R955" s="3"/>
      <c r="S955" s="4"/>
      <c r="T955" s="5"/>
      <c r="U955" s="4"/>
      <c r="V955" s="4"/>
      <c r="W955" s="6"/>
      <c r="X955" s="67"/>
      <c r="Y955" s="67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3"/>
      <c r="M956" s="4"/>
      <c r="N956" s="3"/>
      <c r="O956" s="3"/>
      <c r="P956" s="4"/>
      <c r="Q956" s="4"/>
      <c r="R956" s="3"/>
      <c r="S956" s="4"/>
      <c r="T956" s="5"/>
      <c r="U956" s="4"/>
      <c r="V956" s="4"/>
      <c r="W956" s="6"/>
      <c r="X956" s="67"/>
      <c r="Y956" s="67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3"/>
      <c r="M957" s="4"/>
      <c r="N957" s="3"/>
      <c r="O957" s="3"/>
      <c r="P957" s="4"/>
      <c r="Q957" s="4"/>
      <c r="R957" s="3"/>
      <c r="S957" s="4"/>
      <c r="T957" s="5"/>
      <c r="U957" s="4"/>
      <c r="V957" s="4"/>
      <c r="W957" s="6"/>
      <c r="X957" s="67"/>
      <c r="Y957" s="67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3"/>
      <c r="M958" s="4"/>
      <c r="N958" s="3"/>
      <c r="O958" s="3"/>
      <c r="P958" s="4"/>
      <c r="Q958" s="4"/>
      <c r="R958" s="3"/>
      <c r="S958" s="4"/>
      <c r="T958" s="5"/>
      <c r="U958" s="4"/>
      <c r="V958" s="4"/>
      <c r="W958" s="6"/>
      <c r="X958" s="67"/>
      <c r="Y958" s="67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3"/>
      <c r="M959" s="4"/>
      <c r="N959" s="3"/>
      <c r="O959" s="3"/>
      <c r="P959" s="4"/>
      <c r="Q959" s="4"/>
      <c r="R959" s="3"/>
      <c r="S959" s="4"/>
      <c r="T959" s="5"/>
      <c r="U959" s="4"/>
      <c r="V959" s="4"/>
      <c r="W959" s="6"/>
      <c r="X959" s="67"/>
      <c r="Y959" s="67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3"/>
      <c r="M960" s="4"/>
      <c r="N960" s="3"/>
      <c r="O960" s="3"/>
      <c r="P960" s="4"/>
      <c r="Q960" s="4"/>
      <c r="R960" s="3"/>
      <c r="S960" s="4"/>
      <c r="T960" s="5"/>
      <c r="U960" s="4"/>
      <c r="V960" s="4"/>
      <c r="W960" s="6"/>
      <c r="X960" s="67"/>
      <c r="Y960" s="67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3"/>
      <c r="M961" s="4"/>
      <c r="N961" s="3"/>
      <c r="O961" s="3"/>
      <c r="P961" s="4"/>
      <c r="Q961" s="4"/>
      <c r="R961" s="3"/>
      <c r="S961" s="4"/>
      <c r="T961" s="5"/>
      <c r="U961" s="4"/>
      <c r="V961" s="4"/>
      <c r="W961" s="6"/>
      <c r="X961" s="67"/>
      <c r="Y961" s="67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3"/>
      <c r="M962" s="4"/>
      <c r="N962" s="3"/>
      <c r="O962" s="3"/>
      <c r="P962" s="4"/>
      <c r="Q962" s="4"/>
      <c r="R962" s="3"/>
      <c r="S962" s="4"/>
      <c r="T962" s="5"/>
      <c r="U962" s="4"/>
      <c r="V962" s="4"/>
      <c r="W962" s="6"/>
      <c r="X962" s="67"/>
      <c r="Y962" s="67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3"/>
      <c r="M963" s="4"/>
      <c r="N963" s="3"/>
      <c r="O963" s="3"/>
      <c r="P963" s="4"/>
      <c r="Q963" s="4"/>
      <c r="R963" s="3"/>
      <c r="S963" s="4"/>
      <c r="T963" s="5"/>
      <c r="U963" s="4"/>
      <c r="V963" s="4"/>
      <c r="W963" s="6"/>
      <c r="X963" s="67"/>
      <c r="Y963" s="67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3"/>
      <c r="M964" s="4"/>
      <c r="N964" s="3"/>
      <c r="O964" s="3"/>
      <c r="P964" s="4"/>
      <c r="Q964" s="4"/>
      <c r="R964" s="3"/>
      <c r="S964" s="4"/>
      <c r="T964" s="5"/>
      <c r="U964" s="4"/>
      <c r="V964" s="4"/>
      <c r="W964" s="6"/>
      <c r="X964" s="67"/>
      <c r="Y964" s="67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3"/>
      <c r="M965" s="4"/>
      <c r="N965" s="3"/>
      <c r="O965" s="3"/>
      <c r="P965" s="4"/>
      <c r="Q965" s="4"/>
      <c r="R965" s="3"/>
      <c r="S965" s="4"/>
      <c r="T965" s="5"/>
      <c r="U965" s="4"/>
      <c r="V965" s="4"/>
      <c r="W965" s="6"/>
      <c r="X965" s="67"/>
      <c r="Y965" s="67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3"/>
      <c r="M966" s="4"/>
      <c r="N966" s="3"/>
      <c r="O966" s="3"/>
      <c r="P966" s="4"/>
      <c r="Q966" s="4"/>
      <c r="R966" s="3"/>
      <c r="S966" s="4"/>
      <c r="T966" s="5"/>
      <c r="U966" s="4"/>
      <c r="V966" s="4"/>
      <c r="W966" s="6"/>
      <c r="X966" s="67"/>
      <c r="Y966" s="67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3"/>
      <c r="M967" s="4"/>
      <c r="N967" s="3"/>
      <c r="O967" s="3"/>
      <c r="P967" s="4"/>
      <c r="Q967" s="4"/>
      <c r="R967" s="3"/>
      <c r="S967" s="4"/>
      <c r="T967" s="5"/>
      <c r="U967" s="4"/>
      <c r="V967" s="4"/>
      <c r="W967" s="6"/>
      <c r="X967" s="67"/>
      <c r="Y967" s="67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3"/>
      <c r="M968" s="4"/>
      <c r="N968" s="3"/>
      <c r="O968" s="3"/>
      <c r="P968" s="4"/>
      <c r="Q968" s="4"/>
      <c r="R968" s="3"/>
      <c r="S968" s="4"/>
      <c r="T968" s="5"/>
      <c r="U968" s="4"/>
      <c r="V968" s="4"/>
      <c r="W968" s="6"/>
      <c r="X968" s="67"/>
      <c r="Y968" s="67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3"/>
      <c r="M969" s="4"/>
      <c r="N969" s="3"/>
      <c r="O969" s="3"/>
      <c r="P969" s="4"/>
      <c r="Q969" s="4"/>
      <c r="R969" s="3"/>
      <c r="S969" s="4"/>
      <c r="T969" s="5"/>
      <c r="U969" s="4"/>
      <c r="V969" s="4"/>
      <c r="W969" s="6"/>
      <c r="X969" s="67"/>
      <c r="Y969" s="67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3"/>
      <c r="M970" s="4"/>
      <c r="N970" s="3"/>
      <c r="O970" s="3"/>
      <c r="P970" s="4"/>
      <c r="Q970" s="4"/>
      <c r="R970" s="3"/>
      <c r="S970" s="4"/>
      <c r="T970" s="5"/>
      <c r="U970" s="4"/>
      <c r="V970" s="4"/>
      <c r="W970" s="6"/>
      <c r="X970" s="67"/>
      <c r="Y970" s="67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3"/>
      <c r="M971" s="4"/>
      <c r="N971" s="3"/>
      <c r="O971" s="3"/>
      <c r="P971" s="4"/>
      <c r="Q971" s="4"/>
      <c r="R971" s="3"/>
      <c r="S971" s="4"/>
      <c r="T971" s="5"/>
      <c r="U971" s="4"/>
      <c r="V971" s="4"/>
      <c r="W971" s="6"/>
      <c r="X971" s="67"/>
      <c r="Y971" s="67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3"/>
      <c r="M972" s="4"/>
      <c r="N972" s="3"/>
      <c r="O972" s="3"/>
      <c r="P972" s="4"/>
      <c r="Q972" s="4"/>
      <c r="R972" s="3"/>
      <c r="S972" s="4"/>
      <c r="T972" s="5"/>
      <c r="U972" s="4"/>
      <c r="V972" s="4"/>
      <c r="W972" s="6"/>
      <c r="X972" s="67"/>
      <c r="Y972" s="67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3"/>
      <c r="M973" s="4"/>
      <c r="N973" s="3"/>
      <c r="O973" s="3"/>
      <c r="P973" s="4"/>
      <c r="Q973" s="4"/>
      <c r="R973" s="3"/>
      <c r="S973" s="4"/>
      <c r="T973" s="5"/>
      <c r="U973" s="4"/>
      <c r="V973" s="4"/>
      <c r="W973" s="6"/>
      <c r="X973" s="67"/>
      <c r="Y973" s="67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3"/>
      <c r="M974" s="4"/>
      <c r="N974" s="3"/>
      <c r="O974" s="3"/>
      <c r="P974" s="4"/>
      <c r="Q974" s="4"/>
      <c r="R974" s="3"/>
      <c r="S974" s="4"/>
      <c r="T974" s="5"/>
      <c r="U974" s="4"/>
      <c r="V974" s="4"/>
      <c r="W974" s="6"/>
      <c r="X974" s="67"/>
      <c r="Y974" s="67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3"/>
      <c r="M975" s="4"/>
      <c r="N975" s="3"/>
      <c r="O975" s="3"/>
      <c r="P975" s="4"/>
      <c r="Q975" s="4"/>
      <c r="R975" s="3"/>
      <c r="S975" s="4"/>
      <c r="T975" s="5"/>
      <c r="U975" s="4"/>
      <c r="V975" s="4"/>
      <c r="W975" s="6"/>
      <c r="X975" s="67"/>
      <c r="Y975" s="67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4"/>
      <c r="N976" s="3"/>
      <c r="O976" s="3"/>
      <c r="P976" s="4"/>
      <c r="Q976" s="4"/>
      <c r="R976" s="3"/>
      <c r="S976" s="4"/>
      <c r="T976" s="5"/>
      <c r="U976" s="4"/>
      <c r="V976" s="4"/>
      <c r="W976" s="6"/>
      <c r="X976" s="67"/>
      <c r="Y976" s="67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4"/>
      <c r="N977" s="3"/>
      <c r="O977" s="3"/>
      <c r="P977" s="4"/>
      <c r="Q977" s="4"/>
      <c r="R977" s="3"/>
      <c r="S977" s="4"/>
      <c r="T977" s="5"/>
      <c r="U977" s="4"/>
      <c r="V977" s="4"/>
      <c r="W977" s="6"/>
      <c r="X977" s="67"/>
      <c r="Y977" s="67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4"/>
      <c r="N978" s="3"/>
      <c r="O978" s="3"/>
      <c r="P978" s="4"/>
      <c r="Q978" s="4"/>
      <c r="R978" s="3"/>
      <c r="S978" s="4"/>
      <c r="T978" s="5"/>
      <c r="U978" s="4"/>
      <c r="V978" s="4"/>
      <c r="W978" s="6"/>
      <c r="X978" s="67"/>
      <c r="Y978" s="67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3"/>
      <c r="M979" s="4"/>
      <c r="N979" s="3"/>
      <c r="O979" s="3"/>
      <c r="P979" s="4"/>
      <c r="Q979" s="4"/>
      <c r="R979" s="3"/>
      <c r="S979" s="4"/>
      <c r="T979" s="5"/>
      <c r="U979" s="4"/>
      <c r="V979" s="4"/>
      <c r="W979" s="6"/>
      <c r="X979" s="67"/>
      <c r="Y979" s="67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3"/>
      <c r="M980" s="4"/>
      <c r="N980" s="3"/>
      <c r="O980" s="3"/>
      <c r="P980" s="4"/>
      <c r="Q980" s="4"/>
      <c r="R980" s="3"/>
      <c r="S980" s="4"/>
      <c r="T980" s="5"/>
      <c r="U980" s="4"/>
      <c r="V980" s="4"/>
      <c r="W980" s="6"/>
      <c r="X980" s="67"/>
      <c r="Y980" s="67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4"/>
      <c r="N981" s="3"/>
      <c r="O981" s="3"/>
      <c r="P981" s="4"/>
      <c r="Q981" s="4"/>
      <c r="R981" s="3"/>
      <c r="S981" s="4"/>
      <c r="T981" s="5"/>
      <c r="U981" s="4"/>
      <c r="V981" s="4"/>
      <c r="W981" s="6"/>
      <c r="X981" s="67"/>
      <c r="Y981" s="67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4"/>
      <c r="N982" s="3"/>
      <c r="O982" s="3"/>
      <c r="P982" s="4"/>
      <c r="Q982" s="4"/>
      <c r="R982" s="3"/>
      <c r="S982" s="4"/>
      <c r="T982" s="5"/>
      <c r="U982" s="4"/>
      <c r="V982" s="4"/>
      <c r="W982" s="6"/>
      <c r="X982" s="67"/>
      <c r="Y982" s="67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3"/>
      <c r="M983" s="4"/>
      <c r="N983" s="3"/>
      <c r="O983" s="3"/>
      <c r="P983" s="4"/>
      <c r="Q983" s="4"/>
      <c r="R983" s="3"/>
      <c r="S983" s="4"/>
      <c r="T983" s="5"/>
      <c r="U983" s="4"/>
      <c r="V983" s="4"/>
      <c r="W983" s="6"/>
      <c r="X983" s="67"/>
      <c r="Y983" s="67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3"/>
      <c r="M984" s="4"/>
      <c r="N984" s="3"/>
      <c r="O984" s="3"/>
      <c r="P984" s="4"/>
      <c r="Q984" s="4"/>
      <c r="R984" s="3"/>
      <c r="S984" s="4"/>
      <c r="T984" s="5"/>
      <c r="U984" s="4"/>
      <c r="V984" s="4"/>
      <c r="W984" s="6"/>
      <c r="X984" s="67"/>
      <c r="Y984" s="67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3"/>
      <c r="M985" s="4"/>
      <c r="N985" s="3"/>
      <c r="O985" s="3"/>
      <c r="P985" s="4"/>
      <c r="Q985" s="4"/>
      <c r="R985" s="3"/>
      <c r="S985" s="4"/>
      <c r="T985" s="5"/>
      <c r="U985" s="4"/>
      <c r="V985" s="4"/>
      <c r="W985" s="6"/>
      <c r="X985" s="67"/>
      <c r="Y985" s="67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3"/>
      <c r="M986" s="4"/>
      <c r="N986" s="3"/>
      <c r="O986" s="3"/>
      <c r="P986" s="4"/>
      <c r="Q986" s="4"/>
      <c r="R986" s="3"/>
      <c r="S986" s="4"/>
      <c r="T986" s="5"/>
      <c r="U986" s="4"/>
      <c r="V986" s="4"/>
      <c r="W986" s="6"/>
      <c r="X986" s="67"/>
      <c r="Y986" s="67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3"/>
      <c r="M987" s="4"/>
      <c r="N987" s="3"/>
      <c r="O987" s="3"/>
      <c r="P987" s="4"/>
      <c r="Q987" s="4"/>
      <c r="R987" s="3"/>
      <c r="S987" s="4"/>
      <c r="T987" s="5"/>
      <c r="U987" s="4"/>
      <c r="V987" s="4"/>
      <c r="W987" s="6"/>
      <c r="X987" s="67"/>
      <c r="Y987" s="67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3"/>
      <c r="M988" s="4"/>
      <c r="N988" s="3"/>
      <c r="O988" s="3"/>
      <c r="P988" s="4"/>
      <c r="Q988" s="4"/>
      <c r="R988" s="3"/>
      <c r="S988" s="4"/>
      <c r="T988" s="5"/>
      <c r="U988" s="4"/>
      <c r="V988" s="4"/>
      <c r="W988" s="6"/>
      <c r="X988" s="67"/>
      <c r="Y988" s="67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3"/>
      <c r="M989" s="4"/>
      <c r="N989" s="3"/>
      <c r="O989" s="3"/>
      <c r="P989" s="4"/>
      <c r="Q989" s="4"/>
      <c r="R989" s="3"/>
      <c r="S989" s="4"/>
      <c r="T989" s="5"/>
      <c r="U989" s="4"/>
      <c r="V989" s="4"/>
      <c r="W989" s="6"/>
      <c r="X989" s="67"/>
      <c r="Y989" s="67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3"/>
      <c r="M990" s="4"/>
      <c r="N990" s="3"/>
      <c r="O990" s="3"/>
      <c r="P990" s="4"/>
      <c r="Q990" s="4"/>
      <c r="R990" s="3"/>
      <c r="S990" s="4"/>
      <c r="T990" s="5"/>
      <c r="U990" s="4"/>
      <c r="V990" s="4"/>
      <c r="W990" s="6"/>
      <c r="X990" s="67"/>
      <c r="Y990" s="67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3"/>
      <c r="M991" s="4"/>
      <c r="N991" s="3"/>
      <c r="O991" s="3"/>
      <c r="P991" s="4"/>
      <c r="Q991" s="4"/>
      <c r="R991" s="3"/>
      <c r="S991" s="4"/>
      <c r="T991" s="5"/>
      <c r="U991" s="4"/>
      <c r="V991" s="4"/>
      <c r="W991" s="6"/>
      <c r="X991" s="67"/>
      <c r="Y991" s="67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4"/>
      <c r="N992" s="3"/>
      <c r="O992" s="3"/>
      <c r="P992" s="4"/>
      <c r="Q992" s="4"/>
      <c r="R992" s="3"/>
      <c r="S992" s="4"/>
      <c r="T992" s="5"/>
      <c r="U992" s="4"/>
      <c r="V992" s="4"/>
      <c r="W992" s="6"/>
      <c r="X992" s="67"/>
      <c r="Y992" s="67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3"/>
      <c r="M993" s="4"/>
      <c r="N993" s="3"/>
      <c r="O993" s="3"/>
      <c r="P993" s="4"/>
      <c r="Q993" s="4"/>
      <c r="R993" s="3"/>
      <c r="S993" s="4"/>
      <c r="T993" s="5"/>
      <c r="U993" s="4"/>
      <c r="V993" s="4"/>
      <c r="W993" s="6"/>
      <c r="X993" s="67"/>
      <c r="Y993" s="67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3"/>
      <c r="M994" s="4"/>
      <c r="N994" s="3"/>
      <c r="O994" s="3"/>
      <c r="P994" s="4"/>
      <c r="Q994" s="4"/>
      <c r="R994" s="3"/>
      <c r="S994" s="4"/>
      <c r="T994" s="5"/>
      <c r="U994" s="4"/>
      <c r="V994" s="4"/>
      <c r="W994" s="6"/>
      <c r="X994" s="67"/>
      <c r="Y994" s="67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3"/>
      <c r="M995" s="4"/>
      <c r="N995" s="3"/>
      <c r="O995" s="3"/>
      <c r="P995" s="4"/>
      <c r="Q995" s="4"/>
      <c r="R995" s="3"/>
      <c r="S995" s="4"/>
      <c r="T995" s="5"/>
      <c r="U995" s="4"/>
      <c r="V995" s="4"/>
      <c r="W995" s="6"/>
      <c r="X995" s="67"/>
      <c r="Y995" s="67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3"/>
      <c r="M996" s="4"/>
      <c r="N996" s="3"/>
      <c r="O996" s="3"/>
      <c r="P996" s="4"/>
      <c r="Q996" s="4"/>
      <c r="R996" s="3"/>
      <c r="S996" s="4"/>
      <c r="T996" s="5"/>
      <c r="U996" s="4"/>
      <c r="V996" s="4"/>
      <c r="W996" s="6"/>
      <c r="X996" s="67"/>
      <c r="Y996" s="67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/>
      <c r="M997" s="4"/>
      <c r="N997" s="3"/>
      <c r="O997" s="3"/>
      <c r="P997" s="4"/>
      <c r="Q997" s="4"/>
      <c r="R997" s="3"/>
      <c r="S997" s="4"/>
      <c r="T997" s="5"/>
      <c r="U997" s="4"/>
      <c r="V997" s="4"/>
      <c r="W997" s="6"/>
      <c r="X997" s="67"/>
      <c r="Y997" s="67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3"/>
      <c r="M998" s="4"/>
      <c r="N998" s="3"/>
      <c r="O998" s="3"/>
      <c r="P998" s="4"/>
      <c r="Q998" s="4"/>
      <c r="R998" s="3"/>
      <c r="S998" s="4"/>
      <c r="T998" s="5"/>
      <c r="U998" s="4"/>
      <c r="V998" s="4"/>
      <c r="W998" s="6"/>
      <c r="X998" s="67"/>
      <c r="Y998" s="67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3"/>
      <c r="M999" s="4"/>
      <c r="N999" s="3"/>
      <c r="O999" s="3"/>
      <c r="P999" s="4"/>
      <c r="Q999" s="4"/>
      <c r="R999" s="3"/>
      <c r="S999" s="4"/>
      <c r="T999" s="5"/>
      <c r="U999" s="4"/>
      <c r="V999" s="4"/>
      <c r="W999" s="6"/>
      <c r="X999" s="67"/>
      <c r="Y999" s="67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3"/>
      <c r="M1000" s="4"/>
      <c r="N1000" s="3"/>
      <c r="O1000" s="3"/>
      <c r="P1000" s="4"/>
      <c r="Q1000" s="4"/>
      <c r="R1000" s="3"/>
      <c r="S1000" s="4"/>
      <c r="T1000" s="5"/>
      <c r="U1000" s="4"/>
      <c r="V1000" s="4"/>
      <c r="W1000" s="6"/>
      <c r="X1000" s="67"/>
      <c r="Y1000" s="67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3"/>
      <c r="M1001" s="4"/>
      <c r="N1001" s="3"/>
      <c r="O1001" s="3"/>
      <c r="P1001" s="4"/>
      <c r="Q1001" s="4"/>
      <c r="R1001" s="3"/>
      <c r="S1001" s="4"/>
      <c r="T1001" s="5"/>
      <c r="U1001" s="4"/>
      <c r="V1001" s="4"/>
      <c r="W1001" s="6"/>
      <c r="X1001" s="67"/>
      <c r="Y1001" s="67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3"/>
      <c r="M1002" s="4"/>
      <c r="N1002" s="3"/>
      <c r="O1002" s="3"/>
      <c r="P1002" s="4"/>
      <c r="Q1002" s="4"/>
      <c r="R1002" s="3"/>
      <c r="S1002" s="4"/>
      <c r="T1002" s="5"/>
      <c r="U1002" s="4"/>
      <c r="V1002" s="4"/>
      <c r="W1002" s="6"/>
      <c r="X1002" s="67"/>
      <c r="Y1002" s="67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3"/>
      <c r="M1003" s="4"/>
      <c r="N1003" s="3"/>
      <c r="O1003" s="3"/>
      <c r="P1003" s="4"/>
      <c r="Q1003" s="4"/>
      <c r="R1003" s="3"/>
      <c r="S1003" s="4"/>
      <c r="T1003" s="5"/>
      <c r="U1003" s="4"/>
      <c r="V1003" s="4"/>
      <c r="W1003" s="6"/>
      <c r="X1003" s="67"/>
      <c r="Y1003" s="67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4"/>
      <c r="N1004" s="3"/>
      <c r="O1004" s="3"/>
      <c r="P1004" s="4"/>
      <c r="Q1004" s="4"/>
      <c r="R1004" s="3"/>
      <c r="S1004" s="4"/>
      <c r="T1004" s="5"/>
      <c r="U1004" s="4"/>
      <c r="V1004" s="4"/>
      <c r="W1004" s="6"/>
      <c r="X1004" s="67"/>
      <c r="Y1004" s="67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3"/>
      <c r="M1005" s="4"/>
      <c r="N1005" s="3"/>
      <c r="O1005" s="3"/>
      <c r="P1005" s="4"/>
      <c r="Q1005" s="4"/>
      <c r="R1005" s="3"/>
      <c r="S1005" s="4"/>
      <c r="T1005" s="5"/>
      <c r="U1005" s="4"/>
      <c r="V1005" s="4"/>
      <c r="W1005" s="6"/>
      <c r="X1005" s="67"/>
      <c r="Y1005" s="67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3"/>
      <c r="M1006" s="4"/>
      <c r="N1006" s="3"/>
      <c r="O1006" s="3"/>
      <c r="P1006" s="4"/>
      <c r="Q1006" s="4"/>
      <c r="R1006" s="3"/>
      <c r="S1006" s="4"/>
      <c r="T1006" s="5"/>
      <c r="U1006" s="4"/>
      <c r="V1006" s="4"/>
      <c r="W1006" s="6"/>
      <c r="X1006" s="67"/>
      <c r="Y1006" s="67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3"/>
      <c r="M1007" s="4"/>
      <c r="N1007" s="3"/>
      <c r="O1007" s="3"/>
      <c r="P1007" s="4"/>
      <c r="Q1007" s="4"/>
      <c r="R1007" s="3"/>
      <c r="S1007" s="4"/>
      <c r="T1007" s="5"/>
      <c r="U1007" s="4"/>
      <c r="V1007" s="4"/>
      <c r="W1007" s="6"/>
      <c r="X1007" s="67"/>
      <c r="Y1007" s="67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3"/>
      <c r="M1008" s="4"/>
      <c r="N1008" s="3"/>
      <c r="O1008" s="3"/>
      <c r="P1008" s="4"/>
      <c r="Q1008" s="4"/>
      <c r="R1008" s="3"/>
      <c r="S1008" s="4"/>
      <c r="T1008" s="5"/>
      <c r="U1008" s="4"/>
      <c r="V1008" s="4"/>
      <c r="W1008" s="6"/>
      <c r="X1008" s="67"/>
      <c r="Y1008" s="67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3"/>
      <c r="M1009" s="4"/>
      <c r="N1009" s="3"/>
      <c r="O1009" s="3"/>
      <c r="P1009" s="4"/>
      <c r="Q1009" s="4"/>
      <c r="R1009" s="3"/>
      <c r="S1009" s="4"/>
      <c r="T1009" s="5"/>
      <c r="U1009" s="4"/>
      <c r="V1009" s="4"/>
      <c r="W1009" s="6"/>
      <c r="X1009" s="67"/>
      <c r="Y1009" s="67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3"/>
      <c r="M1010" s="4"/>
      <c r="N1010" s="3"/>
      <c r="O1010" s="3"/>
      <c r="P1010" s="4"/>
      <c r="Q1010" s="4"/>
      <c r="R1010" s="3"/>
      <c r="S1010" s="4"/>
      <c r="T1010" s="5"/>
      <c r="U1010" s="4"/>
      <c r="V1010" s="4"/>
      <c r="W1010" s="6"/>
      <c r="X1010" s="67"/>
      <c r="Y1010" s="67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3"/>
      <c r="M1011" s="4"/>
      <c r="N1011" s="3"/>
      <c r="O1011" s="3"/>
      <c r="P1011" s="4"/>
      <c r="Q1011" s="4"/>
      <c r="R1011" s="3"/>
      <c r="S1011" s="4"/>
      <c r="T1011" s="5"/>
      <c r="U1011" s="4"/>
      <c r="V1011" s="4"/>
      <c r="W1011" s="6"/>
      <c r="X1011" s="67"/>
      <c r="Y1011" s="67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3"/>
      <c r="M1012" s="4"/>
      <c r="N1012" s="3"/>
      <c r="O1012" s="3"/>
      <c r="P1012" s="4"/>
      <c r="Q1012" s="4"/>
      <c r="R1012" s="3"/>
      <c r="S1012" s="4"/>
      <c r="T1012" s="5"/>
      <c r="U1012" s="4"/>
      <c r="V1012" s="4"/>
      <c r="W1012" s="6"/>
      <c r="X1012" s="67"/>
      <c r="Y1012" s="67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3"/>
      <c r="M1013" s="4"/>
      <c r="N1013" s="3"/>
      <c r="O1013" s="3"/>
      <c r="P1013" s="4"/>
      <c r="Q1013" s="4"/>
      <c r="R1013" s="3"/>
      <c r="S1013" s="4"/>
      <c r="T1013" s="5"/>
      <c r="U1013" s="4"/>
      <c r="V1013" s="4"/>
      <c r="W1013" s="6"/>
      <c r="X1013" s="67"/>
      <c r="Y1013" s="67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3"/>
      <c r="M1014" s="4"/>
      <c r="N1014" s="3"/>
      <c r="O1014" s="3"/>
      <c r="P1014" s="4"/>
      <c r="Q1014" s="4"/>
      <c r="R1014" s="3"/>
      <c r="S1014" s="4"/>
      <c r="T1014" s="5"/>
      <c r="U1014" s="4"/>
      <c r="V1014" s="4"/>
      <c r="W1014" s="6"/>
      <c r="X1014" s="67"/>
      <c r="Y1014" s="67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3"/>
      <c r="M1015" s="4"/>
      <c r="N1015" s="3"/>
      <c r="O1015" s="3"/>
      <c r="P1015" s="4"/>
      <c r="Q1015" s="4"/>
      <c r="R1015" s="3"/>
      <c r="S1015" s="4"/>
      <c r="T1015" s="5"/>
      <c r="U1015" s="4"/>
      <c r="V1015" s="4"/>
      <c r="W1015" s="6"/>
      <c r="X1015" s="67"/>
      <c r="Y1015" s="67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3"/>
      <c r="M1016" s="4"/>
      <c r="N1016" s="3"/>
      <c r="O1016" s="3"/>
      <c r="P1016" s="4"/>
      <c r="Q1016" s="4"/>
      <c r="R1016" s="3"/>
      <c r="S1016" s="4"/>
      <c r="T1016" s="5"/>
      <c r="U1016" s="4"/>
      <c r="V1016" s="4"/>
      <c r="W1016" s="6"/>
      <c r="X1016" s="67"/>
      <c r="Y1016" s="67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3"/>
      <c r="M1017" s="4"/>
      <c r="N1017" s="3"/>
      <c r="O1017" s="3"/>
      <c r="P1017" s="4"/>
      <c r="Q1017" s="4"/>
      <c r="R1017" s="3"/>
      <c r="S1017" s="4"/>
      <c r="T1017" s="5"/>
      <c r="U1017" s="4"/>
      <c r="V1017" s="4"/>
      <c r="W1017" s="6"/>
      <c r="X1017" s="67"/>
      <c r="Y1017" s="67"/>
      <c r="Z1017" s="4"/>
      <c r="AA1017" s="4"/>
      <c r="AB1017" s="4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3"/>
      <c r="M1018" s="4"/>
      <c r="N1018" s="3"/>
      <c r="O1018" s="3"/>
      <c r="P1018" s="4"/>
      <c r="Q1018" s="4"/>
      <c r="R1018" s="3"/>
      <c r="S1018" s="4"/>
      <c r="T1018" s="5"/>
      <c r="U1018" s="4"/>
      <c r="V1018" s="4"/>
      <c r="W1018" s="6"/>
      <c r="X1018" s="67"/>
      <c r="Y1018" s="67"/>
      <c r="Z1018" s="4"/>
      <c r="AA1018" s="4"/>
      <c r="AB1018" s="4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3"/>
      <c r="M1019" s="4"/>
      <c r="N1019" s="3"/>
      <c r="O1019" s="3"/>
      <c r="P1019" s="4"/>
      <c r="Q1019" s="4"/>
      <c r="R1019" s="3"/>
      <c r="S1019" s="4"/>
      <c r="T1019" s="5"/>
      <c r="U1019" s="4"/>
      <c r="V1019" s="4"/>
      <c r="W1019" s="6"/>
      <c r="X1019" s="67"/>
      <c r="Y1019" s="67"/>
      <c r="Z1019" s="4"/>
      <c r="AA1019" s="4"/>
      <c r="AB1019" s="4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3"/>
      <c r="M1020" s="4"/>
      <c r="N1020" s="3"/>
      <c r="O1020" s="3"/>
      <c r="P1020" s="4"/>
      <c r="Q1020" s="4"/>
      <c r="R1020" s="3"/>
      <c r="S1020" s="4"/>
      <c r="T1020" s="5"/>
      <c r="U1020" s="4"/>
      <c r="V1020" s="4"/>
      <c r="W1020" s="6"/>
      <c r="X1020" s="67"/>
      <c r="Y1020" s="67"/>
      <c r="Z1020" s="4"/>
      <c r="AA1020" s="4"/>
      <c r="AB1020" s="4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3"/>
      <c r="M1021" s="4"/>
      <c r="N1021" s="3"/>
      <c r="O1021" s="3"/>
      <c r="P1021" s="4"/>
      <c r="Q1021" s="4"/>
      <c r="R1021" s="3"/>
      <c r="S1021" s="4"/>
      <c r="T1021" s="5"/>
      <c r="U1021" s="4"/>
      <c r="V1021" s="4"/>
      <c r="W1021" s="6"/>
      <c r="X1021" s="67"/>
      <c r="Y1021" s="67"/>
      <c r="Z1021" s="4"/>
      <c r="AA1021" s="4"/>
      <c r="AB1021" s="4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3"/>
      <c r="M1022" s="4"/>
      <c r="N1022" s="3"/>
      <c r="O1022" s="3"/>
      <c r="P1022" s="4"/>
      <c r="Q1022" s="4"/>
      <c r="R1022" s="3"/>
      <c r="S1022" s="4"/>
      <c r="T1022" s="5"/>
      <c r="U1022" s="4"/>
      <c r="V1022" s="4"/>
      <c r="W1022" s="6"/>
      <c r="X1022" s="67"/>
      <c r="Y1022" s="67"/>
      <c r="Z1022" s="4"/>
      <c r="AA1022" s="4"/>
      <c r="AB1022" s="4"/>
      <c r="AC1022" s="4"/>
      <c r="AD1022" s="4"/>
      <c r="AE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3"/>
      <c r="M1023" s="4"/>
      <c r="N1023" s="3"/>
      <c r="O1023" s="3"/>
      <c r="P1023" s="4"/>
      <c r="Q1023" s="4"/>
      <c r="R1023" s="3"/>
      <c r="S1023" s="4"/>
      <c r="T1023" s="5"/>
      <c r="U1023" s="4"/>
      <c r="V1023" s="4"/>
      <c r="W1023" s="6"/>
      <c r="X1023" s="67"/>
      <c r="Y1023" s="67"/>
      <c r="Z1023" s="4"/>
      <c r="AA1023" s="4"/>
      <c r="AB1023" s="4"/>
      <c r="AC1023" s="4"/>
      <c r="AD1023" s="4"/>
      <c r="AE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3"/>
      <c r="M1024" s="4"/>
      <c r="N1024" s="3"/>
      <c r="O1024" s="3"/>
      <c r="P1024" s="4"/>
      <c r="Q1024" s="4"/>
      <c r="R1024" s="3"/>
      <c r="S1024" s="4"/>
      <c r="T1024" s="5"/>
      <c r="U1024" s="4"/>
      <c r="V1024" s="4"/>
      <c r="W1024" s="6"/>
      <c r="X1024" s="67"/>
      <c r="Y1024" s="67"/>
      <c r="Z1024" s="4"/>
      <c r="AA1024" s="4"/>
      <c r="AB1024" s="4"/>
      <c r="AC1024" s="4"/>
      <c r="AD1024" s="4"/>
      <c r="AE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3"/>
      <c r="M1025" s="4"/>
      <c r="N1025" s="3"/>
      <c r="O1025" s="3"/>
      <c r="P1025" s="4"/>
      <c r="Q1025" s="4"/>
      <c r="R1025" s="3"/>
      <c r="S1025" s="4"/>
      <c r="T1025" s="5"/>
      <c r="U1025" s="4"/>
      <c r="V1025" s="4"/>
      <c r="W1025" s="6"/>
      <c r="X1025" s="67"/>
      <c r="Y1025" s="67"/>
      <c r="Z1025" s="4"/>
      <c r="AA1025" s="4"/>
      <c r="AB1025" s="4"/>
      <c r="AC1025" s="4"/>
      <c r="AD1025" s="4"/>
      <c r="AE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3"/>
      <c r="M1026" s="4"/>
      <c r="N1026" s="3"/>
      <c r="O1026" s="3"/>
      <c r="P1026" s="4"/>
      <c r="Q1026" s="4"/>
      <c r="R1026" s="3"/>
      <c r="S1026" s="4"/>
      <c r="T1026" s="5"/>
      <c r="U1026" s="4"/>
      <c r="V1026" s="4"/>
      <c r="W1026" s="6"/>
      <c r="X1026" s="67"/>
      <c r="Y1026" s="67"/>
      <c r="Z1026" s="4"/>
      <c r="AA1026" s="4"/>
      <c r="AB1026" s="4"/>
      <c r="AC1026" s="4"/>
      <c r="AD1026" s="4"/>
      <c r="AE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3"/>
      <c r="M1027" s="4"/>
      <c r="N1027" s="3"/>
      <c r="O1027" s="3"/>
      <c r="P1027" s="4"/>
      <c r="Q1027" s="4"/>
      <c r="R1027" s="3"/>
      <c r="S1027" s="4"/>
      <c r="T1027" s="5"/>
      <c r="U1027" s="4"/>
      <c r="V1027" s="4"/>
      <c r="W1027" s="6"/>
      <c r="X1027" s="67"/>
      <c r="Y1027" s="67"/>
      <c r="Z1027" s="4"/>
      <c r="AA1027" s="4"/>
      <c r="AB1027" s="4"/>
      <c r="AC1027" s="4"/>
      <c r="AD1027" s="4"/>
      <c r="AE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3"/>
      <c r="M1028" s="4"/>
      <c r="N1028" s="3"/>
      <c r="O1028" s="3"/>
      <c r="P1028" s="4"/>
      <c r="Q1028" s="4"/>
      <c r="R1028" s="3"/>
      <c r="S1028" s="4"/>
      <c r="T1028" s="5"/>
      <c r="U1028" s="4"/>
      <c r="V1028" s="4"/>
      <c r="W1028" s="6"/>
      <c r="X1028" s="67"/>
      <c r="Y1028" s="67"/>
      <c r="Z1028" s="4"/>
      <c r="AA1028" s="4"/>
      <c r="AB1028" s="4"/>
      <c r="AC1028" s="4"/>
      <c r="AD1028" s="4"/>
      <c r="AE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3"/>
      <c r="M1029" s="4"/>
      <c r="N1029" s="3"/>
      <c r="O1029" s="3"/>
      <c r="P1029" s="4"/>
      <c r="Q1029" s="4"/>
      <c r="R1029" s="3"/>
      <c r="S1029" s="4"/>
      <c r="T1029" s="5"/>
      <c r="U1029" s="4"/>
      <c r="V1029" s="4"/>
      <c r="W1029" s="6"/>
      <c r="X1029" s="67"/>
      <c r="Y1029" s="67"/>
      <c r="Z1029" s="4"/>
      <c r="AA1029" s="4"/>
      <c r="AB1029" s="4"/>
      <c r="AC1029" s="4"/>
      <c r="AD1029" s="4"/>
      <c r="AE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3"/>
      <c r="M1030" s="4"/>
      <c r="N1030" s="3"/>
      <c r="O1030" s="3"/>
      <c r="P1030" s="4"/>
      <c r="Q1030" s="4"/>
      <c r="R1030" s="3"/>
      <c r="S1030" s="4"/>
      <c r="T1030" s="5"/>
      <c r="U1030" s="4"/>
      <c r="V1030" s="4"/>
      <c r="W1030" s="6"/>
      <c r="X1030" s="67"/>
      <c r="Y1030" s="67"/>
      <c r="Z1030" s="4"/>
      <c r="AA1030" s="4"/>
      <c r="AB1030" s="4"/>
      <c r="AC1030" s="4"/>
      <c r="AD1030" s="4"/>
      <c r="AE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3"/>
      <c r="M1031" s="4"/>
      <c r="N1031" s="3"/>
      <c r="O1031" s="3"/>
      <c r="P1031" s="4"/>
      <c r="Q1031" s="4"/>
      <c r="R1031" s="3"/>
      <c r="S1031" s="4"/>
      <c r="T1031" s="5"/>
      <c r="U1031" s="4"/>
      <c r="V1031" s="4"/>
      <c r="W1031" s="6"/>
      <c r="X1031" s="67"/>
      <c r="Y1031" s="67"/>
      <c r="Z1031" s="4"/>
      <c r="AA1031" s="4"/>
      <c r="AB1031" s="4"/>
      <c r="AC1031" s="4"/>
      <c r="AD1031" s="4"/>
      <c r="AE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3"/>
      <c r="M1032" s="4"/>
      <c r="N1032" s="3"/>
      <c r="O1032" s="3"/>
      <c r="P1032" s="4"/>
      <c r="Q1032" s="4"/>
      <c r="R1032" s="3"/>
      <c r="S1032" s="4"/>
      <c r="T1032" s="5"/>
      <c r="U1032" s="4"/>
      <c r="V1032" s="4"/>
      <c r="W1032" s="6"/>
      <c r="X1032" s="67"/>
      <c r="Y1032" s="67"/>
      <c r="Z1032" s="4"/>
      <c r="AA1032" s="4"/>
      <c r="AB1032" s="4"/>
      <c r="AC1032" s="4"/>
      <c r="AD1032" s="4"/>
      <c r="AE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3"/>
      <c r="M1033" s="4"/>
      <c r="N1033" s="3"/>
      <c r="O1033" s="3"/>
      <c r="P1033" s="4"/>
      <c r="Q1033" s="4"/>
      <c r="R1033" s="3"/>
      <c r="S1033" s="4"/>
      <c r="T1033" s="5"/>
      <c r="U1033" s="4"/>
      <c r="V1033" s="4"/>
      <c r="W1033" s="6"/>
      <c r="X1033" s="67"/>
      <c r="Y1033" s="67"/>
      <c r="Z1033" s="4"/>
      <c r="AA1033" s="4"/>
      <c r="AB1033" s="4"/>
      <c r="AC1033" s="4"/>
      <c r="AD1033" s="4"/>
      <c r="AE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3"/>
      <c r="M1034" s="4"/>
      <c r="N1034" s="3"/>
      <c r="O1034" s="3"/>
      <c r="P1034" s="4"/>
      <c r="Q1034" s="4"/>
      <c r="R1034" s="3"/>
      <c r="S1034" s="4"/>
      <c r="T1034" s="5"/>
      <c r="U1034" s="4"/>
      <c r="V1034" s="4"/>
      <c r="W1034" s="6"/>
      <c r="X1034" s="67"/>
      <c r="Y1034" s="67"/>
      <c r="Z1034" s="4"/>
      <c r="AA1034" s="4"/>
      <c r="AB1034" s="4"/>
      <c r="AC1034" s="4"/>
      <c r="AD1034" s="4"/>
      <c r="AE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3"/>
      <c r="M1035" s="4"/>
      <c r="N1035" s="3"/>
      <c r="O1035" s="3"/>
      <c r="P1035" s="4"/>
      <c r="Q1035" s="4"/>
      <c r="R1035" s="3"/>
      <c r="S1035" s="4"/>
      <c r="T1035" s="5"/>
      <c r="U1035" s="4"/>
      <c r="V1035" s="4"/>
      <c r="W1035" s="6"/>
      <c r="X1035" s="67"/>
      <c r="Y1035" s="67"/>
      <c r="Z1035" s="4"/>
      <c r="AA1035" s="4"/>
      <c r="AB1035" s="4"/>
      <c r="AC1035" s="4"/>
      <c r="AD1035" s="4"/>
      <c r="AE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3"/>
      <c r="M1036" s="4"/>
      <c r="N1036" s="3"/>
      <c r="O1036" s="3"/>
      <c r="P1036" s="4"/>
      <c r="Q1036" s="4"/>
      <c r="R1036" s="3"/>
      <c r="S1036" s="4"/>
      <c r="T1036" s="5"/>
      <c r="U1036" s="4"/>
      <c r="V1036" s="4"/>
      <c r="W1036" s="6"/>
      <c r="X1036" s="67"/>
      <c r="Y1036" s="67"/>
      <c r="Z1036" s="4"/>
      <c r="AA1036" s="4"/>
      <c r="AB1036" s="4"/>
      <c r="AC1036" s="4"/>
      <c r="AD1036" s="4"/>
      <c r="AE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3"/>
      <c r="M1037" s="4"/>
      <c r="N1037" s="3"/>
      <c r="O1037" s="3"/>
      <c r="P1037" s="4"/>
      <c r="Q1037" s="4"/>
      <c r="R1037" s="3"/>
      <c r="S1037" s="4"/>
      <c r="T1037" s="5"/>
      <c r="U1037" s="4"/>
      <c r="V1037" s="4"/>
      <c r="W1037" s="6"/>
      <c r="X1037" s="67"/>
      <c r="Y1037" s="67"/>
      <c r="Z1037" s="4"/>
      <c r="AA1037" s="4"/>
      <c r="AB1037" s="4"/>
      <c r="AC1037" s="4"/>
      <c r="AD1037" s="4"/>
      <c r="AE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3"/>
      <c r="M1038" s="4"/>
      <c r="N1038" s="3"/>
      <c r="O1038" s="3"/>
      <c r="P1038" s="4"/>
      <c r="Q1038" s="4"/>
      <c r="R1038" s="3"/>
      <c r="S1038" s="4"/>
      <c r="T1038" s="5"/>
      <c r="U1038" s="4"/>
      <c r="V1038" s="4"/>
      <c r="W1038" s="6"/>
      <c r="X1038" s="67"/>
      <c r="Y1038" s="67"/>
      <c r="Z1038" s="4"/>
      <c r="AA1038" s="4"/>
      <c r="AB1038" s="4"/>
      <c r="AC1038" s="4"/>
      <c r="AD1038" s="4"/>
      <c r="AE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3"/>
      <c r="M1039" s="4"/>
      <c r="N1039" s="3"/>
      <c r="O1039" s="3"/>
      <c r="P1039" s="4"/>
      <c r="Q1039" s="4"/>
      <c r="R1039" s="3"/>
      <c r="S1039" s="4"/>
      <c r="T1039" s="5"/>
      <c r="U1039" s="4"/>
      <c r="V1039" s="4"/>
      <c r="W1039" s="6"/>
      <c r="X1039" s="67"/>
      <c r="Y1039" s="67"/>
      <c r="Z1039" s="4"/>
      <c r="AA1039" s="4"/>
      <c r="AB1039" s="4"/>
      <c r="AC1039" s="4"/>
      <c r="AD1039" s="4"/>
      <c r="AE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3"/>
      <c r="M1040" s="4"/>
      <c r="N1040" s="3"/>
      <c r="O1040" s="3"/>
      <c r="P1040" s="4"/>
      <c r="Q1040" s="4"/>
      <c r="R1040" s="3"/>
      <c r="S1040" s="4"/>
      <c r="T1040" s="5"/>
      <c r="U1040" s="4"/>
      <c r="V1040" s="4"/>
      <c r="W1040" s="6"/>
      <c r="X1040" s="67"/>
      <c r="Y1040" s="67"/>
      <c r="Z1040" s="4"/>
      <c r="AA1040" s="4"/>
      <c r="AB1040" s="4"/>
      <c r="AC1040" s="4"/>
      <c r="AD1040" s="4"/>
      <c r="AE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3"/>
      <c r="M1041" s="4"/>
      <c r="N1041" s="3"/>
      <c r="O1041" s="3"/>
      <c r="P1041" s="4"/>
      <c r="Q1041" s="4"/>
      <c r="R1041" s="3"/>
      <c r="S1041" s="4"/>
      <c r="T1041" s="5"/>
      <c r="U1041" s="4"/>
      <c r="V1041" s="4"/>
      <c r="W1041" s="6"/>
      <c r="X1041" s="67"/>
      <c r="Y1041" s="67"/>
      <c r="Z1041" s="4"/>
      <c r="AA1041" s="4"/>
      <c r="AB1041" s="4"/>
      <c r="AC1041" s="4"/>
      <c r="AD1041" s="4"/>
      <c r="AE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3"/>
      <c r="M1042" s="4"/>
      <c r="N1042" s="3"/>
      <c r="O1042" s="3"/>
      <c r="P1042" s="4"/>
      <c r="Q1042" s="4"/>
      <c r="R1042" s="3"/>
      <c r="S1042" s="4"/>
      <c r="T1042" s="5"/>
      <c r="U1042" s="4"/>
      <c r="V1042" s="4"/>
      <c r="W1042" s="6"/>
      <c r="X1042" s="67"/>
      <c r="Y1042" s="67"/>
      <c r="Z1042" s="4"/>
      <c r="AA1042" s="4"/>
      <c r="AB1042" s="4"/>
      <c r="AC1042" s="4"/>
      <c r="AD1042" s="4"/>
      <c r="AE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3"/>
      <c r="M1043" s="4"/>
      <c r="N1043" s="3"/>
      <c r="O1043" s="3"/>
      <c r="P1043" s="4"/>
      <c r="Q1043" s="4"/>
      <c r="R1043" s="3"/>
      <c r="S1043" s="4"/>
      <c r="T1043" s="5"/>
      <c r="U1043" s="4"/>
      <c r="V1043" s="4"/>
      <c r="W1043" s="6"/>
      <c r="X1043" s="67"/>
      <c r="Y1043" s="67"/>
      <c r="Z1043" s="4"/>
      <c r="AA1043" s="4"/>
      <c r="AB1043" s="4"/>
      <c r="AC1043" s="4"/>
      <c r="AD1043" s="4"/>
      <c r="AE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3"/>
      <c r="M1044" s="4"/>
      <c r="N1044" s="3"/>
      <c r="O1044" s="3"/>
      <c r="P1044" s="4"/>
      <c r="Q1044" s="4"/>
      <c r="R1044" s="3"/>
      <c r="S1044" s="4"/>
      <c r="T1044" s="5"/>
      <c r="U1044" s="4"/>
      <c r="V1044" s="4"/>
      <c r="W1044" s="6"/>
      <c r="X1044" s="67"/>
      <c r="Y1044" s="67"/>
      <c r="Z1044" s="4"/>
      <c r="AA1044" s="4"/>
      <c r="AB1044" s="4"/>
      <c r="AC1044" s="4"/>
      <c r="AD1044" s="4"/>
      <c r="AE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3"/>
      <c r="M1045" s="4"/>
      <c r="N1045" s="3"/>
      <c r="O1045" s="3"/>
      <c r="P1045" s="4"/>
      <c r="Q1045" s="4"/>
      <c r="R1045" s="3"/>
      <c r="S1045" s="4"/>
      <c r="T1045" s="5"/>
      <c r="U1045" s="4"/>
      <c r="V1045" s="4"/>
      <c r="W1045" s="6"/>
      <c r="X1045" s="67"/>
      <c r="Y1045" s="67"/>
      <c r="Z1045" s="4"/>
      <c r="AA1045" s="4"/>
      <c r="AB1045" s="4"/>
      <c r="AC1045" s="4"/>
      <c r="AD1045" s="4"/>
      <c r="AE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3"/>
      <c r="M1046" s="4"/>
      <c r="N1046" s="3"/>
      <c r="O1046" s="3"/>
      <c r="P1046" s="4"/>
      <c r="Q1046" s="4"/>
      <c r="R1046" s="3"/>
      <c r="S1046" s="4"/>
      <c r="T1046" s="5"/>
      <c r="U1046" s="4"/>
      <c r="V1046" s="4"/>
      <c r="W1046" s="6"/>
      <c r="X1046" s="67"/>
      <c r="Y1046" s="67"/>
      <c r="Z1046" s="4"/>
      <c r="AA1046" s="4"/>
      <c r="AB1046" s="4"/>
      <c r="AC1046" s="4"/>
      <c r="AD1046" s="4"/>
      <c r="AE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3"/>
      <c r="M1047" s="4"/>
      <c r="N1047" s="3"/>
      <c r="O1047" s="3"/>
      <c r="P1047" s="4"/>
      <c r="Q1047" s="4"/>
      <c r="R1047" s="3"/>
      <c r="S1047" s="4"/>
      <c r="T1047" s="5"/>
      <c r="U1047" s="4"/>
      <c r="V1047" s="4"/>
      <c r="W1047" s="6"/>
      <c r="X1047" s="67"/>
      <c r="Y1047" s="67"/>
      <c r="Z1047" s="4"/>
      <c r="AA1047" s="4"/>
      <c r="AB1047" s="4"/>
      <c r="AC1047" s="4"/>
      <c r="AD1047" s="4"/>
      <c r="AE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3"/>
      <c r="M1048" s="4"/>
      <c r="N1048" s="3"/>
      <c r="O1048" s="3"/>
      <c r="P1048" s="4"/>
      <c r="Q1048" s="4"/>
      <c r="R1048" s="3"/>
      <c r="S1048" s="4"/>
      <c r="T1048" s="5"/>
      <c r="U1048" s="4"/>
      <c r="V1048" s="4"/>
      <c r="W1048" s="6"/>
      <c r="X1048" s="67"/>
      <c r="Y1048" s="67"/>
      <c r="Z1048" s="4"/>
      <c r="AA1048" s="4"/>
      <c r="AB1048" s="4"/>
      <c r="AC1048" s="4"/>
      <c r="AD1048" s="4"/>
      <c r="AE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3"/>
      <c r="M1049" s="4"/>
      <c r="N1049" s="3"/>
      <c r="O1049" s="3"/>
      <c r="P1049" s="4"/>
      <c r="Q1049" s="4"/>
      <c r="R1049" s="3"/>
      <c r="S1049" s="4"/>
      <c r="T1049" s="5"/>
      <c r="U1049" s="4"/>
      <c r="V1049" s="4"/>
      <c r="W1049" s="6"/>
      <c r="X1049" s="67"/>
      <c r="Y1049" s="67"/>
      <c r="Z1049" s="4"/>
      <c r="AA1049" s="4"/>
      <c r="AB1049" s="4"/>
      <c r="AC1049" s="4"/>
      <c r="AD1049" s="4"/>
      <c r="AE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3"/>
      <c r="M1050" s="4"/>
      <c r="N1050" s="3"/>
      <c r="O1050" s="3"/>
      <c r="P1050" s="4"/>
      <c r="Q1050" s="4"/>
      <c r="R1050" s="3"/>
      <c r="S1050" s="4"/>
      <c r="T1050" s="5"/>
      <c r="U1050" s="4"/>
      <c r="V1050" s="4"/>
      <c r="W1050" s="6"/>
      <c r="X1050" s="67"/>
      <c r="Y1050" s="67"/>
      <c r="Z1050" s="4"/>
      <c r="AA1050" s="4"/>
      <c r="AB1050" s="4"/>
      <c r="AC1050" s="4"/>
      <c r="AD1050" s="4"/>
      <c r="AE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3"/>
      <c r="M1051" s="4"/>
      <c r="N1051" s="3"/>
      <c r="O1051" s="3"/>
      <c r="P1051" s="4"/>
      <c r="Q1051" s="4"/>
      <c r="R1051" s="3"/>
      <c r="S1051" s="4"/>
      <c r="T1051" s="5"/>
      <c r="U1051" s="4"/>
      <c r="V1051" s="4"/>
      <c r="W1051" s="6"/>
      <c r="X1051" s="67"/>
      <c r="Y1051" s="67"/>
      <c r="Z1051" s="4"/>
      <c r="AA1051" s="4"/>
      <c r="AB1051" s="4"/>
      <c r="AC1051" s="4"/>
      <c r="AD1051" s="4"/>
      <c r="AE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3"/>
      <c r="M1052" s="4"/>
      <c r="N1052" s="3"/>
      <c r="O1052" s="3"/>
      <c r="P1052" s="4"/>
      <c r="Q1052" s="4"/>
      <c r="R1052" s="3"/>
      <c r="S1052" s="4"/>
      <c r="T1052" s="5"/>
      <c r="U1052" s="4"/>
      <c r="V1052" s="4"/>
      <c r="W1052" s="6"/>
      <c r="X1052" s="67"/>
      <c r="Y1052" s="67"/>
      <c r="Z1052" s="4"/>
      <c r="AA1052" s="4"/>
      <c r="AB1052" s="4"/>
      <c r="AC1052" s="4"/>
      <c r="AD1052" s="4"/>
      <c r="AE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3"/>
      <c r="M1053" s="4"/>
      <c r="N1053" s="3"/>
      <c r="O1053" s="3"/>
      <c r="P1053" s="4"/>
      <c r="Q1053" s="4"/>
      <c r="R1053" s="3"/>
      <c r="S1053" s="4"/>
      <c r="T1053" s="5"/>
      <c r="U1053" s="4"/>
      <c r="V1053" s="4"/>
      <c r="W1053" s="6"/>
      <c r="X1053" s="67"/>
      <c r="Y1053" s="67"/>
      <c r="Z1053" s="4"/>
      <c r="AA1053" s="4"/>
      <c r="AB1053" s="4"/>
      <c r="AC1053" s="4"/>
      <c r="AD1053" s="4"/>
      <c r="AE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3"/>
      <c r="M1054" s="4"/>
      <c r="N1054" s="3"/>
      <c r="O1054" s="3"/>
      <c r="P1054" s="4"/>
      <c r="Q1054" s="4"/>
      <c r="R1054" s="3"/>
      <c r="S1054" s="4"/>
      <c r="T1054" s="5"/>
      <c r="U1054" s="4"/>
      <c r="V1054" s="4"/>
      <c r="W1054" s="6"/>
      <c r="X1054" s="67"/>
      <c r="Y1054" s="67"/>
      <c r="Z1054" s="4"/>
      <c r="AA1054" s="4"/>
      <c r="AB1054" s="4"/>
      <c r="AC1054" s="4"/>
      <c r="AD1054" s="4"/>
      <c r="AE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3"/>
      <c r="M1055" s="4"/>
      <c r="N1055" s="3"/>
      <c r="O1055" s="3"/>
      <c r="P1055" s="4"/>
      <c r="Q1055" s="4"/>
      <c r="R1055" s="3"/>
      <c r="S1055" s="4"/>
      <c r="T1055" s="5"/>
      <c r="U1055" s="4"/>
      <c r="V1055" s="4"/>
      <c r="W1055" s="6"/>
      <c r="X1055" s="67"/>
      <c r="Y1055" s="67"/>
      <c r="Z1055" s="4"/>
      <c r="AA1055" s="4"/>
      <c r="AB1055" s="4"/>
      <c r="AC1055" s="4"/>
      <c r="AD1055" s="4"/>
      <c r="AE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3"/>
      <c r="M1056" s="4"/>
      <c r="N1056" s="3"/>
      <c r="O1056" s="3"/>
      <c r="P1056" s="4"/>
      <c r="Q1056" s="4"/>
      <c r="R1056" s="3"/>
      <c r="S1056" s="4"/>
      <c r="T1056" s="5"/>
      <c r="U1056" s="4"/>
      <c r="V1056" s="4"/>
      <c r="W1056" s="6"/>
      <c r="X1056" s="67"/>
      <c r="Y1056" s="67"/>
      <c r="Z1056" s="4"/>
      <c r="AA1056" s="4"/>
      <c r="AB1056" s="4"/>
      <c r="AC1056" s="4"/>
      <c r="AD1056" s="4"/>
      <c r="AE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3"/>
      <c r="M1057" s="4"/>
      <c r="N1057" s="3"/>
      <c r="O1057" s="3"/>
      <c r="P1057" s="4"/>
      <c r="Q1057" s="4"/>
      <c r="R1057" s="3"/>
      <c r="S1057" s="4"/>
      <c r="T1057" s="5"/>
      <c r="U1057" s="4"/>
      <c r="V1057" s="4"/>
      <c r="W1057" s="6"/>
      <c r="X1057" s="67"/>
      <c r="Y1057" s="67"/>
      <c r="Z1057" s="4"/>
      <c r="AA1057" s="4"/>
      <c r="AB1057" s="4"/>
      <c r="AC1057" s="4"/>
      <c r="AD1057" s="4"/>
      <c r="AE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3"/>
      <c r="M1058" s="4"/>
      <c r="N1058" s="3"/>
      <c r="O1058" s="3"/>
      <c r="P1058" s="4"/>
      <c r="Q1058" s="4"/>
      <c r="R1058" s="3"/>
      <c r="S1058" s="4"/>
      <c r="T1058" s="5"/>
      <c r="U1058" s="4"/>
      <c r="V1058" s="4"/>
      <c r="W1058" s="6"/>
      <c r="X1058" s="67"/>
      <c r="Y1058" s="67"/>
      <c r="Z1058" s="4"/>
      <c r="AA1058" s="4"/>
      <c r="AB1058" s="4"/>
      <c r="AC1058" s="4"/>
      <c r="AD1058" s="4"/>
      <c r="AE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3"/>
      <c r="M1059" s="4"/>
      <c r="N1059" s="3"/>
      <c r="O1059" s="3"/>
      <c r="P1059" s="4"/>
      <c r="Q1059" s="4"/>
      <c r="R1059" s="3"/>
      <c r="S1059" s="4"/>
      <c r="T1059" s="5"/>
      <c r="U1059" s="4"/>
      <c r="V1059" s="4"/>
      <c r="W1059" s="6"/>
      <c r="X1059" s="67"/>
      <c r="Y1059" s="67"/>
      <c r="Z1059" s="4"/>
      <c r="AA1059" s="4"/>
      <c r="AB1059" s="4"/>
      <c r="AC1059" s="4"/>
      <c r="AD1059" s="4"/>
      <c r="AE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3"/>
      <c r="M1060" s="4"/>
      <c r="N1060" s="3"/>
      <c r="O1060" s="3"/>
      <c r="P1060" s="4"/>
      <c r="Q1060" s="4"/>
      <c r="R1060" s="3"/>
      <c r="S1060" s="4"/>
      <c r="T1060" s="5"/>
      <c r="U1060" s="4"/>
      <c r="V1060" s="4"/>
      <c r="W1060" s="6"/>
      <c r="X1060" s="67"/>
      <c r="Y1060" s="67"/>
      <c r="Z1060" s="4"/>
      <c r="AA1060" s="4"/>
      <c r="AB1060" s="4"/>
      <c r="AC1060" s="4"/>
      <c r="AD1060" s="4"/>
      <c r="AE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3"/>
      <c r="M1061" s="4"/>
      <c r="N1061" s="3"/>
      <c r="O1061" s="3"/>
      <c r="P1061" s="4"/>
      <c r="Q1061" s="4"/>
      <c r="R1061" s="3"/>
      <c r="S1061" s="4"/>
      <c r="T1061" s="5"/>
      <c r="U1061" s="4"/>
      <c r="V1061" s="4"/>
      <c r="W1061" s="6"/>
      <c r="X1061" s="67"/>
      <c r="Y1061" s="67"/>
      <c r="Z1061" s="4"/>
      <c r="AA1061" s="4"/>
      <c r="AB1061" s="4"/>
      <c r="AC1061" s="4"/>
      <c r="AD1061" s="4"/>
      <c r="AE1061" s="4"/>
    </row>
  </sheetData>
  <mergeCells count="187">
    <mergeCell ref="R5:R6"/>
    <mergeCell ref="U5:U6"/>
    <mergeCell ref="U7:U8"/>
    <mergeCell ref="W7:W8"/>
    <mergeCell ref="P9:P15"/>
    <mergeCell ref="U9:U15"/>
    <mergeCell ref="W9:W15"/>
    <mergeCell ref="R9:R15"/>
    <mergeCell ref="R16:R20"/>
    <mergeCell ref="U16:U20"/>
    <mergeCell ref="W16:W20"/>
    <mergeCell ref="R21:R23"/>
    <mergeCell ref="U21:U23"/>
    <mergeCell ref="W21:W23"/>
    <mergeCell ref="R24:R26"/>
    <mergeCell ref="T24:T26"/>
    <mergeCell ref="U24:U26"/>
    <mergeCell ref="W24:W26"/>
    <mergeCell ref="T27:T28"/>
    <mergeCell ref="U27:U28"/>
    <mergeCell ref="W27:W28"/>
    <mergeCell ref="U33:U40"/>
    <mergeCell ref="U41:U42"/>
    <mergeCell ref="U43:U46"/>
    <mergeCell ref="U47:U48"/>
    <mergeCell ref="U49:U58"/>
    <mergeCell ref="R41:R42"/>
    <mergeCell ref="R43:R46"/>
    <mergeCell ref="R47:R48"/>
    <mergeCell ref="R49:R58"/>
    <mergeCell ref="W43:W46"/>
    <mergeCell ref="W47:W48"/>
    <mergeCell ref="W49:W58"/>
    <mergeCell ref="X57:X58"/>
    <mergeCell ref="R27:R28"/>
    <mergeCell ref="R29:R32"/>
    <mergeCell ref="U29:U32"/>
    <mergeCell ref="W29:W32"/>
    <mergeCell ref="R33:R40"/>
    <mergeCell ref="W33:W40"/>
    <mergeCell ref="W41:W42"/>
    <mergeCell ref="W2:W4"/>
    <mergeCell ref="X2:X4"/>
    <mergeCell ref="Y2:Y4"/>
    <mergeCell ref="C5:C6"/>
    <mergeCell ref="D5:D6"/>
    <mergeCell ref="F5:F6"/>
    <mergeCell ref="W5:W6"/>
    <mergeCell ref="B12:B13"/>
    <mergeCell ref="C12:C13"/>
    <mergeCell ref="B5:B6"/>
    <mergeCell ref="B7:B8"/>
    <mergeCell ref="C7:C8"/>
    <mergeCell ref="D7:D8"/>
    <mergeCell ref="B9:B11"/>
    <mergeCell ref="C9:C11"/>
    <mergeCell ref="D9:D15"/>
    <mergeCell ref="B14:B15"/>
    <mergeCell ref="C14:C15"/>
    <mergeCell ref="B16:B17"/>
    <mergeCell ref="C16:C17"/>
    <mergeCell ref="D16:D20"/>
    <mergeCell ref="B18:B20"/>
    <mergeCell ref="C18:C20"/>
    <mergeCell ref="C27:C28"/>
    <mergeCell ref="D27:D28"/>
    <mergeCell ref="B29:B32"/>
    <mergeCell ref="C29:C32"/>
    <mergeCell ref="D29:D32"/>
    <mergeCell ref="F29:F32"/>
    <mergeCell ref="B33:B36"/>
    <mergeCell ref="C33:C36"/>
    <mergeCell ref="B21:B23"/>
    <mergeCell ref="C21:C23"/>
    <mergeCell ref="D21:D23"/>
    <mergeCell ref="B24:B26"/>
    <mergeCell ref="C24:C26"/>
    <mergeCell ref="D24:D26"/>
    <mergeCell ref="B27:B28"/>
    <mergeCell ref="F85:F86"/>
    <mergeCell ref="F87:F88"/>
    <mergeCell ref="F89:F90"/>
    <mergeCell ref="F71:F72"/>
    <mergeCell ref="F73:F74"/>
    <mergeCell ref="F75:F76"/>
    <mergeCell ref="F77:F78"/>
    <mergeCell ref="F79:F80"/>
    <mergeCell ref="F81:F82"/>
    <mergeCell ref="F83:F84"/>
    <mergeCell ref="F7:F8"/>
    <mergeCell ref="F9:F11"/>
    <mergeCell ref="F12:F13"/>
    <mergeCell ref="F14:F15"/>
    <mergeCell ref="F16:F17"/>
    <mergeCell ref="F18:F20"/>
    <mergeCell ref="F21:F23"/>
    <mergeCell ref="F24:F26"/>
    <mergeCell ref="F27:F28"/>
    <mergeCell ref="F33:F36"/>
    <mergeCell ref="B37:B40"/>
    <mergeCell ref="C37:C40"/>
    <mergeCell ref="F37:F40"/>
    <mergeCell ref="B41:B42"/>
    <mergeCell ref="D33:D40"/>
    <mergeCell ref="D41:D42"/>
    <mergeCell ref="C43:C46"/>
    <mergeCell ref="D43:D46"/>
    <mergeCell ref="D47:D48"/>
    <mergeCell ref="D49:D58"/>
    <mergeCell ref="C57:C58"/>
    <mergeCell ref="F41:F42"/>
    <mergeCell ref="F43:F46"/>
    <mergeCell ref="F47:F48"/>
    <mergeCell ref="F49:F50"/>
    <mergeCell ref="F51:F52"/>
    <mergeCell ref="F53:F54"/>
    <mergeCell ref="F55:F56"/>
    <mergeCell ref="C63:C64"/>
    <mergeCell ref="D63:D64"/>
    <mergeCell ref="B59:B60"/>
    <mergeCell ref="C59:C60"/>
    <mergeCell ref="D59:D60"/>
    <mergeCell ref="B61:B62"/>
    <mergeCell ref="C61:C62"/>
    <mergeCell ref="D61:D62"/>
    <mergeCell ref="B63:B64"/>
    <mergeCell ref="F57:F58"/>
    <mergeCell ref="F59:F60"/>
    <mergeCell ref="F61:F62"/>
    <mergeCell ref="F63:F64"/>
    <mergeCell ref="F65:F66"/>
    <mergeCell ref="F67:F68"/>
    <mergeCell ref="F69:F70"/>
    <mergeCell ref="B83:B84"/>
    <mergeCell ref="C83:C84"/>
    <mergeCell ref="D83:D84"/>
    <mergeCell ref="B85:B86"/>
    <mergeCell ref="C85:C86"/>
    <mergeCell ref="D85:D86"/>
    <mergeCell ref="B87:B88"/>
    <mergeCell ref="C96:D96"/>
    <mergeCell ref="C97:D97"/>
    <mergeCell ref="A98:A99"/>
    <mergeCell ref="C98:D98"/>
    <mergeCell ref="C99:D99"/>
    <mergeCell ref="A104:A105"/>
    <mergeCell ref="A106:A107"/>
    <mergeCell ref="E97:F97"/>
    <mergeCell ref="E98:F98"/>
    <mergeCell ref="E99:F99"/>
    <mergeCell ref="C87:C88"/>
    <mergeCell ref="D87:D88"/>
    <mergeCell ref="A94:G94"/>
    <mergeCell ref="C95:D95"/>
    <mergeCell ref="E95:F95"/>
    <mergeCell ref="A96:A97"/>
    <mergeCell ref="E96:F96"/>
    <mergeCell ref="C69:C70"/>
    <mergeCell ref="D69:D70"/>
    <mergeCell ref="B65:B66"/>
    <mergeCell ref="C65:C66"/>
    <mergeCell ref="D65:D66"/>
    <mergeCell ref="B67:B68"/>
    <mergeCell ref="C67:C68"/>
    <mergeCell ref="D67:D68"/>
    <mergeCell ref="B69:B70"/>
    <mergeCell ref="C75:C76"/>
    <mergeCell ref="D75:D76"/>
    <mergeCell ref="B71:B72"/>
    <mergeCell ref="C71:C72"/>
    <mergeCell ref="D71:D72"/>
    <mergeCell ref="B73:B74"/>
    <mergeCell ref="C73:C74"/>
    <mergeCell ref="D73:D74"/>
    <mergeCell ref="B75:B76"/>
    <mergeCell ref="C81:C82"/>
    <mergeCell ref="D81:D82"/>
    <mergeCell ref="B77:B78"/>
    <mergeCell ref="C77:C78"/>
    <mergeCell ref="D77:D78"/>
    <mergeCell ref="B79:B80"/>
    <mergeCell ref="C79:C80"/>
    <mergeCell ref="D79:D80"/>
    <mergeCell ref="B81:B82"/>
    <mergeCell ref="B89:B90"/>
    <mergeCell ref="C89:C90"/>
    <mergeCell ref="D89:D90"/>
  </mergeCells>
  <conditionalFormatting sqref="F1:F93 B59:D90 F100:F1061">
    <cfRule type="containsText" dxfId="0" priority="1" operator="containsText" text="3인">
      <formula>NOT(ISERROR(SEARCH(("3인"),(F1))))</formula>
    </cfRule>
  </conditionalFormatting>
  <conditionalFormatting sqref="F1:F93 B59:D90 F100:F1061">
    <cfRule type="containsText" dxfId="1" priority="2" operator="containsText" text="4인">
      <formula>NOT(ISERROR(SEARCH(("4인"),(F1))))</formula>
    </cfRule>
  </conditionalFormatting>
  <hyperlinks>
    <hyperlink r:id="rId2" ref="Y5"/>
    <hyperlink r:id="rId3" ref="Y6"/>
    <hyperlink r:id="rId4" ref="Y16"/>
    <hyperlink r:id="rId5" ref="Y17"/>
    <hyperlink r:id="rId6" ref="Y18"/>
    <hyperlink r:id="rId7" ref="Y19"/>
    <hyperlink r:id="rId8" ref="Y20"/>
    <hyperlink r:id="rId9" ref="Y21"/>
    <hyperlink r:id="rId10" ref="Y22"/>
    <hyperlink r:id="rId11" ref="Y23"/>
    <hyperlink r:id="rId12" ref="Y33"/>
    <hyperlink r:id="rId13" ref="Y34"/>
    <hyperlink r:id="rId14" ref="Y35"/>
    <hyperlink r:id="rId15" ref="Y36"/>
    <hyperlink r:id="rId16" ref="Y37"/>
    <hyperlink r:id="rId17" ref="Y38"/>
    <hyperlink r:id="rId18" ref="Y39"/>
    <hyperlink r:id="rId19" ref="Y40"/>
    <hyperlink r:id="rId20" ref="Y47"/>
    <hyperlink r:id="rId21" ref="Y48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7.25"/>
    <col customWidth="1" min="4" max="4" width="8.63"/>
    <col customWidth="1" min="5" max="5" width="7.75"/>
    <col customWidth="1" min="8" max="8" width="13.38"/>
    <col customWidth="1" min="10" max="10" width="39.5"/>
    <col customWidth="1" min="17" max="17" width="12.0"/>
    <col customWidth="1" min="23" max="23" width="23.5"/>
    <col customWidth="1" min="25" max="25" width="28.13"/>
    <col customWidth="1" min="26" max="26" width="6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308</v>
      </c>
      <c r="K1" s="1"/>
      <c r="L1" s="2"/>
      <c r="M1" s="1"/>
      <c r="N1" s="2"/>
      <c r="O1" s="2"/>
      <c r="P1" s="1"/>
      <c r="Q1" s="1"/>
      <c r="R1" s="3"/>
      <c r="S1" s="4"/>
      <c r="T1" s="5"/>
      <c r="U1" s="4"/>
      <c r="V1" s="4"/>
      <c r="W1" s="4"/>
      <c r="X1" s="67"/>
      <c r="Y1" s="4"/>
      <c r="Z1" s="4"/>
      <c r="AA1" s="4"/>
      <c r="AB1" s="4"/>
      <c r="AC1" s="4"/>
      <c r="AD1" s="4"/>
      <c r="AE1" s="4"/>
      <c r="AF1" s="4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  <c r="Y2" s="154" t="s">
        <v>309</v>
      </c>
      <c r="Z2" s="155" t="s">
        <v>4</v>
      </c>
      <c r="AA2" s="4"/>
      <c r="AB2" s="4"/>
      <c r="AC2" s="4"/>
      <c r="AD2" s="4"/>
      <c r="AE2" s="4"/>
      <c r="AF2" s="4"/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  <c r="Y3" s="158"/>
      <c r="AA3" s="4"/>
      <c r="AB3" s="4"/>
      <c r="AC3" s="4"/>
      <c r="AD3" s="4"/>
      <c r="AE3" s="4"/>
      <c r="AF3" s="4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  <c r="Y4" s="162"/>
      <c r="AA4" s="4"/>
      <c r="AB4" s="4"/>
      <c r="AC4" s="4"/>
      <c r="AD4" s="4"/>
      <c r="AE4" s="4"/>
      <c r="AF4" s="4"/>
    </row>
    <row r="5">
      <c r="A5" s="97">
        <v>1.0</v>
      </c>
      <c r="B5" s="163">
        <v>1.0</v>
      </c>
      <c r="C5" s="163"/>
      <c r="D5" s="163">
        <v>1.0</v>
      </c>
      <c r="E5" s="164">
        <v>1.0</v>
      </c>
      <c r="F5" s="165" t="s">
        <v>61</v>
      </c>
      <c r="G5" s="164" t="s">
        <v>115</v>
      </c>
      <c r="H5" s="164" t="s">
        <v>310</v>
      </c>
      <c r="I5" s="164" t="s">
        <v>311</v>
      </c>
      <c r="J5" s="166"/>
      <c r="K5" s="102" t="s">
        <v>57</v>
      </c>
      <c r="L5" s="167"/>
      <c r="M5" s="164"/>
      <c r="N5" s="168"/>
      <c r="O5" s="168"/>
      <c r="P5" s="166"/>
      <c r="Q5" s="164"/>
      <c r="R5" s="169"/>
      <c r="S5" s="170"/>
      <c r="T5" s="171"/>
      <c r="U5" s="163" t="s">
        <v>67</v>
      </c>
      <c r="V5" s="172"/>
      <c r="W5" s="173"/>
      <c r="X5" s="174"/>
      <c r="Y5" s="175"/>
      <c r="Z5" s="176"/>
      <c r="AA5" s="177"/>
      <c r="AB5" s="177"/>
      <c r="AC5" s="177"/>
      <c r="AD5" s="177"/>
      <c r="AE5" s="177"/>
      <c r="AF5" s="177"/>
    </row>
    <row r="6">
      <c r="A6" s="97">
        <v>2.0</v>
      </c>
      <c r="B6" s="39"/>
      <c r="C6" s="39"/>
      <c r="D6" s="28"/>
      <c r="E6" s="164">
        <v>1.0</v>
      </c>
      <c r="F6" s="39"/>
      <c r="G6" s="164" t="s">
        <v>62</v>
      </c>
      <c r="H6" s="164" t="s">
        <v>312</v>
      </c>
      <c r="I6" s="164" t="s">
        <v>313</v>
      </c>
      <c r="J6" s="166"/>
      <c r="K6" s="102" t="s">
        <v>47</v>
      </c>
      <c r="L6" s="167"/>
      <c r="M6" s="164"/>
      <c r="N6" s="168"/>
      <c r="O6" s="168"/>
      <c r="P6" s="164"/>
      <c r="Q6" s="164"/>
      <c r="R6" s="169"/>
      <c r="S6" s="39"/>
      <c r="T6" s="171"/>
      <c r="U6" s="39"/>
      <c r="V6" s="172"/>
      <c r="W6" s="173"/>
      <c r="X6" s="178"/>
      <c r="Y6" s="179"/>
      <c r="Z6" s="176"/>
      <c r="AA6" s="177"/>
      <c r="AB6" s="177"/>
      <c r="AC6" s="177"/>
      <c r="AD6" s="177"/>
      <c r="AE6" s="177"/>
      <c r="AF6" s="177"/>
    </row>
    <row r="7">
      <c r="A7" s="97">
        <v>3.0</v>
      </c>
      <c r="B7" s="163">
        <v>2.0</v>
      </c>
      <c r="C7" s="165"/>
      <c r="D7" s="28"/>
      <c r="E7" s="164">
        <v>2.0</v>
      </c>
      <c r="F7" s="165" t="s">
        <v>61</v>
      </c>
      <c r="G7" s="166"/>
      <c r="H7" s="166"/>
      <c r="I7" s="166"/>
      <c r="J7" s="166"/>
      <c r="K7" s="102" t="str">
        <f t="shared" ref="K7:K8" si="1">IF(MOD(MID(J7,8,1),2)=1,"M","F")</f>
        <v>F</v>
      </c>
      <c r="L7" s="167"/>
      <c r="M7" s="166"/>
      <c r="N7" s="180"/>
      <c r="O7" s="180"/>
      <c r="P7" s="164"/>
      <c r="Q7" s="181"/>
      <c r="R7" s="169"/>
      <c r="S7" s="170"/>
      <c r="T7" s="171"/>
      <c r="U7" s="163"/>
      <c r="V7" s="172"/>
      <c r="W7" s="173"/>
      <c r="X7" s="178"/>
      <c r="Y7" s="179"/>
      <c r="Z7" s="176"/>
      <c r="AA7" s="177"/>
      <c r="AB7" s="177"/>
      <c r="AC7" s="177"/>
      <c r="AD7" s="177"/>
      <c r="AE7" s="177"/>
      <c r="AF7" s="177"/>
    </row>
    <row r="8">
      <c r="A8" s="97">
        <v>4.0</v>
      </c>
      <c r="B8" s="39"/>
      <c r="C8" s="39"/>
      <c r="D8" s="39"/>
      <c r="E8" s="164">
        <v>2.0</v>
      </c>
      <c r="F8" s="39"/>
      <c r="G8" s="166"/>
      <c r="H8" s="166"/>
      <c r="I8" s="166"/>
      <c r="J8" s="166"/>
      <c r="K8" s="102" t="str">
        <f t="shared" si="1"/>
        <v>F</v>
      </c>
      <c r="L8" s="167"/>
      <c r="M8" s="166"/>
      <c r="N8" s="180"/>
      <c r="O8" s="180"/>
      <c r="P8" s="166"/>
      <c r="Q8" s="181"/>
      <c r="R8" s="169"/>
      <c r="S8" s="39"/>
      <c r="T8" s="171"/>
      <c r="U8" s="39"/>
      <c r="V8" s="172"/>
      <c r="W8" s="173"/>
      <c r="X8" s="178"/>
      <c r="Y8" s="179"/>
      <c r="Z8" s="176"/>
      <c r="AA8" s="177"/>
      <c r="AB8" s="177"/>
      <c r="AC8" s="177"/>
      <c r="AD8" s="177"/>
      <c r="AE8" s="177"/>
      <c r="AF8" s="177"/>
    </row>
    <row r="9">
      <c r="A9" s="60">
        <v>5.0</v>
      </c>
      <c r="B9" s="42">
        <v>3.0</v>
      </c>
      <c r="C9" s="84"/>
      <c r="D9" s="42">
        <v>2.0</v>
      </c>
      <c r="E9" s="43">
        <v>1.0</v>
      </c>
      <c r="F9" s="62" t="s">
        <v>43</v>
      </c>
      <c r="G9" s="43" t="s">
        <v>115</v>
      </c>
      <c r="H9" s="43" t="s">
        <v>314</v>
      </c>
      <c r="I9" s="43" t="s">
        <v>315</v>
      </c>
      <c r="J9" s="69"/>
      <c r="K9" s="43" t="s">
        <v>47</v>
      </c>
      <c r="L9" s="182">
        <v>26840.0</v>
      </c>
      <c r="M9" s="43" t="s">
        <v>316</v>
      </c>
      <c r="N9" s="47">
        <v>44900.0</v>
      </c>
      <c r="O9" s="47">
        <v>48553.0</v>
      </c>
      <c r="P9" s="43" t="s">
        <v>317</v>
      </c>
      <c r="Q9" s="183"/>
      <c r="R9" s="184">
        <v>45987.0</v>
      </c>
      <c r="S9" s="42" t="s">
        <v>132</v>
      </c>
      <c r="T9" s="185">
        <v>2180000.0</v>
      </c>
      <c r="U9" s="42" t="s">
        <v>67</v>
      </c>
      <c r="V9" s="48"/>
      <c r="W9" s="186"/>
      <c r="X9" s="187"/>
      <c r="Y9" s="179"/>
      <c r="Z9" s="67"/>
      <c r="AA9" s="4"/>
      <c r="AB9" s="4"/>
      <c r="AC9" s="4"/>
      <c r="AD9" s="4"/>
      <c r="AE9" s="4"/>
      <c r="AF9" s="4"/>
    </row>
    <row r="10">
      <c r="A10" s="60">
        <v>6.0</v>
      </c>
      <c r="B10" s="39"/>
      <c r="C10" s="39"/>
      <c r="D10" s="39"/>
      <c r="E10" s="43">
        <v>1.0</v>
      </c>
      <c r="F10" s="39"/>
      <c r="G10" s="43" t="s">
        <v>318</v>
      </c>
      <c r="H10" s="43" t="s">
        <v>319</v>
      </c>
      <c r="I10" s="43" t="s">
        <v>320</v>
      </c>
      <c r="J10" s="69"/>
      <c r="K10" s="43" t="s">
        <v>57</v>
      </c>
      <c r="L10" s="182">
        <v>27458.0</v>
      </c>
      <c r="M10" s="43" t="s">
        <v>321</v>
      </c>
      <c r="N10" s="47">
        <v>44909.0</v>
      </c>
      <c r="O10" s="47">
        <v>48562.0</v>
      </c>
      <c r="P10" s="69"/>
      <c r="Q10" s="183"/>
      <c r="R10" s="188"/>
      <c r="S10" s="39"/>
      <c r="T10" s="189"/>
      <c r="U10" s="39"/>
      <c r="V10" s="48"/>
      <c r="W10" s="186"/>
      <c r="X10" s="187"/>
      <c r="Y10" s="179"/>
      <c r="Z10" s="67"/>
      <c r="AA10" s="4"/>
      <c r="AB10" s="4"/>
      <c r="AC10" s="4"/>
      <c r="AD10" s="4"/>
      <c r="AE10" s="4"/>
      <c r="AF10" s="4"/>
    </row>
    <row r="11">
      <c r="A11" s="60">
        <v>7.0</v>
      </c>
      <c r="B11" s="42">
        <v>4.0</v>
      </c>
      <c r="C11" s="84"/>
      <c r="D11" s="42">
        <v>3.0</v>
      </c>
      <c r="E11" s="43">
        <v>1.0</v>
      </c>
      <c r="F11" s="62" t="s">
        <v>43</v>
      </c>
      <c r="G11" s="45" t="s">
        <v>44</v>
      </c>
      <c r="H11" s="45" t="s">
        <v>322</v>
      </c>
      <c r="I11" s="190" t="s">
        <v>323</v>
      </c>
      <c r="J11" s="68"/>
      <c r="K11" s="46" t="s">
        <v>47</v>
      </c>
      <c r="L11" s="182">
        <v>18446.0</v>
      </c>
      <c r="M11" s="45" t="s">
        <v>324</v>
      </c>
      <c r="N11" s="47">
        <v>43208.0</v>
      </c>
      <c r="O11" s="47">
        <v>46861.0</v>
      </c>
      <c r="P11" s="43" t="s">
        <v>325</v>
      </c>
      <c r="Q11" s="69"/>
      <c r="R11" s="49">
        <v>45992.0</v>
      </c>
      <c r="S11" s="42" t="s">
        <v>132</v>
      </c>
      <c r="T11" s="51">
        <v>2180000.0</v>
      </c>
      <c r="U11" s="191" t="s">
        <v>67</v>
      </c>
      <c r="V11" s="48"/>
      <c r="W11" s="186" t="s">
        <v>326</v>
      </c>
      <c r="X11" s="187"/>
      <c r="Y11" s="179"/>
      <c r="Z11" s="67"/>
      <c r="AA11" s="4"/>
      <c r="AB11" s="4"/>
      <c r="AC11" s="4"/>
      <c r="AD11" s="4"/>
      <c r="AE11" s="4"/>
      <c r="AF11" s="4"/>
    </row>
    <row r="12">
      <c r="A12" s="60">
        <v>8.0</v>
      </c>
      <c r="B12" s="39"/>
      <c r="C12" s="39"/>
      <c r="D12" s="28"/>
      <c r="E12" s="43">
        <v>1.0</v>
      </c>
      <c r="F12" s="39"/>
      <c r="G12" s="45" t="s">
        <v>327</v>
      </c>
      <c r="H12" s="45" t="s">
        <v>328</v>
      </c>
      <c r="I12" s="192" t="s">
        <v>329</v>
      </c>
      <c r="J12" s="68"/>
      <c r="K12" s="46" t="str">
        <f t="shared" ref="K12:K13" si="2">IF(MOD(MID(J12,8,1),2)=1,"M","F")</f>
        <v>F</v>
      </c>
      <c r="L12" s="182">
        <v>20856.0</v>
      </c>
      <c r="M12" s="45" t="s">
        <v>330</v>
      </c>
      <c r="N12" s="47">
        <v>43208.0</v>
      </c>
      <c r="O12" s="47">
        <v>46861.0</v>
      </c>
      <c r="P12" s="69"/>
      <c r="Q12" s="69"/>
      <c r="R12" s="80"/>
      <c r="S12" s="42" t="s">
        <v>132</v>
      </c>
      <c r="T12" s="193"/>
      <c r="U12" s="39"/>
      <c r="V12" s="48"/>
      <c r="W12" s="186"/>
      <c r="X12" s="187"/>
      <c r="Y12" s="179"/>
      <c r="Z12" s="67"/>
      <c r="AA12" s="4"/>
      <c r="AB12" s="4"/>
      <c r="AC12" s="4"/>
      <c r="AD12" s="4"/>
      <c r="AE12" s="4"/>
      <c r="AF12" s="4"/>
    </row>
    <row r="13">
      <c r="A13" s="60">
        <v>9.0</v>
      </c>
      <c r="B13" s="42">
        <v>5.0</v>
      </c>
      <c r="C13" s="84"/>
      <c r="D13" s="28"/>
      <c r="E13" s="43">
        <v>2.0</v>
      </c>
      <c r="F13" s="194" t="s">
        <v>43</v>
      </c>
      <c r="G13" s="45" t="s">
        <v>44</v>
      </c>
      <c r="H13" s="45" t="s">
        <v>331</v>
      </c>
      <c r="I13" s="192" t="s">
        <v>332</v>
      </c>
      <c r="J13" s="45" t="s">
        <v>333</v>
      </c>
      <c r="K13" s="46" t="str">
        <f t="shared" si="2"/>
        <v>#VALUE!</v>
      </c>
      <c r="L13" s="182">
        <v>30225.0</v>
      </c>
      <c r="M13" s="113" t="s">
        <v>334</v>
      </c>
      <c r="N13" s="88">
        <v>45236.0</v>
      </c>
      <c r="O13" s="47">
        <v>47032.0</v>
      </c>
      <c r="P13" s="43" t="s">
        <v>325</v>
      </c>
      <c r="Q13" s="69"/>
      <c r="R13" s="80"/>
      <c r="S13" s="42" t="s">
        <v>132</v>
      </c>
      <c r="T13" s="51">
        <v>2180000.0</v>
      </c>
      <c r="U13" s="191" t="s">
        <v>67</v>
      </c>
      <c r="V13" s="57"/>
      <c r="W13" s="186" t="s">
        <v>335</v>
      </c>
      <c r="X13" s="187"/>
      <c r="Y13" s="195" t="s">
        <v>336</v>
      </c>
      <c r="Z13" s="67"/>
      <c r="AA13" s="4"/>
      <c r="AB13" s="4"/>
      <c r="AC13" s="4"/>
      <c r="AD13" s="4"/>
      <c r="AE13" s="4"/>
      <c r="AF13" s="4"/>
    </row>
    <row r="14">
      <c r="A14" s="60">
        <v>10.0</v>
      </c>
      <c r="B14" s="28"/>
      <c r="C14" s="28"/>
      <c r="D14" s="28"/>
      <c r="E14" s="43">
        <v>2.0</v>
      </c>
      <c r="F14" s="28"/>
      <c r="G14" s="45" t="s">
        <v>337</v>
      </c>
      <c r="H14" s="45" t="s">
        <v>338</v>
      </c>
      <c r="I14" s="192" t="s">
        <v>339</v>
      </c>
      <c r="J14" s="68"/>
      <c r="K14" s="46" t="s">
        <v>47</v>
      </c>
      <c r="L14" s="182">
        <v>29643.0</v>
      </c>
      <c r="M14" s="45" t="s">
        <v>340</v>
      </c>
      <c r="N14" s="47">
        <v>45419.0</v>
      </c>
      <c r="O14" s="47">
        <v>49071.0</v>
      </c>
      <c r="P14" s="69"/>
      <c r="Q14" s="69"/>
      <c r="R14" s="80"/>
      <c r="S14" s="42" t="s">
        <v>132</v>
      </c>
      <c r="T14" s="193"/>
      <c r="U14" s="28"/>
      <c r="V14" s="57"/>
      <c r="W14" s="196"/>
      <c r="X14" s="187"/>
      <c r="Y14" s="179"/>
      <c r="Z14" s="7" t="s">
        <v>341</v>
      </c>
      <c r="AA14" s="4"/>
      <c r="AB14" s="4"/>
      <c r="AC14" s="4"/>
      <c r="AD14" s="4"/>
      <c r="AE14" s="4"/>
      <c r="AF14" s="4"/>
    </row>
    <row r="15">
      <c r="A15" s="60">
        <v>11.0</v>
      </c>
      <c r="B15" s="28"/>
      <c r="C15" s="28"/>
      <c r="D15" s="28"/>
      <c r="E15" s="43">
        <v>2.0</v>
      </c>
      <c r="F15" s="28"/>
      <c r="G15" s="45" t="s">
        <v>337</v>
      </c>
      <c r="H15" s="45" t="s">
        <v>342</v>
      </c>
      <c r="I15" s="192" t="s">
        <v>343</v>
      </c>
      <c r="J15" s="68"/>
      <c r="K15" s="46" t="str">
        <f t="shared" ref="K15:K18" si="3">IF(MOD(MID(J15,8,1),2)=1,"M","F")</f>
        <v>F</v>
      </c>
      <c r="L15" s="182">
        <v>41877.0</v>
      </c>
      <c r="M15" s="45" t="s">
        <v>344</v>
      </c>
      <c r="N15" s="47">
        <v>45236.0</v>
      </c>
      <c r="O15" s="47">
        <v>47032.0</v>
      </c>
      <c r="P15" s="69"/>
      <c r="Q15" s="69"/>
      <c r="R15" s="80"/>
      <c r="S15" s="42" t="s">
        <v>132</v>
      </c>
      <c r="T15" s="193"/>
      <c r="U15" s="28"/>
      <c r="V15" s="57"/>
      <c r="W15" s="196"/>
      <c r="X15" s="187"/>
      <c r="Y15" s="179"/>
      <c r="Z15" s="67"/>
      <c r="AA15" s="4"/>
      <c r="AB15" s="4"/>
      <c r="AC15" s="4"/>
      <c r="AD15" s="4"/>
      <c r="AE15" s="4"/>
      <c r="AF15" s="4"/>
    </row>
    <row r="16">
      <c r="A16" s="60">
        <v>12.0</v>
      </c>
      <c r="B16" s="39"/>
      <c r="C16" s="39"/>
      <c r="D16" s="28"/>
      <c r="E16" s="43">
        <v>2.0</v>
      </c>
      <c r="F16" s="39"/>
      <c r="G16" s="45" t="s">
        <v>337</v>
      </c>
      <c r="H16" s="45" t="s">
        <v>345</v>
      </c>
      <c r="I16" s="192" t="s">
        <v>346</v>
      </c>
      <c r="J16" s="68"/>
      <c r="K16" s="46" t="str">
        <f t="shared" si="3"/>
        <v>F</v>
      </c>
      <c r="L16" s="182">
        <v>42936.0</v>
      </c>
      <c r="M16" s="45" t="s">
        <v>347</v>
      </c>
      <c r="N16" s="47">
        <v>45236.0</v>
      </c>
      <c r="O16" s="47">
        <v>47032.0</v>
      </c>
      <c r="P16" s="69"/>
      <c r="Q16" s="69"/>
      <c r="R16" s="80"/>
      <c r="S16" s="42" t="s">
        <v>132</v>
      </c>
      <c r="T16" s="193"/>
      <c r="U16" s="39"/>
      <c r="V16" s="57"/>
      <c r="W16" s="196"/>
      <c r="X16" s="187"/>
      <c r="Y16" s="195" t="s">
        <v>336</v>
      </c>
      <c r="Z16" s="67"/>
      <c r="AA16" s="4"/>
      <c r="AB16" s="4"/>
      <c r="AC16" s="4"/>
      <c r="AD16" s="4"/>
      <c r="AE16" s="4"/>
      <c r="AF16" s="4"/>
    </row>
    <row r="17">
      <c r="A17" s="60">
        <v>13.0</v>
      </c>
      <c r="B17" s="42">
        <v>6.0</v>
      </c>
      <c r="C17" s="84"/>
      <c r="D17" s="28"/>
      <c r="E17" s="43">
        <v>3.0</v>
      </c>
      <c r="F17" s="62" t="s">
        <v>348</v>
      </c>
      <c r="G17" s="45" t="s">
        <v>44</v>
      </c>
      <c r="H17" s="45" t="s">
        <v>349</v>
      </c>
      <c r="I17" s="192" t="s">
        <v>350</v>
      </c>
      <c r="J17" s="45" t="s">
        <v>351</v>
      </c>
      <c r="K17" s="46" t="str">
        <f t="shared" si="3"/>
        <v>F</v>
      </c>
      <c r="L17" s="182">
        <v>31517.0</v>
      </c>
      <c r="M17" s="45" t="s">
        <v>352</v>
      </c>
      <c r="N17" s="47">
        <v>45995.0</v>
      </c>
      <c r="O17" s="47">
        <v>49647.0</v>
      </c>
      <c r="P17" s="43" t="s">
        <v>325</v>
      </c>
      <c r="Q17" s="69"/>
      <c r="R17" s="80"/>
      <c r="S17" s="42" t="s">
        <v>132</v>
      </c>
      <c r="T17" s="51">
        <v>2180000.0</v>
      </c>
      <c r="U17" s="191" t="s">
        <v>67</v>
      </c>
      <c r="V17" s="57"/>
      <c r="W17" s="186" t="s">
        <v>353</v>
      </c>
      <c r="X17" s="187"/>
      <c r="Y17" s="179"/>
      <c r="Z17" s="67"/>
      <c r="AA17" s="4"/>
      <c r="AB17" s="4"/>
      <c r="AC17" s="4"/>
      <c r="AD17" s="4"/>
      <c r="AE17" s="4"/>
      <c r="AF17" s="4"/>
    </row>
    <row r="18">
      <c r="A18" s="60">
        <v>14.0</v>
      </c>
      <c r="B18" s="28"/>
      <c r="C18" s="28"/>
      <c r="D18" s="28"/>
      <c r="E18" s="43">
        <v>3.0</v>
      </c>
      <c r="F18" s="28"/>
      <c r="G18" s="45" t="s">
        <v>31</v>
      </c>
      <c r="H18" s="45" t="s">
        <v>354</v>
      </c>
      <c r="I18" s="192" t="s">
        <v>355</v>
      </c>
      <c r="J18" s="45" t="s">
        <v>356</v>
      </c>
      <c r="K18" s="46" t="str">
        <f t="shared" si="3"/>
        <v>#VALUE!</v>
      </c>
      <c r="L18" s="182">
        <v>43608.0</v>
      </c>
      <c r="M18" s="45" t="s">
        <v>357</v>
      </c>
      <c r="N18" s="47">
        <v>45400.0</v>
      </c>
      <c r="O18" s="47">
        <v>47226.0</v>
      </c>
      <c r="P18" s="69"/>
      <c r="Q18" s="69"/>
      <c r="R18" s="80"/>
      <c r="S18" s="42" t="s">
        <v>132</v>
      </c>
      <c r="T18" s="51" t="s">
        <v>358</v>
      </c>
      <c r="U18" s="28"/>
      <c r="V18" s="57"/>
      <c r="W18" s="196"/>
      <c r="X18" s="187"/>
      <c r="Y18" s="179"/>
      <c r="Z18" s="67"/>
      <c r="AA18" s="4"/>
      <c r="AB18" s="4"/>
      <c r="AC18" s="4"/>
      <c r="AD18" s="4"/>
      <c r="AE18" s="4"/>
      <c r="AF18" s="4"/>
    </row>
    <row r="19">
      <c r="A19" s="97">
        <v>15.0</v>
      </c>
      <c r="B19" s="28"/>
      <c r="C19" s="28"/>
      <c r="D19" s="28"/>
      <c r="E19" s="98">
        <v>3.0</v>
      </c>
      <c r="F19" s="28"/>
      <c r="G19" s="98" t="s">
        <v>31</v>
      </c>
      <c r="H19" s="98" t="s">
        <v>359</v>
      </c>
      <c r="I19" s="98" t="s">
        <v>360</v>
      </c>
      <c r="J19" s="98" t="s">
        <v>361</v>
      </c>
      <c r="K19" s="102" t="s">
        <v>47</v>
      </c>
      <c r="L19" s="197">
        <v>31662.0</v>
      </c>
      <c r="M19" s="98" t="s">
        <v>362</v>
      </c>
      <c r="N19" s="121">
        <v>44728.0</v>
      </c>
      <c r="O19" s="121">
        <v>48381.0</v>
      </c>
      <c r="P19" s="101"/>
      <c r="Q19" s="101"/>
      <c r="R19" s="80"/>
      <c r="S19" s="100" t="s">
        <v>132</v>
      </c>
      <c r="T19" s="198"/>
      <c r="U19" s="28"/>
      <c r="V19" s="104"/>
      <c r="W19" s="199"/>
      <c r="X19" s="200"/>
      <c r="Y19" s="201"/>
      <c r="Z19" s="110"/>
      <c r="AA19" s="111"/>
      <c r="AB19" s="111"/>
      <c r="AC19" s="111"/>
      <c r="AD19" s="111"/>
      <c r="AE19" s="111"/>
      <c r="AF19" s="111"/>
    </row>
    <row r="20">
      <c r="A20" s="60">
        <v>16.0</v>
      </c>
      <c r="B20" s="39"/>
      <c r="C20" s="39"/>
      <c r="D20" s="28"/>
      <c r="E20" s="43">
        <v>3.0</v>
      </c>
      <c r="F20" s="39"/>
      <c r="G20" s="45" t="s">
        <v>31</v>
      </c>
      <c r="H20" s="45" t="s">
        <v>363</v>
      </c>
      <c r="I20" s="192" t="s">
        <v>364</v>
      </c>
      <c r="J20" s="68"/>
      <c r="K20" s="46" t="s">
        <v>47</v>
      </c>
      <c r="L20" s="182">
        <v>43735.0</v>
      </c>
      <c r="M20" s="45" t="s">
        <v>365</v>
      </c>
      <c r="N20" s="47">
        <v>44918.0</v>
      </c>
      <c r="O20" s="47">
        <v>46744.0</v>
      </c>
      <c r="P20" s="69"/>
      <c r="Q20" s="69"/>
      <c r="R20" s="80"/>
      <c r="S20" s="42" t="s">
        <v>132</v>
      </c>
      <c r="T20" s="193"/>
      <c r="U20" s="39"/>
      <c r="V20" s="57"/>
      <c r="W20" s="196"/>
      <c r="X20" s="187"/>
      <c r="Y20" s="179"/>
      <c r="Z20" s="67"/>
      <c r="AA20" s="4"/>
      <c r="AB20" s="4"/>
      <c r="AC20" s="4"/>
      <c r="AD20" s="4"/>
      <c r="AE20" s="4"/>
      <c r="AF20" s="4"/>
    </row>
    <row r="21">
      <c r="A21" s="60">
        <v>17.0</v>
      </c>
      <c r="B21" s="42">
        <v>7.0</v>
      </c>
      <c r="C21" s="84"/>
      <c r="D21" s="28"/>
      <c r="E21" s="43">
        <v>4.0</v>
      </c>
      <c r="F21" s="62" t="s">
        <v>43</v>
      </c>
      <c r="G21" s="45" t="s">
        <v>44</v>
      </c>
      <c r="H21" s="45" t="s">
        <v>366</v>
      </c>
      <c r="I21" s="192" t="s">
        <v>367</v>
      </c>
      <c r="J21" s="45" t="s">
        <v>333</v>
      </c>
      <c r="K21" s="46" t="str">
        <f t="shared" ref="K21:K23" si="4">IF(MOD(MID(J21,8,1),2)=1,"M","F")</f>
        <v>#VALUE!</v>
      </c>
      <c r="L21" s="182">
        <v>30682.0</v>
      </c>
      <c r="M21" s="45" t="s">
        <v>368</v>
      </c>
      <c r="N21" s="47">
        <v>45400.0</v>
      </c>
      <c r="O21" s="47">
        <v>49052.0</v>
      </c>
      <c r="P21" s="43" t="s">
        <v>325</v>
      </c>
      <c r="Q21" s="69"/>
      <c r="R21" s="80"/>
      <c r="S21" s="42" t="s">
        <v>132</v>
      </c>
      <c r="T21" s="51">
        <v>2180000.0</v>
      </c>
      <c r="U21" s="191" t="s">
        <v>67</v>
      </c>
      <c r="V21" s="57"/>
      <c r="W21" s="186" t="s">
        <v>335</v>
      </c>
      <c r="X21" s="187"/>
      <c r="Y21" s="195" t="s">
        <v>336</v>
      </c>
      <c r="Z21" s="67"/>
      <c r="AA21" s="4"/>
      <c r="AB21" s="4"/>
      <c r="AC21" s="4"/>
      <c r="AD21" s="4"/>
      <c r="AE21" s="4"/>
      <c r="AF21" s="4"/>
    </row>
    <row r="22">
      <c r="A22" s="60">
        <v>18.0</v>
      </c>
      <c r="B22" s="28"/>
      <c r="C22" s="28"/>
      <c r="D22" s="28"/>
      <c r="E22" s="43">
        <v>4.0</v>
      </c>
      <c r="F22" s="28"/>
      <c r="G22" s="45" t="s">
        <v>31</v>
      </c>
      <c r="H22" s="45" t="s">
        <v>369</v>
      </c>
      <c r="I22" s="192" t="s">
        <v>370</v>
      </c>
      <c r="J22" s="68"/>
      <c r="K22" s="46" t="str">
        <f t="shared" si="4"/>
        <v>F</v>
      </c>
      <c r="L22" s="182">
        <v>43007.0</v>
      </c>
      <c r="M22" s="45" t="s">
        <v>371</v>
      </c>
      <c r="N22" s="47">
        <v>45400.0</v>
      </c>
      <c r="O22" s="47">
        <v>47226.0</v>
      </c>
      <c r="P22" s="69"/>
      <c r="Q22" s="69"/>
      <c r="R22" s="80"/>
      <c r="S22" s="42" t="s">
        <v>132</v>
      </c>
      <c r="T22" s="193"/>
      <c r="U22" s="28"/>
      <c r="V22" s="57"/>
      <c r="W22" s="196"/>
      <c r="X22" s="187"/>
      <c r="Y22" s="179"/>
      <c r="Z22" s="67"/>
      <c r="AA22" s="4"/>
      <c r="AB22" s="4"/>
      <c r="AC22" s="4"/>
      <c r="AD22" s="4"/>
      <c r="AE22" s="4"/>
      <c r="AF22" s="4"/>
    </row>
    <row r="23">
      <c r="A23" s="60">
        <v>19.0</v>
      </c>
      <c r="B23" s="28"/>
      <c r="C23" s="28"/>
      <c r="D23" s="28"/>
      <c r="E23" s="43">
        <v>4.0</v>
      </c>
      <c r="F23" s="28"/>
      <c r="G23" s="45" t="s">
        <v>31</v>
      </c>
      <c r="H23" s="45" t="s">
        <v>372</v>
      </c>
      <c r="I23" s="192" t="s">
        <v>373</v>
      </c>
      <c r="J23" s="68"/>
      <c r="K23" s="46" t="str">
        <f t="shared" si="4"/>
        <v>F</v>
      </c>
      <c r="L23" s="182">
        <v>42352.0</v>
      </c>
      <c r="M23" s="45" t="s">
        <v>374</v>
      </c>
      <c r="N23" s="88">
        <v>45400.0</v>
      </c>
      <c r="O23" s="88">
        <v>47226.0</v>
      </c>
      <c r="P23" s="68"/>
      <c r="Q23" s="69"/>
      <c r="R23" s="80"/>
      <c r="S23" s="42" t="s">
        <v>132</v>
      </c>
      <c r="T23" s="193"/>
      <c r="U23" s="28"/>
      <c r="V23" s="57"/>
      <c r="W23" s="196"/>
      <c r="X23" s="187"/>
      <c r="Y23" s="179"/>
      <c r="Z23" s="67"/>
      <c r="AA23" s="4"/>
      <c r="AB23" s="4"/>
      <c r="AC23" s="4"/>
      <c r="AD23" s="4"/>
      <c r="AE23" s="4"/>
      <c r="AF23" s="4"/>
    </row>
    <row r="24">
      <c r="A24" s="60">
        <v>20.0</v>
      </c>
      <c r="B24" s="39"/>
      <c r="C24" s="39"/>
      <c r="D24" s="39"/>
      <c r="E24" s="43">
        <v>4.0</v>
      </c>
      <c r="F24" s="39"/>
      <c r="G24" s="43" t="s">
        <v>31</v>
      </c>
      <c r="H24" s="43" t="s">
        <v>375</v>
      </c>
      <c r="I24" s="192" t="s">
        <v>376</v>
      </c>
      <c r="J24" s="68"/>
      <c r="K24" s="46" t="s">
        <v>47</v>
      </c>
      <c r="L24" s="182">
        <v>30163.0</v>
      </c>
      <c r="M24" s="45" t="s">
        <v>377</v>
      </c>
      <c r="N24" s="47">
        <v>45400.0</v>
      </c>
      <c r="O24" s="47">
        <v>49052.0</v>
      </c>
      <c r="P24" s="69"/>
      <c r="Q24" s="69"/>
      <c r="R24" s="56"/>
      <c r="S24" s="42" t="s">
        <v>132</v>
      </c>
      <c r="T24" s="193"/>
      <c r="U24" s="39"/>
      <c r="V24" s="57"/>
      <c r="W24" s="196"/>
      <c r="X24" s="187"/>
      <c r="Y24" s="179"/>
      <c r="Z24" s="67"/>
      <c r="AA24" s="4"/>
      <c r="AB24" s="4"/>
      <c r="AC24" s="4"/>
      <c r="AD24" s="4"/>
      <c r="AE24" s="4"/>
      <c r="AF24" s="4"/>
    </row>
    <row r="25">
      <c r="A25" s="60">
        <v>21.0</v>
      </c>
      <c r="B25" s="42">
        <v>8.0</v>
      </c>
      <c r="C25" s="84"/>
      <c r="D25" s="42">
        <v>4.0</v>
      </c>
      <c r="E25" s="43">
        <v>1.0</v>
      </c>
      <c r="F25" s="62" t="s">
        <v>43</v>
      </c>
      <c r="G25" s="43" t="s">
        <v>44</v>
      </c>
      <c r="H25" s="43" t="s">
        <v>378</v>
      </c>
      <c r="I25" s="35" t="s">
        <v>379</v>
      </c>
      <c r="J25" s="69"/>
      <c r="K25" s="46" t="s">
        <v>47</v>
      </c>
      <c r="L25" s="182">
        <v>33426.0</v>
      </c>
      <c r="M25" s="43" t="s">
        <v>380</v>
      </c>
      <c r="N25" s="47">
        <v>44845.0</v>
      </c>
      <c r="O25" s="47">
        <v>48498.0</v>
      </c>
      <c r="P25" s="43" t="s">
        <v>381</v>
      </c>
      <c r="Q25" s="69"/>
      <c r="R25" s="49">
        <v>45993.0</v>
      </c>
      <c r="S25" s="50" t="s">
        <v>132</v>
      </c>
      <c r="T25" s="51">
        <v>2725000.0</v>
      </c>
      <c r="U25" s="42" t="s">
        <v>67</v>
      </c>
      <c r="V25" s="57"/>
      <c r="W25" s="186" t="s">
        <v>382</v>
      </c>
      <c r="X25" s="187"/>
      <c r="Y25" s="179"/>
      <c r="Z25" s="67"/>
      <c r="AA25" s="4"/>
      <c r="AB25" s="4"/>
      <c r="AC25" s="4"/>
      <c r="AD25" s="4"/>
      <c r="AE25" s="4"/>
      <c r="AF25" s="4"/>
    </row>
    <row r="26">
      <c r="A26" s="60">
        <v>22.0</v>
      </c>
      <c r="B26" s="28"/>
      <c r="C26" s="28"/>
      <c r="D26" s="28"/>
      <c r="E26" s="43">
        <v>1.0</v>
      </c>
      <c r="F26" s="28"/>
      <c r="G26" s="43" t="s">
        <v>44</v>
      </c>
      <c r="H26" s="43" t="s">
        <v>383</v>
      </c>
      <c r="I26" s="35" t="s">
        <v>384</v>
      </c>
      <c r="J26" s="43"/>
      <c r="K26" s="46" t="s">
        <v>47</v>
      </c>
      <c r="L26" s="182">
        <v>23643.0</v>
      </c>
      <c r="M26" s="43" t="s">
        <v>385</v>
      </c>
      <c r="N26" s="47">
        <v>46042.0</v>
      </c>
      <c r="O26" s="47">
        <v>49694.0</v>
      </c>
      <c r="P26" s="69"/>
      <c r="Q26" s="69"/>
      <c r="R26" s="80"/>
      <c r="S26" s="28"/>
      <c r="T26" s="5"/>
      <c r="U26" s="28"/>
      <c r="V26" s="57"/>
      <c r="W26" s="196"/>
      <c r="X26" s="187"/>
      <c r="Y26" s="179"/>
      <c r="Z26" s="67"/>
      <c r="AA26" s="4"/>
      <c r="AB26" s="4"/>
      <c r="AC26" s="4"/>
      <c r="AD26" s="4"/>
      <c r="AE26" s="4"/>
      <c r="AF26" s="4"/>
    </row>
    <row r="27">
      <c r="A27" s="60">
        <v>23.0</v>
      </c>
      <c r="B27" s="39"/>
      <c r="C27" s="39"/>
      <c r="D27" s="39"/>
      <c r="E27" s="43">
        <v>1.0</v>
      </c>
      <c r="F27" s="39"/>
      <c r="G27" s="43" t="s">
        <v>386</v>
      </c>
      <c r="H27" s="43" t="s">
        <v>387</v>
      </c>
      <c r="I27" s="43" t="s">
        <v>388</v>
      </c>
      <c r="J27" s="68"/>
      <c r="K27" s="46" t="str">
        <f t="shared" ref="K27:K28" si="5">IF(MOD(MID(J27,8,1),2)=1,"M","F")</f>
        <v>F</v>
      </c>
      <c r="L27" s="182">
        <v>23900.0</v>
      </c>
      <c r="M27" s="45" t="s">
        <v>389</v>
      </c>
      <c r="N27" s="47">
        <v>44830.0</v>
      </c>
      <c r="O27" s="47">
        <v>44830.0</v>
      </c>
      <c r="P27" s="69"/>
      <c r="Q27" s="69"/>
      <c r="R27" s="56"/>
      <c r="S27" s="39"/>
      <c r="T27" s="51"/>
      <c r="U27" s="39"/>
      <c r="V27" s="57"/>
      <c r="W27" s="196"/>
      <c r="X27" s="187"/>
      <c r="Y27" s="179"/>
      <c r="Z27" s="67"/>
      <c r="AA27" s="4"/>
      <c r="AB27" s="4"/>
      <c r="AC27" s="4"/>
      <c r="AD27" s="4"/>
      <c r="AE27" s="4"/>
      <c r="AF27" s="4"/>
    </row>
    <row r="28">
      <c r="A28" s="41">
        <v>24.0</v>
      </c>
      <c r="B28" s="42">
        <v>9.0</v>
      </c>
      <c r="C28" s="84"/>
      <c r="D28" s="42">
        <v>5.0</v>
      </c>
      <c r="E28" s="43">
        <v>1.0</v>
      </c>
      <c r="F28" s="62" t="s">
        <v>61</v>
      </c>
      <c r="G28" s="43" t="s">
        <v>44</v>
      </c>
      <c r="H28" s="43" t="s">
        <v>390</v>
      </c>
      <c r="I28" s="43" t="s">
        <v>391</v>
      </c>
      <c r="J28" s="68"/>
      <c r="K28" s="46" t="str">
        <f t="shared" si="5"/>
        <v>F</v>
      </c>
      <c r="L28" s="182">
        <v>22691.0</v>
      </c>
      <c r="M28" s="45" t="s">
        <v>392</v>
      </c>
      <c r="N28" s="47">
        <v>45069.0</v>
      </c>
      <c r="O28" s="47">
        <v>48722.0</v>
      </c>
      <c r="P28" s="43" t="s">
        <v>393</v>
      </c>
      <c r="Q28" s="57"/>
      <c r="R28" s="49">
        <v>45995.0</v>
      </c>
      <c r="S28" s="50" t="s">
        <v>74</v>
      </c>
      <c r="T28" s="51">
        <v>890000.0</v>
      </c>
      <c r="U28" s="61" t="s">
        <v>103</v>
      </c>
      <c r="V28" s="57"/>
      <c r="W28" s="196"/>
      <c r="X28" s="187"/>
      <c r="Y28" s="202" t="s">
        <v>394</v>
      </c>
      <c r="Z28" s="55" t="s">
        <v>395</v>
      </c>
      <c r="AA28" s="4"/>
      <c r="AB28" s="4"/>
      <c r="AC28" s="4"/>
      <c r="AD28" s="4"/>
      <c r="AE28" s="4"/>
      <c r="AF28" s="4"/>
    </row>
    <row r="29">
      <c r="A29" s="41">
        <v>25.0</v>
      </c>
      <c r="B29" s="39"/>
      <c r="C29" s="39"/>
      <c r="D29" s="28"/>
      <c r="E29" s="43">
        <v>1.0</v>
      </c>
      <c r="F29" s="39"/>
      <c r="G29" s="43" t="s">
        <v>44</v>
      </c>
      <c r="H29" s="45" t="s">
        <v>396</v>
      </c>
      <c r="I29" s="43" t="s">
        <v>397</v>
      </c>
      <c r="J29" s="68"/>
      <c r="K29" s="46" t="s">
        <v>47</v>
      </c>
      <c r="L29" s="182">
        <v>24579.0</v>
      </c>
      <c r="M29" s="45" t="s">
        <v>398</v>
      </c>
      <c r="N29" s="47">
        <v>45341.0</v>
      </c>
      <c r="O29" s="47">
        <v>48994.0</v>
      </c>
      <c r="P29" s="69"/>
      <c r="Q29" s="57"/>
      <c r="R29" s="49">
        <v>45995.0</v>
      </c>
      <c r="S29" s="50" t="s">
        <v>74</v>
      </c>
      <c r="T29" s="51">
        <v>890000.0</v>
      </c>
      <c r="U29" s="28"/>
      <c r="V29" s="57"/>
      <c r="W29" s="196"/>
      <c r="X29" s="187"/>
      <c r="Y29" s="202" t="s">
        <v>394</v>
      </c>
      <c r="Z29" s="55" t="s">
        <v>399</v>
      </c>
      <c r="AA29" s="4"/>
      <c r="AB29" s="4"/>
      <c r="AC29" s="4"/>
      <c r="AD29" s="4"/>
      <c r="AE29" s="4"/>
      <c r="AF29" s="4"/>
    </row>
    <row r="30">
      <c r="A30" s="41">
        <v>26.0</v>
      </c>
      <c r="B30" s="61">
        <v>10.0</v>
      </c>
      <c r="C30" s="203"/>
      <c r="D30" s="28"/>
      <c r="E30" s="43">
        <v>2.0</v>
      </c>
      <c r="F30" s="204" t="s">
        <v>400</v>
      </c>
      <c r="G30" s="45" t="s">
        <v>337</v>
      </c>
      <c r="H30" s="45" t="s">
        <v>401</v>
      </c>
      <c r="I30" s="43" t="s">
        <v>402</v>
      </c>
      <c r="J30" s="68"/>
      <c r="K30" s="46" t="s">
        <v>47</v>
      </c>
      <c r="L30" s="182">
        <v>35347.0</v>
      </c>
      <c r="M30" s="45" t="s">
        <v>403</v>
      </c>
      <c r="N30" s="47">
        <v>45453.0</v>
      </c>
      <c r="O30" s="47">
        <v>49105.0</v>
      </c>
      <c r="P30" s="43" t="s">
        <v>404</v>
      </c>
      <c r="Q30" s="57"/>
      <c r="R30" s="49">
        <v>45996.0</v>
      </c>
      <c r="S30" s="50" t="s">
        <v>132</v>
      </c>
      <c r="T30" s="51">
        <v>890000.0</v>
      </c>
      <c r="U30" s="28"/>
      <c r="V30" s="57"/>
      <c r="W30" s="186"/>
      <c r="X30" s="205" t="s">
        <v>405</v>
      </c>
      <c r="Y30" s="202" t="s">
        <v>394</v>
      </c>
      <c r="Z30" s="55" t="s">
        <v>406</v>
      </c>
      <c r="AA30" s="4"/>
      <c r="AB30" s="4"/>
      <c r="AC30" s="4"/>
      <c r="AD30" s="4"/>
      <c r="AE30" s="4"/>
      <c r="AF30" s="4"/>
    </row>
    <row r="31">
      <c r="A31" s="41">
        <v>27.0</v>
      </c>
      <c r="B31" s="28"/>
      <c r="C31" s="28"/>
      <c r="D31" s="28"/>
      <c r="E31" s="43">
        <v>2.0</v>
      </c>
      <c r="F31" s="28"/>
      <c r="G31" s="45" t="s">
        <v>337</v>
      </c>
      <c r="H31" s="45" t="s">
        <v>407</v>
      </c>
      <c r="I31" s="43" t="s">
        <v>408</v>
      </c>
      <c r="J31" s="68"/>
      <c r="K31" s="46" t="s">
        <v>47</v>
      </c>
      <c r="L31" s="182">
        <v>26028.0</v>
      </c>
      <c r="M31" s="45" t="s">
        <v>409</v>
      </c>
      <c r="N31" s="47">
        <v>45723.0</v>
      </c>
      <c r="O31" s="47">
        <v>49375.0</v>
      </c>
      <c r="P31" s="43" t="s">
        <v>410</v>
      </c>
      <c r="Q31" s="57"/>
      <c r="R31" s="49">
        <v>45996.0</v>
      </c>
      <c r="S31" s="50" t="s">
        <v>132</v>
      </c>
      <c r="T31" s="51">
        <v>890000.0</v>
      </c>
      <c r="U31" s="28"/>
      <c r="V31" s="57"/>
      <c r="W31" s="196"/>
      <c r="X31" s="187"/>
      <c r="Y31" s="202" t="s">
        <v>394</v>
      </c>
      <c r="Z31" s="55" t="s">
        <v>411</v>
      </c>
      <c r="AA31" s="4"/>
      <c r="AB31" s="4"/>
      <c r="AC31" s="4"/>
      <c r="AD31" s="4"/>
      <c r="AE31" s="4"/>
      <c r="AF31" s="4"/>
    </row>
    <row r="32">
      <c r="A32" s="41">
        <v>28.0</v>
      </c>
      <c r="B32" s="39"/>
      <c r="C32" s="39"/>
      <c r="D32" s="28"/>
      <c r="E32" s="43">
        <v>2.0</v>
      </c>
      <c r="F32" s="39"/>
      <c r="G32" s="45" t="s">
        <v>31</v>
      </c>
      <c r="H32" s="45" t="s">
        <v>412</v>
      </c>
      <c r="I32" s="43" t="s">
        <v>413</v>
      </c>
      <c r="J32" s="68"/>
      <c r="K32" s="46" t="str">
        <f>IF(MOD(MID(J32,8,1),2)=1,"M","F")</f>
        <v>F</v>
      </c>
      <c r="L32" s="182">
        <v>26428.0</v>
      </c>
      <c r="M32" s="43" t="s">
        <v>414</v>
      </c>
      <c r="N32" s="47">
        <v>45726.0</v>
      </c>
      <c r="O32" s="47">
        <v>49378.0</v>
      </c>
      <c r="P32" s="43" t="s">
        <v>415</v>
      </c>
      <c r="Q32" s="57"/>
      <c r="R32" s="49">
        <v>45996.0</v>
      </c>
      <c r="S32" s="50" t="s">
        <v>132</v>
      </c>
      <c r="T32" s="51">
        <v>445000.0</v>
      </c>
      <c r="U32" s="28"/>
      <c r="V32" s="57"/>
      <c r="W32" s="196"/>
      <c r="X32" s="187"/>
      <c r="Y32" s="202" t="s">
        <v>394</v>
      </c>
      <c r="Z32" s="55" t="s">
        <v>416</v>
      </c>
      <c r="AA32" s="4"/>
      <c r="AB32" s="4"/>
      <c r="AC32" s="4"/>
      <c r="AD32" s="4"/>
      <c r="AE32" s="4"/>
      <c r="AF32" s="4"/>
    </row>
    <row r="33">
      <c r="A33" s="41">
        <v>29.0</v>
      </c>
      <c r="B33" s="61">
        <v>11.0</v>
      </c>
      <c r="C33" s="203"/>
      <c r="D33" s="28"/>
      <c r="E33" s="43">
        <v>3.0</v>
      </c>
      <c r="F33" s="62" t="s">
        <v>61</v>
      </c>
      <c r="G33" s="45" t="s">
        <v>127</v>
      </c>
      <c r="H33" s="45" t="s">
        <v>417</v>
      </c>
      <c r="I33" s="43" t="s">
        <v>418</v>
      </c>
      <c r="J33" s="68"/>
      <c r="K33" s="46" t="s">
        <v>47</v>
      </c>
      <c r="L33" s="182">
        <v>28452.0</v>
      </c>
      <c r="M33" s="45" t="s">
        <v>419</v>
      </c>
      <c r="N33" s="47">
        <v>45442.0</v>
      </c>
      <c r="O33" s="47">
        <v>49094.0</v>
      </c>
      <c r="P33" s="43" t="s">
        <v>420</v>
      </c>
      <c r="Q33" s="57"/>
      <c r="R33" s="206">
        <v>46015.0</v>
      </c>
      <c r="S33" s="50" t="s">
        <v>228</v>
      </c>
      <c r="T33" s="51">
        <v>890000.0</v>
      </c>
      <c r="U33" s="28"/>
      <c r="V33" s="207"/>
      <c r="W33" s="208"/>
      <c r="X33" s="209"/>
      <c r="Y33" s="202" t="s">
        <v>394</v>
      </c>
      <c r="Z33" s="55" t="s">
        <v>421</v>
      </c>
      <c r="AA33" s="4"/>
      <c r="AB33" s="4"/>
      <c r="AC33" s="4"/>
      <c r="AD33" s="4"/>
      <c r="AE33" s="4"/>
      <c r="AF33" s="4"/>
    </row>
    <row r="34">
      <c r="A34" s="41">
        <v>30.0</v>
      </c>
      <c r="B34" s="39"/>
      <c r="C34" s="39"/>
      <c r="D34" s="39"/>
      <c r="E34" s="43">
        <v>3.0</v>
      </c>
      <c r="F34" s="39"/>
      <c r="G34" s="45" t="s">
        <v>31</v>
      </c>
      <c r="H34" s="45" t="s">
        <v>422</v>
      </c>
      <c r="I34" s="43" t="s">
        <v>423</v>
      </c>
      <c r="J34" s="68"/>
      <c r="K34" s="46" t="s">
        <v>57</v>
      </c>
      <c r="L34" s="182">
        <v>28046.0</v>
      </c>
      <c r="M34" s="45" t="s">
        <v>424</v>
      </c>
      <c r="N34" s="47">
        <v>43370.0</v>
      </c>
      <c r="O34" s="47">
        <v>47023.0</v>
      </c>
      <c r="P34" s="43" t="s">
        <v>425</v>
      </c>
      <c r="Q34" s="57"/>
      <c r="R34" s="206">
        <v>46015.0</v>
      </c>
      <c r="S34" s="50" t="s">
        <v>228</v>
      </c>
      <c r="T34" s="51">
        <v>890000.0</v>
      </c>
      <c r="U34" s="39"/>
      <c r="V34" s="207"/>
      <c r="W34" s="208"/>
      <c r="X34" s="187"/>
      <c r="Y34" s="202" t="s">
        <v>394</v>
      </c>
      <c r="Z34" s="86" t="s">
        <v>426</v>
      </c>
      <c r="AA34" s="4"/>
      <c r="AB34" s="4"/>
      <c r="AC34" s="4"/>
      <c r="AD34" s="4"/>
      <c r="AE34" s="4"/>
      <c r="AF34" s="4"/>
    </row>
    <row r="35">
      <c r="A35" s="41">
        <v>31.0</v>
      </c>
      <c r="B35" s="61">
        <v>12.0</v>
      </c>
      <c r="C35" s="203"/>
      <c r="D35" s="42">
        <v>6.0</v>
      </c>
      <c r="E35" s="43">
        <v>1.0</v>
      </c>
      <c r="F35" s="204" t="s">
        <v>427</v>
      </c>
      <c r="G35" s="45" t="s">
        <v>31</v>
      </c>
      <c r="H35" s="45" t="s">
        <v>428</v>
      </c>
      <c r="I35" s="43" t="s">
        <v>429</v>
      </c>
      <c r="J35" s="68"/>
      <c r="K35" s="46" t="s">
        <v>57</v>
      </c>
      <c r="L35" s="182">
        <v>25881.0</v>
      </c>
      <c r="M35" s="45" t="s">
        <v>430</v>
      </c>
      <c r="N35" s="47">
        <v>46108.0</v>
      </c>
      <c r="O35" s="47">
        <v>49761.0</v>
      </c>
      <c r="P35" s="43" t="s">
        <v>431</v>
      </c>
      <c r="Q35" s="69"/>
      <c r="R35" s="206">
        <v>45996.0</v>
      </c>
      <c r="S35" s="50" t="s">
        <v>132</v>
      </c>
      <c r="T35" s="51">
        <v>1090000.0</v>
      </c>
      <c r="U35" s="204" t="s">
        <v>51</v>
      </c>
      <c r="V35" s="207"/>
      <c r="W35" s="210" t="s">
        <v>432</v>
      </c>
      <c r="X35" s="209" t="s">
        <v>433</v>
      </c>
      <c r="Y35" s="202"/>
      <c r="Z35" s="55" t="s">
        <v>434</v>
      </c>
      <c r="AA35" s="4"/>
      <c r="AB35" s="4"/>
      <c r="AC35" s="4"/>
      <c r="AD35" s="4"/>
      <c r="AE35" s="4"/>
      <c r="AF35" s="4"/>
    </row>
    <row r="36">
      <c r="A36" s="41">
        <v>32.0</v>
      </c>
      <c r="B36" s="28"/>
      <c r="C36" s="28"/>
      <c r="D36" s="28"/>
      <c r="E36" s="43">
        <v>1.0</v>
      </c>
      <c r="F36" s="28"/>
      <c r="G36" s="45" t="s">
        <v>97</v>
      </c>
      <c r="H36" s="45" t="s">
        <v>435</v>
      </c>
      <c r="I36" s="43" t="s">
        <v>436</v>
      </c>
      <c r="J36" s="68"/>
      <c r="K36" s="46" t="s">
        <v>57</v>
      </c>
      <c r="L36" s="182">
        <v>28177.0</v>
      </c>
      <c r="M36" s="45" t="s">
        <v>437</v>
      </c>
      <c r="N36" s="47">
        <v>43244.0</v>
      </c>
      <c r="O36" s="47">
        <v>46897.0</v>
      </c>
      <c r="P36" s="43" t="s">
        <v>438</v>
      </c>
      <c r="Q36" s="69"/>
      <c r="R36" s="80"/>
      <c r="S36" s="28"/>
      <c r="T36" s="51">
        <v>1090000.0</v>
      </c>
      <c r="U36" s="28"/>
      <c r="V36" s="207"/>
      <c r="W36" s="80"/>
      <c r="X36" s="187"/>
      <c r="Y36" s="202"/>
      <c r="Z36" s="55" t="s">
        <v>439</v>
      </c>
      <c r="AA36" s="4"/>
      <c r="AB36" s="4"/>
      <c r="AC36" s="4"/>
      <c r="AD36" s="4"/>
      <c r="AE36" s="4"/>
      <c r="AF36" s="4"/>
    </row>
    <row r="37">
      <c r="A37" s="41">
        <v>33.0</v>
      </c>
      <c r="B37" s="39"/>
      <c r="C37" s="39"/>
      <c r="D37" s="39"/>
      <c r="E37" s="43">
        <v>1.0</v>
      </c>
      <c r="F37" s="39"/>
      <c r="G37" s="45" t="s">
        <v>440</v>
      </c>
      <c r="H37" s="45" t="s">
        <v>441</v>
      </c>
      <c r="I37" s="43" t="s">
        <v>442</v>
      </c>
      <c r="J37" s="68"/>
      <c r="K37" s="46" t="s">
        <v>57</v>
      </c>
      <c r="L37" s="182">
        <v>35620.0</v>
      </c>
      <c r="M37" s="40" t="s">
        <v>443</v>
      </c>
      <c r="N37" s="88">
        <v>43300.0</v>
      </c>
      <c r="O37" s="47">
        <v>46953.0</v>
      </c>
      <c r="P37" s="43" t="s">
        <v>444</v>
      </c>
      <c r="Q37" s="69"/>
      <c r="R37" s="56"/>
      <c r="S37" s="39"/>
      <c r="T37" s="51">
        <v>545000.0</v>
      </c>
      <c r="U37" s="39"/>
      <c r="V37" s="207"/>
      <c r="W37" s="56"/>
      <c r="X37" s="187"/>
      <c r="Y37" s="202"/>
      <c r="Z37" s="55" t="s">
        <v>445</v>
      </c>
      <c r="AA37" s="4"/>
      <c r="AB37" s="4"/>
      <c r="AC37" s="4"/>
      <c r="AD37" s="4"/>
      <c r="AE37" s="4"/>
      <c r="AF37" s="4"/>
    </row>
    <row r="38">
      <c r="A38" s="41">
        <v>34.0</v>
      </c>
      <c r="B38" s="61">
        <v>13.0</v>
      </c>
      <c r="C38" s="211"/>
      <c r="D38" s="42">
        <v>7.0</v>
      </c>
      <c r="E38" s="43">
        <v>1.0</v>
      </c>
      <c r="F38" s="204" t="s">
        <v>43</v>
      </c>
      <c r="G38" s="45" t="s">
        <v>44</v>
      </c>
      <c r="H38" s="45" t="s">
        <v>446</v>
      </c>
      <c r="I38" s="43" t="s">
        <v>447</v>
      </c>
      <c r="J38" s="68"/>
      <c r="K38" s="46" t="s">
        <v>47</v>
      </c>
      <c r="L38" s="182">
        <v>26985.0</v>
      </c>
      <c r="M38" s="45" t="s">
        <v>448</v>
      </c>
      <c r="N38" s="47">
        <v>45860.0</v>
      </c>
      <c r="O38" s="47">
        <v>49512.0</v>
      </c>
      <c r="P38" s="43" t="s">
        <v>449</v>
      </c>
      <c r="Q38" s="69"/>
      <c r="R38" s="49">
        <v>45997.0</v>
      </c>
      <c r="S38" s="50" t="s">
        <v>132</v>
      </c>
      <c r="T38" s="51">
        <v>1090000.0</v>
      </c>
      <c r="U38" s="204" t="s">
        <v>51</v>
      </c>
      <c r="V38" s="57"/>
      <c r="W38" s="212" t="s">
        <v>450</v>
      </c>
      <c r="X38" s="187"/>
      <c r="Y38" s="202"/>
      <c r="Z38" s="55" t="s">
        <v>451</v>
      </c>
      <c r="AA38" s="4"/>
      <c r="AB38" s="4"/>
      <c r="AC38" s="4"/>
      <c r="AD38" s="4"/>
      <c r="AE38" s="4"/>
      <c r="AF38" s="4"/>
    </row>
    <row r="39">
      <c r="A39" s="41">
        <v>35.0</v>
      </c>
      <c r="B39" s="39"/>
      <c r="C39" s="211"/>
      <c r="D39" s="39"/>
      <c r="E39" s="43">
        <v>1.0</v>
      </c>
      <c r="F39" s="39"/>
      <c r="G39" s="45" t="s">
        <v>44</v>
      </c>
      <c r="H39" s="45" t="s">
        <v>452</v>
      </c>
      <c r="I39" s="43" t="s">
        <v>453</v>
      </c>
      <c r="J39" s="68"/>
      <c r="K39" s="46" t="s">
        <v>57</v>
      </c>
      <c r="L39" s="182">
        <v>27927.0</v>
      </c>
      <c r="M39" s="45" t="s">
        <v>454</v>
      </c>
      <c r="N39" s="47">
        <v>44957.0</v>
      </c>
      <c r="O39" s="47">
        <v>46752.0</v>
      </c>
      <c r="P39" s="43" t="s">
        <v>455</v>
      </c>
      <c r="Q39" s="69"/>
      <c r="R39" s="56"/>
      <c r="S39" s="39"/>
      <c r="T39" s="51">
        <v>1090000.0</v>
      </c>
      <c r="U39" s="39"/>
      <c r="V39" s="57"/>
      <c r="W39" s="56"/>
      <c r="X39" s="187"/>
      <c r="Y39" s="202"/>
      <c r="Z39" s="55" t="s">
        <v>456</v>
      </c>
      <c r="AA39" s="4"/>
      <c r="AB39" s="4"/>
      <c r="AC39" s="4"/>
      <c r="AD39" s="4"/>
      <c r="AE39" s="4"/>
      <c r="AF39" s="4"/>
    </row>
    <row r="40">
      <c r="A40" s="97">
        <v>36.0</v>
      </c>
      <c r="B40" s="213">
        <v>14.0</v>
      </c>
      <c r="C40" s="214" t="s">
        <v>457</v>
      </c>
      <c r="D40" s="100">
        <v>8.0</v>
      </c>
      <c r="E40" s="98">
        <v>1.0</v>
      </c>
      <c r="F40" s="214" t="s">
        <v>43</v>
      </c>
      <c r="G40" s="98" t="s">
        <v>458</v>
      </c>
      <c r="H40" s="98" t="s">
        <v>459</v>
      </c>
      <c r="I40" s="98" t="s">
        <v>460</v>
      </c>
      <c r="J40" s="101"/>
      <c r="K40" s="102" t="s">
        <v>47</v>
      </c>
      <c r="L40" s="197">
        <v>24561.0</v>
      </c>
      <c r="M40" s="98" t="s">
        <v>461</v>
      </c>
      <c r="N40" s="121">
        <v>44740.0</v>
      </c>
      <c r="O40" s="121">
        <v>48393.0</v>
      </c>
      <c r="P40" s="98" t="s">
        <v>462</v>
      </c>
      <c r="Q40" s="101"/>
      <c r="R40" s="215">
        <v>45996.0</v>
      </c>
      <c r="S40" s="118" t="s">
        <v>132</v>
      </c>
      <c r="T40" s="107">
        <v>2925000.0</v>
      </c>
      <c r="U40" s="213" t="s">
        <v>67</v>
      </c>
      <c r="V40" s="104"/>
      <c r="W40" s="216" t="s">
        <v>463</v>
      </c>
      <c r="X40" s="200"/>
      <c r="Y40" s="201"/>
      <c r="Z40" s="110"/>
      <c r="AA40" s="111"/>
      <c r="AB40" s="111"/>
      <c r="AC40" s="111"/>
      <c r="AD40" s="111"/>
      <c r="AE40" s="111"/>
      <c r="AF40" s="111"/>
    </row>
    <row r="41">
      <c r="A41" s="97">
        <v>37.0</v>
      </c>
      <c r="B41" s="28"/>
      <c r="C41" s="28"/>
      <c r="D41" s="28"/>
      <c r="E41" s="98">
        <v>1.0</v>
      </c>
      <c r="F41" s="28"/>
      <c r="G41" s="98" t="s">
        <v>458</v>
      </c>
      <c r="H41" s="98" t="s">
        <v>464</v>
      </c>
      <c r="I41" s="98" t="s">
        <v>465</v>
      </c>
      <c r="J41" s="101"/>
      <c r="K41" s="102" t="s">
        <v>47</v>
      </c>
      <c r="L41" s="197">
        <v>41597.0</v>
      </c>
      <c r="M41" s="98" t="s">
        <v>466</v>
      </c>
      <c r="N41" s="121">
        <v>46029.0</v>
      </c>
      <c r="O41" s="121">
        <v>47855.0</v>
      </c>
      <c r="P41" s="101"/>
      <c r="Q41" s="101"/>
      <c r="R41" s="217"/>
      <c r="S41" s="28"/>
      <c r="T41" s="107"/>
      <c r="U41" s="28"/>
      <c r="V41" s="104"/>
      <c r="W41" s="216"/>
      <c r="X41" s="200"/>
      <c r="Y41" s="201"/>
      <c r="Z41" s="110"/>
      <c r="AA41" s="111"/>
      <c r="AB41" s="111"/>
      <c r="AC41" s="111"/>
      <c r="AD41" s="111"/>
      <c r="AE41" s="111"/>
      <c r="AF41" s="111"/>
    </row>
    <row r="42">
      <c r="A42" s="97">
        <v>38.0</v>
      </c>
      <c r="B42" s="28"/>
      <c r="C42" s="28"/>
      <c r="D42" s="28"/>
      <c r="E42" s="98">
        <v>1.0</v>
      </c>
      <c r="F42" s="28"/>
      <c r="G42" s="98" t="s">
        <v>458</v>
      </c>
      <c r="H42" s="98" t="s">
        <v>467</v>
      </c>
      <c r="I42" s="98" t="s">
        <v>468</v>
      </c>
      <c r="J42" s="101"/>
      <c r="K42" s="102" t="s">
        <v>47</v>
      </c>
      <c r="L42" s="197">
        <v>39489.0</v>
      </c>
      <c r="M42" s="98" t="s">
        <v>469</v>
      </c>
      <c r="N42" s="121">
        <v>46029.0</v>
      </c>
      <c r="O42" s="121">
        <v>46029.0</v>
      </c>
      <c r="P42" s="101"/>
      <c r="Q42" s="101"/>
      <c r="R42" s="217"/>
      <c r="S42" s="28"/>
      <c r="T42" s="107"/>
      <c r="U42" s="28"/>
      <c r="V42" s="104"/>
      <c r="W42" s="216"/>
      <c r="X42" s="200"/>
      <c r="Y42" s="201"/>
      <c r="Z42" s="110"/>
      <c r="AA42" s="111"/>
      <c r="AB42" s="111"/>
      <c r="AC42" s="111"/>
      <c r="AD42" s="111"/>
      <c r="AE42" s="111"/>
      <c r="AF42" s="111"/>
    </row>
    <row r="43">
      <c r="A43" s="97">
        <v>39.0</v>
      </c>
      <c r="B43" s="39"/>
      <c r="C43" s="39"/>
      <c r="D43" s="39"/>
      <c r="E43" s="98">
        <v>1.0</v>
      </c>
      <c r="F43" s="39"/>
      <c r="G43" s="98" t="s">
        <v>470</v>
      </c>
      <c r="H43" s="98" t="s">
        <v>471</v>
      </c>
      <c r="I43" s="101"/>
      <c r="J43" s="98" t="s">
        <v>472</v>
      </c>
      <c r="K43" s="102" t="s">
        <v>57</v>
      </c>
      <c r="L43" s="197">
        <v>30606.0</v>
      </c>
      <c r="M43" s="98" t="s">
        <v>473</v>
      </c>
      <c r="N43" s="121">
        <v>42662.0</v>
      </c>
      <c r="O43" s="121">
        <v>46313.0</v>
      </c>
      <c r="P43" s="101"/>
      <c r="Q43" s="101"/>
      <c r="R43" s="217"/>
      <c r="S43" s="39"/>
      <c r="T43" s="107"/>
      <c r="U43" s="39"/>
      <c r="V43" s="104"/>
      <c r="W43" s="216" t="s">
        <v>474</v>
      </c>
      <c r="X43" s="218"/>
      <c r="Y43" s="201"/>
      <c r="Z43" s="110"/>
      <c r="AA43" s="111"/>
      <c r="AB43" s="111"/>
      <c r="AC43" s="111"/>
      <c r="AD43" s="111"/>
      <c r="AE43" s="111"/>
      <c r="AF43" s="111"/>
    </row>
    <row r="44">
      <c r="A44" s="60">
        <v>40.0</v>
      </c>
      <c r="B44" s="42">
        <v>15.0</v>
      </c>
      <c r="C44" s="84"/>
      <c r="D44" s="42">
        <v>9.0</v>
      </c>
      <c r="E44" s="43">
        <v>1.0</v>
      </c>
      <c r="F44" s="62" t="s">
        <v>43</v>
      </c>
      <c r="G44" s="45" t="s">
        <v>475</v>
      </c>
      <c r="H44" s="45" t="s">
        <v>476</v>
      </c>
      <c r="I44" s="35" t="s">
        <v>477</v>
      </c>
      <c r="J44" s="68"/>
      <c r="K44" s="46" t="s">
        <v>47</v>
      </c>
      <c r="L44" s="182">
        <v>22105.0</v>
      </c>
      <c r="M44" s="45" t="s">
        <v>478</v>
      </c>
      <c r="N44" s="47">
        <v>45789.0</v>
      </c>
      <c r="O44" s="47">
        <v>49441.0</v>
      </c>
      <c r="P44" s="43" t="s">
        <v>479</v>
      </c>
      <c r="Q44" s="69"/>
      <c r="R44" s="64">
        <v>45994.0</v>
      </c>
      <c r="S44" s="50" t="s">
        <v>132</v>
      </c>
      <c r="T44" s="51">
        <v>2180000.0</v>
      </c>
      <c r="U44" s="42" t="s">
        <v>67</v>
      </c>
      <c r="V44" s="57"/>
      <c r="W44" s="196"/>
      <c r="X44" s="187"/>
      <c r="Y44" s="179"/>
      <c r="Z44" s="67"/>
      <c r="AA44" s="4"/>
      <c r="AB44" s="4"/>
      <c r="AC44" s="4"/>
      <c r="AD44" s="4"/>
      <c r="AE44" s="4"/>
      <c r="AF44" s="4"/>
    </row>
    <row r="45">
      <c r="A45" s="60">
        <v>41.0</v>
      </c>
      <c r="B45" s="39"/>
      <c r="C45" s="39"/>
      <c r="D45" s="39"/>
      <c r="E45" s="43">
        <v>1.0</v>
      </c>
      <c r="F45" s="39"/>
      <c r="G45" s="45" t="s">
        <v>121</v>
      </c>
      <c r="H45" s="45" t="s">
        <v>480</v>
      </c>
      <c r="I45" s="35" t="s">
        <v>481</v>
      </c>
      <c r="J45" s="68"/>
      <c r="K45" s="46" t="str">
        <f>IF(MOD(MID(J45,8,1),2)=1,"M","F")</f>
        <v>F</v>
      </c>
      <c r="L45" s="182">
        <v>23228.0</v>
      </c>
      <c r="M45" s="45" t="s">
        <v>482</v>
      </c>
      <c r="N45" s="47">
        <v>45789.0</v>
      </c>
      <c r="O45" s="47">
        <v>49441.0</v>
      </c>
      <c r="P45" s="69"/>
      <c r="Q45" s="69"/>
      <c r="R45" s="219"/>
      <c r="S45" s="39"/>
      <c r="T45" s="51"/>
      <c r="U45" s="39"/>
      <c r="V45" s="57"/>
      <c r="W45" s="196"/>
      <c r="X45" s="187"/>
      <c r="Y45" s="179"/>
      <c r="Z45" s="67"/>
      <c r="AA45" s="4"/>
      <c r="AB45" s="4"/>
      <c r="AC45" s="4"/>
      <c r="AD45" s="4"/>
      <c r="AE45" s="4"/>
      <c r="AF45" s="4"/>
    </row>
    <row r="46">
      <c r="A46" s="60">
        <v>42.0</v>
      </c>
      <c r="B46" s="42">
        <v>16.0</v>
      </c>
      <c r="C46" s="60"/>
      <c r="D46" s="42">
        <v>10.0</v>
      </c>
      <c r="E46" s="43">
        <v>1.0</v>
      </c>
      <c r="F46" s="62" t="s">
        <v>43</v>
      </c>
      <c r="G46" s="45" t="s">
        <v>31</v>
      </c>
      <c r="H46" s="45" t="s">
        <v>171</v>
      </c>
      <c r="I46" s="35" t="s">
        <v>483</v>
      </c>
      <c r="J46" s="68"/>
      <c r="K46" s="43" t="s">
        <v>57</v>
      </c>
      <c r="L46" s="182">
        <v>23955.0</v>
      </c>
      <c r="M46" s="45" t="s">
        <v>484</v>
      </c>
      <c r="N46" s="88">
        <v>46065.0</v>
      </c>
      <c r="O46" s="47">
        <v>49717.0</v>
      </c>
      <c r="P46" s="68"/>
      <c r="Q46" s="69"/>
      <c r="R46" s="49">
        <v>46001.0</v>
      </c>
      <c r="S46" s="50" t="s">
        <v>132</v>
      </c>
      <c r="T46" s="51">
        <v>2180000.0</v>
      </c>
      <c r="U46" s="42" t="s">
        <v>67</v>
      </c>
      <c r="V46" s="127"/>
      <c r="W46" s="196"/>
      <c r="X46" s="187"/>
      <c r="Y46" s="179"/>
      <c r="Z46" s="67"/>
      <c r="AA46" s="4"/>
      <c r="AB46" s="4"/>
      <c r="AC46" s="4"/>
      <c r="AD46" s="4"/>
      <c r="AE46" s="4"/>
      <c r="AF46" s="4"/>
    </row>
    <row r="47">
      <c r="A47" s="60">
        <v>43.0</v>
      </c>
      <c r="B47" s="39"/>
      <c r="C47" s="60"/>
      <c r="D47" s="39"/>
      <c r="E47" s="43">
        <v>1.0</v>
      </c>
      <c r="F47" s="39"/>
      <c r="G47" s="45" t="s">
        <v>149</v>
      </c>
      <c r="H47" s="45" t="s">
        <v>485</v>
      </c>
      <c r="I47" s="35" t="s">
        <v>486</v>
      </c>
      <c r="J47" s="68"/>
      <c r="K47" s="43" t="s">
        <v>47</v>
      </c>
      <c r="L47" s="182">
        <v>33502.0</v>
      </c>
      <c r="M47" s="45" t="s">
        <v>487</v>
      </c>
      <c r="N47" s="88">
        <v>43566.0</v>
      </c>
      <c r="O47" s="88">
        <v>47219.0</v>
      </c>
      <c r="P47" s="45" t="s">
        <v>488</v>
      </c>
      <c r="Q47" s="69"/>
      <c r="R47" s="78"/>
      <c r="S47" s="39"/>
      <c r="T47" s="126"/>
      <c r="U47" s="39"/>
      <c r="V47" s="127"/>
      <c r="W47" s="196"/>
      <c r="X47" s="187"/>
      <c r="Y47" s="179"/>
      <c r="Z47" s="67"/>
      <c r="AA47" s="4"/>
      <c r="AB47" s="4"/>
      <c r="AC47" s="4"/>
      <c r="AD47" s="4"/>
      <c r="AE47" s="4"/>
      <c r="AF47" s="4"/>
    </row>
    <row r="48">
      <c r="A48" s="60">
        <v>44.0</v>
      </c>
      <c r="B48" s="123">
        <v>17.0</v>
      </c>
      <c r="C48" s="60"/>
      <c r="D48" s="42">
        <v>11.0</v>
      </c>
      <c r="E48" s="43">
        <v>1.0</v>
      </c>
      <c r="F48" s="62" t="s">
        <v>43</v>
      </c>
      <c r="G48" s="220" t="s">
        <v>440</v>
      </c>
      <c r="H48" s="221" t="s">
        <v>489</v>
      </c>
      <c r="I48" s="43" t="s">
        <v>490</v>
      </c>
      <c r="J48" s="68"/>
      <c r="K48" s="43" t="s">
        <v>47</v>
      </c>
      <c r="L48" s="182">
        <v>22046.0</v>
      </c>
      <c r="M48" s="220" t="s">
        <v>491</v>
      </c>
      <c r="N48" s="222">
        <v>45877.0</v>
      </c>
      <c r="O48" s="222">
        <v>49529.0</v>
      </c>
      <c r="P48" s="223" t="s">
        <v>492</v>
      </c>
      <c r="Q48" s="69"/>
      <c r="R48" s="49">
        <v>46049.0</v>
      </c>
      <c r="S48" s="50" t="s">
        <v>228</v>
      </c>
      <c r="T48" s="51">
        <v>890000.0</v>
      </c>
      <c r="U48" s="42" t="s">
        <v>103</v>
      </c>
      <c r="V48" s="127"/>
      <c r="W48" s="212" t="s">
        <v>493</v>
      </c>
      <c r="X48" s="187"/>
      <c r="Y48" s="202" t="s">
        <v>394</v>
      </c>
      <c r="Z48" s="55" t="s">
        <v>494</v>
      </c>
      <c r="AA48" s="4"/>
      <c r="AB48" s="4"/>
      <c r="AC48" s="4"/>
      <c r="AD48" s="4"/>
      <c r="AE48" s="4"/>
      <c r="AF48" s="4"/>
    </row>
    <row r="49">
      <c r="A49" s="60">
        <v>45.0</v>
      </c>
      <c r="B49" s="39"/>
      <c r="C49" s="60"/>
      <c r="D49" s="39"/>
      <c r="E49" s="43">
        <v>1.0</v>
      </c>
      <c r="F49" s="39"/>
      <c r="G49" s="224" t="s">
        <v>97</v>
      </c>
      <c r="H49" s="225" t="s">
        <v>495</v>
      </c>
      <c r="I49" s="43" t="s">
        <v>496</v>
      </c>
      <c r="J49" s="68"/>
      <c r="K49" s="43" t="s">
        <v>57</v>
      </c>
      <c r="L49" s="182">
        <v>21944.0</v>
      </c>
      <c r="M49" s="224" t="s">
        <v>497</v>
      </c>
      <c r="N49" s="182">
        <v>45877.0</v>
      </c>
      <c r="O49" s="182">
        <v>49529.0</v>
      </c>
      <c r="P49" s="68"/>
      <c r="Q49" s="69"/>
      <c r="R49" s="49">
        <v>46049.0</v>
      </c>
      <c r="S49" s="50" t="s">
        <v>228</v>
      </c>
      <c r="T49" s="51">
        <v>890000.0</v>
      </c>
      <c r="U49" s="28"/>
      <c r="V49" s="127"/>
      <c r="W49" s="56"/>
      <c r="X49" s="187"/>
      <c r="Y49" s="202" t="s">
        <v>394</v>
      </c>
      <c r="Z49" s="86" t="s">
        <v>498</v>
      </c>
      <c r="AA49" s="4"/>
      <c r="AB49" s="4"/>
      <c r="AC49" s="4"/>
      <c r="AD49" s="4"/>
      <c r="AE49" s="4"/>
      <c r="AF49" s="4"/>
    </row>
    <row r="50">
      <c r="A50" s="60">
        <v>46.0</v>
      </c>
      <c r="B50" s="123">
        <v>1.0</v>
      </c>
      <c r="C50" s="84"/>
      <c r="D50" s="42">
        <v>12.0</v>
      </c>
      <c r="E50" s="43">
        <v>1.0</v>
      </c>
      <c r="F50" s="42" t="s">
        <v>43</v>
      </c>
      <c r="G50" s="45" t="s">
        <v>31</v>
      </c>
      <c r="H50" s="45" t="s">
        <v>499</v>
      </c>
      <c r="I50" s="43" t="s">
        <v>500</v>
      </c>
      <c r="J50" s="68"/>
      <c r="K50" s="43" t="s">
        <v>47</v>
      </c>
      <c r="L50" s="182">
        <v>27776.0</v>
      </c>
      <c r="M50" s="45" t="s">
        <v>501</v>
      </c>
      <c r="N50" s="88">
        <v>44770.0</v>
      </c>
      <c r="O50" s="88">
        <v>48423.0</v>
      </c>
      <c r="P50" s="45" t="s">
        <v>502</v>
      </c>
      <c r="Q50" s="69"/>
      <c r="R50" s="49">
        <v>46077.0</v>
      </c>
      <c r="S50" s="50" t="s">
        <v>132</v>
      </c>
      <c r="T50" s="89">
        <v>1190000.0</v>
      </c>
      <c r="U50" s="42" t="s">
        <v>51</v>
      </c>
      <c r="V50" s="127"/>
      <c r="W50" s="186"/>
      <c r="X50" s="209"/>
      <c r="Y50" s="202"/>
      <c r="Z50" s="55" t="s">
        <v>503</v>
      </c>
      <c r="AA50" s="4"/>
      <c r="AB50" s="4"/>
      <c r="AC50" s="4"/>
      <c r="AD50" s="4"/>
      <c r="AE50" s="4"/>
      <c r="AF50" s="4"/>
    </row>
    <row r="51">
      <c r="A51" s="60">
        <v>47.0</v>
      </c>
      <c r="B51" s="39"/>
      <c r="C51" s="39"/>
      <c r="D51" s="39"/>
      <c r="E51" s="43">
        <v>1.0</v>
      </c>
      <c r="F51" s="39"/>
      <c r="G51" s="45" t="s">
        <v>44</v>
      </c>
      <c r="H51" s="45" t="s">
        <v>504</v>
      </c>
      <c r="I51" s="43" t="s">
        <v>505</v>
      </c>
      <c r="J51" s="68"/>
      <c r="K51" s="43" t="s">
        <v>47</v>
      </c>
      <c r="L51" s="182">
        <v>28224.0</v>
      </c>
      <c r="M51" s="45" t="s">
        <v>506</v>
      </c>
      <c r="N51" s="88">
        <v>44969.0</v>
      </c>
      <c r="O51" s="88">
        <v>48622.0</v>
      </c>
      <c r="P51" s="45" t="s">
        <v>507</v>
      </c>
      <c r="Q51" s="69"/>
      <c r="R51" s="49">
        <v>46077.0</v>
      </c>
      <c r="S51" s="28"/>
      <c r="T51" s="89">
        <v>1190000.0</v>
      </c>
      <c r="U51" s="28"/>
      <c r="V51" s="127"/>
      <c r="W51" s="186"/>
      <c r="X51" s="187"/>
      <c r="Y51" s="202"/>
      <c r="Z51" s="55" t="s">
        <v>508</v>
      </c>
      <c r="AA51" s="4"/>
      <c r="AB51" s="4"/>
      <c r="AC51" s="4"/>
      <c r="AD51" s="4"/>
      <c r="AE51" s="4"/>
      <c r="AF51" s="4"/>
    </row>
    <row r="52">
      <c r="A52" s="60">
        <v>48.0</v>
      </c>
      <c r="B52" s="123">
        <v>2.0</v>
      </c>
      <c r="C52" s="84"/>
      <c r="D52" s="42">
        <v>13.0</v>
      </c>
      <c r="E52" s="43">
        <v>1.0</v>
      </c>
      <c r="F52" s="42" t="s">
        <v>43</v>
      </c>
      <c r="G52" s="68" t="s">
        <v>509</v>
      </c>
      <c r="H52" s="68" t="s">
        <v>510</v>
      </c>
      <c r="I52" s="43" t="s">
        <v>511</v>
      </c>
      <c r="J52" s="68"/>
      <c r="K52" s="69" t="s">
        <v>57</v>
      </c>
      <c r="L52" s="226">
        <v>29787.0</v>
      </c>
      <c r="M52" s="68" t="s">
        <v>512</v>
      </c>
      <c r="N52" s="83">
        <v>43839.0</v>
      </c>
      <c r="O52" s="83">
        <v>47492.0</v>
      </c>
      <c r="P52" s="45" t="s">
        <v>513</v>
      </c>
      <c r="Q52" s="69"/>
      <c r="R52" s="227">
        <v>46092.0</v>
      </c>
      <c r="S52" s="228" t="s">
        <v>514</v>
      </c>
      <c r="T52" s="126">
        <v>1190000.0</v>
      </c>
      <c r="U52" s="42" t="s">
        <v>515</v>
      </c>
      <c r="V52" s="127"/>
      <c r="W52" s="196"/>
      <c r="X52" s="187"/>
      <c r="Y52" s="179"/>
      <c r="Z52" s="67"/>
      <c r="AA52" s="4"/>
      <c r="AB52" s="4"/>
      <c r="AC52" s="4"/>
      <c r="AD52" s="4"/>
      <c r="AE52" s="4"/>
      <c r="AF52" s="4"/>
    </row>
    <row r="53">
      <c r="A53" s="60">
        <v>49.0</v>
      </c>
      <c r="B53" s="39"/>
      <c r="C53" s="39"/>
      <c r="D53" s="39"/>
      <c r="E53" s="43">
        <v>1.0</v>
      </c>
      <c r="F53" s="39"/>
      <c r="G53" s="68" t="s">
        <v>337</v>
      </c>
      <c r="H53" s="68" t="s">
        <v>516</v>
      </c>
      <c r="I53" s="43" t="s">
        <v>517</v>
      </c>
      <c r="J53" s="68"/>
      <c r="K53" s="69" t="s">
        <v>57</v>
      </c>
      <c r="L53" s="229">
        <v>38517.0</v>
      </c>
      <c r="M53" s="68" t="s">
        <v>518</v>
      </c>
      <c r="N53" s="83">
        <v>45114.0</v>
      </c>
      <c r="O53" s="83">
        <v>48767.0</v>
      </c>
      <c r="P53" s="45" t="s">
        <v>163</v>
      </c>
      <c r="Q53" s="69"/>
      <c r="R53" s="227">
        <v>46092.0</v>
      </c>
      <c r="S53" s="228" t="s">
        <v>514</v>
      </c>
      <c r="T53" s="89">
        <v>1190000.0</v>
      </c>
      <c r="U53" s="28"/>
      <c r="V53" s="127"/>
      <c r="W53" s="196"/>
      <c r="X53" s="187"/>
      <c r="Y53" s="179"/>
      <c r="Z53" s="67"/>
      <c r="AA53" s="4"/>
      <c r="AB53" s="4"/>
      <c r="AC53" s="4"/>
      <c r="AD53" s="4"/>
      <c r="AE53" s="4"/>
      <c r="AF53" s="4"/>
    </row>
    <row r="54">
      <c r="A54" s="60">
        <v>50.0</v>
      </c>
      <c r="B54" s="123">
        <v>3.0</v>
      </c>
      <c r="C54" s="84"/>
      <c r="D54" s="42">
        <v>12.0</v>
      </c>
      <c r="E54" s="43">
        <v>2.0</v>
      </c>
      <c r="F54" s="42" t="s">
        <v>61</v>
      </c>
      <c r="G54" s="230" t="s">
        <v>203</v>
      </c>
      <c r="H54" s="230" t="s">
        <v>519</v>
      </c>
      <c r="I54" s="43" t="s">
        <v>520</v>
      </c>
      <c r="J54" s="68"/>
      <c r="K54" s="230" t="s">
        <v>47</v>
      </c>
      <c r="L54" s="231">
        <v>24355.0</v>
      </c>
      <c r="M54" s="230" t="s">
        <v>521</v>
      </c>
      <c r="N54" s="231">
        <v>45881.0</v>
      </c>
      <c r="O54" s="231">
        <v>49533.0</v>
      </c>
      <c r="P54" s="45" t="s">
        <v>522</v>
      </c>
      <c r="Q54" s="69"/>
      <c r="R54" s="49">
        <v>46125.0</v>
      </c>
      <c r="S54" s="50" t="s">
        <v>132</v>
      </c>
      <c r="T54" s="89">
        <v>990000.0</v>
      </c>
      <c r="U54" s="42" t="s">
        <v>51</v>
      </c>
      <c r="V54" s="127"/>
      <c r="W54" s="186" t="s">
        <v>523</v>
      </c>
      <c r="X54" s="187"/>
      <c r="Y54" s="179"/>
      <c r="Z54" s="67"/>
      <c r="AA54" s="4"/>
      <c r="AB54" s="4"/>
      <c r="AC54" s="4"/>
      <c r="AD54" s="4"/>
      <c r="AE54" s="4"/>
      <c r="AF54" s="4"/>
    </row>
    <row r="55">
      <c r="A55" s="60">
        <v>51.0</v>
      </c>
      <c r="B55" s="39"/>
      <c r="C55" s="39"/>
      <c r="D55" s="39"/>
      <c r="E55" s="43">
        <v>2.0</v>
      </c>
      <c r="F55" s="39"/>
      <c r="G55" s="45" t="s">
        <v>458</v>
      </c>
      <c r="H55" s="45" t="s">
        <v>524</v>
      </c>
      <c r="I55" s="43" t="s">
        <v>525</v>
      </c>
      <c r="J55" s="68"/>
      <c r="K55" s="43" t="s">
        <v>47</v>
      </c>
      <c r="L55" s="182">
        <v>29093.0</v>
      </c>
      <c r="M55" s="45" t="s">
        <v>526</v>
      </c>
      <c r="N55" s="88">
        <v>43166.0</v>
      </c>
      <c r="O55" s="88">
        <v>46819.0</v>
      </c>
      <c r="P55" s="45" t="s">
        <v>527</v>
      </c>
      <c r="Q55" s="69"/>
      <c r="R55" s="49">
        <v>46125.0</v>
      </c>
      <c r="S55" s="50" t="s">
        <v>132</v>
      </c>
      <c r="T55" s="89">
        <v>990000.0</v>
      </c>
      <c r="U55" s="28"/>
      <c r="V55" s="127"/>
      <c r="W55" s="186" t="s">
        <v>523</v>
      </c>
      <c r="X55" s="209" t="s">
        <v>528</v>
      </c>
      <c r="Y55" s="179"/>
      <c r="Z55" s="67"/>
      <c r="AA55" s="4"/>
      <c r="AB55" s="4"/>
      <c r="AC55" s="4"/>
      <c r="AD55" s="4"/>
      <c r="AE55" s="4"/>
      <c r="AF55" s="4"/>
    </row>
    <row r="56">
      <c r="A56" s="60">
        <v>52.0</v>
      </c>
      <c r="B56" s="123">
        <v>4.0</v>
      </c>
      <c r="C56" s="84"/>
      <c r="D56" s="42">
        <v>12.0</v>
      </c>
      <c r="E56" s="43">
        <v>3.0</v>
      </c>
      <c r="F56" s="42" t="s">
        <v>61</v>
      </c>
      <c r="G56" s="45" t="s">
        <v>62</v>
      </c>
      <c r="H56" s="45" t="s">
        <v>529</v>
      </c>
      <c r="I56" s="43" t="s">
        <v>530</v>
      </c>
      <c r="J56" s="68"/>
      <c r="K56" s="43" t="s">
        <v>47</v>
      </c>
      <c r="L56" s="182">
        <v>28200.0</v>
      </c>
      <c r="M56" s="45" t="s">
        <v>531</v>
      </c>
      <c r="N56" s="88">
        <v>44510.0</v>
      </c>
      <c r="O56" s="88">
        <v>48162.0</v>
      </c>
      <c r="P56" s="45" t="s">
        <v>532</v>
      </c>
      <c r="Q56" s="69"/>
      <c r="R56" s="49">
        <v>46125.0</v>
      </c>
      <c r="S56" s="50" t="s">
        <v>132</v>
      </c>
      <c r="T56" s="89">
        <v>990000.0</v>
      </c>
      <c r="U56" s="28"/>
      <c r="V56" s="127"/>
      <c r="W56" s="186" t="s">
        <v>523</v>
      </c>
      <c r="X56" s="187"/>
      <c r="Y56" s="179"/>
      <c r="Z56" s="67"/>
      <c r="AA56" s="4"/>
      <c r="AB56" s="4"/>
      <c r="AC56" s="4"/>
      <c r="AD56" s="4"/>
      <c r="AE56" s="4"/>
      <c r="AF56" s="4"/>
    </row>
    <row r="57">
      <c r="A57" s="60">
        <v>53.0</v>
      </c>
      <c r="B57" s="39"/>
      <c r="C57" s="39"/>
      <c r="D57" s="39"/>
      <c r="E57" s="43">
        <v>3.0</v>
      </c>
      <c r="F57" s="39"/>
      <c r="G57" s="45" t="s">
        <v>533</v>
      </c>
      <c r="H57" s="45" t="s">
        <v>534</v>
      </c>
      <c r="I57" s="43" t="s">
        <v>535</v>
      </c>
      <c r="J57" s="68"/>
      <c r="K57" s="43" t="s">
        <v>47</v>
      </c>
      <c r="L57" s="182">
        <v>29450.0</v>
      </c>
      <c r="M57" s="45" t="s">
        <v>536</v>
      </c>
      <c r="N57" s="88">
        <v>44961.0</v>
      </c>
      <c r="O57" s="88">
        <v>48614.0</v>
      </c>
      <c r="P57" s="45" t="s">
        <v>537</v>
      </c>
      <c r="Q57" s="69"/>
      <c r="R57" s="49">
        <v>46125.0</v>
      </c>
      <c r="S57" s="50" t="s">
        <v>132</v>
      </c>
      <c r="T57" s="89">
        <v>990000.0</v>
      </c>
      <c r="U57" s="28"/>
      <c r="V57" s="127"/>
      <c r="W57" s="186" t="s">
        <v>523</v>
      </c>
      <c r="X57" s="187"/>
      <c r="Y57" s="179"/>
      <c r="Z57" s="67"/>
      <c r="AA57" s="4"/>
      <c r="AB57" s="4"/>
      <c r="AC57" s="4"/>
      <c r="AD57" s="4"/>
      <c r="AE57" s="4"/>
      <c r="AF57" s="4"/>
    </row>
    <row r="58">
      <c r="A58" s="60">
        <v>54.0</v>
      </c>
      <c r="B58" s="123">
        <v>5.0</v>
      </c>
      <c r="C58" s="84"/>
      <c r="D58" s="42">
        <v>12.0</v>
      </c>
      <c r="E58" s="43">
        <v>4.0</v>
      </c>
      <c r="F58" s="42" t="s">
        <v>61</v>
      </c>
      <c r="G58" s="230" t="s">
        <v>509</v>
      </c>
      <c r="H58" s="230" t="s">
        <v>538</v>
      </c>
      <c r="I58" s="43" t="s">
        <v>539</v>
      </c>
      <c r="J58" s="68"/>
      <c r="K58" s="230" t="s">
        <v>57</v>
      </c>
      <c r="L58" s="231">
        <v>29520.0</v>
      </c>
      <c r="M58" s="230" t="s">
        <v>540</v>
      </c>
      <c r="N58" s="231">
        <v>43273.0</v>
      </c>
      <c r="O58" s="231">
        <v>46926.0</v>
      </c>
      <c r="P58" s="45" t="s">
        <v>541</v>
      </c>
      <c r="Q58" s="69"/>
      <c r="R58" s="49">
        <v>46125.0</v>
      </c>
      <c r="S58" s="50" t="s">
        <v>132</v>
      </c>
      <c r="T58" s="89">
        <v>990000.0</v>
      </c>
      <c r="U58" s="28"/>
      <c r="V58" s="127"/>
      <c r="W58" s="186" t="s">
        <v>523</v>
      </c>
      <c r="X58" s="187"/>
      <c r="Y58" s="179"/>
      <c r="Z58" s="67"/>
      <c r="AA58" s="4"/>
      <c r="AB58" s="4"/>
      <c r="AC58" s="4"/>
      <c r="AD58" s="4"/>
      <c r="AE58" s="4"/>
      <c r="AF58" s="4"/>
    </row>
    <row r="59">
      <c r="A59" s="60">
        <v>55.0</v>
      </c>
      <c r="B59" s="39"/>
      <c r="C59" s="39"/>
      <c r="D59" s="39"/>
      <c r="E59" s="43">
        <v>4.0</v>
      </c>
      <c r="F59" s="39"/>
      <c r="G59" s="45" t="s">
        <v>542</v>
      </c>
      <c r="H59" s="45" t="s">
        <v>543</v>
      </c>
      <c r="I59" s="43" t="s">
        <v>544</v>
      </c>
      <c r="J59" s="68"/>
      <c r="K59" s="43" t="s">
        <v>57</v>
      </c>
      <c r="L59" s="232">
        <v>37350.0</v>
      </c>
      <c r="M59" s="45" t="s">
        <v>545</v>
      </c>
      <c r="N59" s="88">
        <v>43658.0</v>
      </c>
      <c r="O59" s="88">
        <v>47311.0</v>
      </c>
      <c r="P59" s="45" t="s">
        <v>546</v>
      </c>
      <c r="Q59" s="69"/>
      <c r="R59" s="49">
        <v>46125.0</v>
      </c>
      <c r="S59" s="50" t="s">
        <v>228</v>
      </c>
      <c r="T59" s="89">
        <v>890000.0</v>
      </c>
      <c r="U59" s="28"/>
      <c r="V59" s="127"/>
      <c r="W59" s="186" t="s">
        <v>523</v>
      </c>
      <c r="X59" s="209" t="s">
        <v>547</v>
      </c>
      <c r="Y59" s="179"/>
      <c r="Z59" s="67"/>
      <c r="AA59" s="4"/>
      <c r="AB59" s="4"/>
      <c r="AC59" s="4"/>
      <c r="AD59" s="4"/>
      <c r="AE59" s="4"/>
      <c r="AF59" s="4"/>
    </row>
    <row r="60">
      <c r="A60" s="60">
        <v>56.0</v>
      </c>
      <c r="B60" s="123">
        <v>6.0</v>
      </c>
      <c r="C60" s="84"/>
      <c r="D60" s="84"/>
      <c r="E60" s="69"/>
      <c r="F60" s="84"/>
      <c r="G60" s="68"/>
      <c r="H60" s="68"/>
      <c r="I60" s="69"/>
      <c r="J60" s="68"/>
      <c r="K60" s="69"/>
      <c r="L60" s="182"/>
      <c r="M60" s="68"/>
      <c r="N60" s="130"/>
      <c r="O60" s="130"/>
      <c r="P60" s="68"/>
      <c r="Q60" s="69"/>
      <c r="R60" s="78"/>
      <c r="S60" s="50"/>
      <c r="T60" s="126"/>
      <c r="U60" s="69"/>
      <c r="V60" s="127"/>
      <c r="W60" s="196"/>
      <c r="X60" s="187"/>
      <c r="Y60" s="179"/>
      <c r="Z60" s="67"/>
      <c r="AA60" s="4"/>
      <c r="AB60" s="4"/>
      <c r="AC60" s="4"/>
      <c r="AD60" s="4"/>
      <c r="AE60" s="4"/>
      <c r="AF60" s="4"/>
    </row>
    <row r="61">
      <c r="A61" s="60">
        <v>57.0</v>
      </c>
      <c r="B61" s="39"/>
      <c r="C61" s="39"/>
      <c r="D61" s="39"/>
      <c r="E61" s="69"/>
      <c r="F61" s="39"/>
      <c r="G61" s="68"/>
      <c r="H61" s="68"/>
      <c r="I61" s="69"/>
      <c r="J61" s="68"/>
      <c r="K61" s="69"/>
      <c r="L61" s="182"/>
      <c r="M61" s="68"/>
      <c r="N61" s="130"/>
      <c r="O61" s="130"/>
      <c r="P61" s="68"/>
      <c r="Q61" s="69"/>
      <c r="R61" s="78"/>
      <c r="S61" s="50"/>
      <c r="T61" s="126"/>
      <c r="U61" s="84"/>
      <c r="V61" s="127"/>
      <c r="W61" s="196"/>
      <c r="X61" s="187"/>
      <c r="Y61" s="179"/>
      <c r="Z61" s="67"/>
      <c r="AA61" s="4"/>
      <c r="AB61" s="4"/>
      <c r="AC61" s="4"/>
      <c r="AD61" s="4"/>
      <c r="AE61" s="4"/>
      <c r="AF61" s="4"/>
    </row>
    <row r="62">
      <c r="A62" s="60">
        <v>58.0</v>
      </c>
      <c r="B62" s="123">
        <v>7.0</v>
      </c>
      <c r="C62" s="84"/>
      <c r="D62" s="84"/>
      <c r="E62" s="69"/>
      <c r="F62" s="84"/>
      <c r="G62" s="68"/>
      <c r="H62" s="68"/>
      <c r="I62" s="69"/>
      <c r="J62" s="68"/>
      <c r="K62" s="69"/>
      <c r="L62" s="182"/>
      <c r="M62" s="68"/>
      <c r="N62" s="130"/>
      <c r="O62" s="130"/>
      <c r="P62" s="68"/>
      <c r="Q62" s="69"/>
      <c r="R62" s="78"/>
      <c r="S62" s="50"/>
      <c r="T62" s="126"/>
      <c r="U62" s="84"/>
      <c r="V62" s="127"/>
      <c r="W62" s="196"/>
      <c r="X62" s="187"/>
      <c r="Y62" s="179"/>
      <c r="Z62" s="67"/>
      <c r="AA62" s="4"/>
      <c r="AB62" s="4"/>
      <c r="AC62" s="4"/>
      <c r="AD62" s="4"/>
      <c r="AE62" s="4"/>
      <c r="AF62" s="4"/>
    </row>
    <row r="63">
      <c r="A63" s="60">
        <v>59.0</v>
      </c>
      <c r="B63" s="39"/>
      <c r="C63" s="39"/>
      <c r="D63" s="39"/>
      <c r="E63" s="69"/>
      <c r="F63" s="39"/>
      <c r="G63" s="68"/>
      <c r="H63" s="68"/>
      <c r="I63" s="69"/>
      <c r="J63" s="68"/>
      <c r="K63" s="69"/>
      <c r="L63" s="182"/>
      <c r="M63" s="68"/>
      <c r="N63" s="130"/>
      <c r="O63" s="130"/>
      <c r="P63" s="68"/>
      <c r="Q63" s="69"/>
      <c r="R63" s="78"/>
      <c r="S63" s="50"/>
      <c r="T63" s="126"/>
      <c r="U63" s="84"/>
      <c r="V63" s="127"/>
      <c r="W63" s="196"/>
      <c r="X63" s="187"/>
      <c r="Y63" s="179"/>
      <c r="Z63" s="67"/>
      <c r="AA63" s="4"/>
      <c r="AB63" s="4"/>
      <c r="AC63" s="4"/>
      <c r="AD63" s="4"/>
      <c r="AE63" s="4"/>
      <c r="AF63" s="4"/>
    </row>
    <row r="64">
      <c r="A64" s="60">
        <v>60.0</v>
      </c>
      <c r="B64" s="123">
        <v>8.0</v>
      </c>
      <c r="C64" s="42"/>
      <c r="D64" s="42"/>
      <c r="E64" s="69"/>
      <c r="F64" s="42"/>
      <c r="G64" s="68"/>
      <c r="H64" s="68"/>
      <c r="I64" s="69"/>
      <c r="J64" s="68"/>
      <c r="K64" s="69"/>
      <c r="L64" s="182"/>
      <c r="M64" s="68"/>
      <c r="N64" s="130"/>
      <c r="O64" s="130"/>
      <c r="P64" s="68"/>
      <c r="Q64" s="69"/>
      <c r="R64" s="78"/>
      <c r="S64" s="50"/>
      <c r="T64" s="126"/>
      <c r="U64" s="84"/>
      <c r="V64" s="127"/>
      <c r="W64" s="196"/>
      <c r="X64" s="187"/>
      <c r="Y64" s="179"/>
      <c r="Z64" s="67"/>
      <c r="AA64" s="4"/>
      <c r="AB64" s="4"/>
      <c r="AC64" s="4"/>
      <c r="AD64" s="4"/>
      <c r="AE64" s="4"/>
      <c r="AF64" s="4"/>
    </row>
    <row r="65">
      <c r="A65" s="60">
        <v>61.0</v>
      </c>
      <c r="B65" s="39"/>
      <c r="C65" s="39"/>
      <c r="D65" s="39"/>
      <c r="E65" s="69"/>
      <c r="F65" s="39"/>
      <c r="G65" s="68"/>
      <c r="H65" s="68"/>
      <c r="I65" s="69"/>
      <c r="J65" s="68"/>
      <c r="K65" s="69"/>
      <c r="L65" s="182"/>
      <c r="M65" s="68"/>
      <c r="N65" s="130"/>
      <c r="O65" s="130"/>
      <c r="P65" s="68"/>
      <c r="Q65" s="69"/>
      <c r="R65" s="78"/>
      <c r="S65" s="50"/>
      <c r="T65" s="126"/>
      <c r="U65" s="84"/>
      <c r="V65" s="127"/>
      <c r="W65" s="196"/>
      <c r="X65" s="187"/>
      <c r="Y65" s="179"/>
      <c r="Z65" s="67"/>
      <c r="AA65" s="4"/>
      <c r="AB65" s="4"/>
      <c r="AC65" s="4"/>
      <c r="AD65" s="4"/>
      <c r="AE65" s="4"/>
      <c r="AF65" s="4"/>
    </row>
    <row r="66">
      <c r="A66" s="60">
        <v>62.0</v>
      </c>
      <c r="B66" s="123">
        <v>9.0</v>
      </c>
      <c r="C66" s="42"/>
      <c r="D66" s="42"/>
      <c r="E66" s="69"/>
      <c r="F66" s="42"/>
      <c r="G66" s="68"/>
      <c r="H66" s="68"/>
      <c r="I66" s="69"/>
      <c r="J66" s="68"/>
      <c r="K66" s="69"/>
      <c r="L66" s="182"/>
      <c r="M66" s="68"/>
      <c r="N66" s="130"/>
      <c r="O66" s="130"/>
      <c r="P66" s="68"/>
      <c r="Q66" s="69"/>
      <c r="R66" s="78"/>
      <c r="S66" s="50"/>
      <c r="T66" s="126"/>
      <c r="U66" s="84"/>
      <c r="V66" s="127"/>
      <c r="W66" s="196"/>
      <c r="X66" s="187"/>
      <c r="Y66" s="179"/>
      <c r="Z66" s="67"/>
      <c r="AA66" s="4"/>
      <c r="AB66" s="4"/>
      <c r="AC66" s="4"/>
      <c r="AD66" s="4"/>
      <c r="AE66" s="4"/>
      <c r="AF66" s="4"/>
    </row>
    <row r="67">
      <c r="A67" s="60">
        <v>63.0</v>
      </c>
      <c r="B67" s="39"/>
      <c r="C67" s="39"/>
      <c r="D67" s="39"/>
      <c r="E67" s="69"/>
      <c r="F67" s="39"/>
      <c r="G67" s="68"/>
      <c r="H67" s="68"/>
      <c r="I67" s="69"/>
      <c r="J67" s="68"/>
      <c r="K67" s="69"/>
      <c r="L67" s="182"/>
      <c r="M67" s="68"/>
      <c r="N67" s="130"/>
      <c r="O67" s="130"/>
      <c r="P67" s="68"/>
      <c r="Q67" s="69"/>
      <c r="R67" s="78"/>
      <c r="S67" s="50"/>
      <c r="T67" s="126"/>
      <c r="U67" s="84"/>
      <c r="V67" s="127"/>
      <c r="W67" s="196"/>
      <c r="X67" s="187"/>
      <c r="Y67" s="179"/>
      <c r="Z67" s="67"/>
      <c r="AA67" s="4"/>
      <c r="AB67" s="4"/>
      <c r="AC67" s="4"/>
      <c r="AD67" s="4"/>
      <c r="AE67" s="4"/>
      <c r="AF67" s="4"/>
    </row>
    <row r="68">
      <c r="A68" s="60">
        <v>64.0</v>
      </c>
      <c r="B68" s="123">
        <v>10.0</v>
      </c>
      <c r="C68" s="42"/>
      <c r="D68" s="42"/>
      <c r="E68" s="69"/>
      <c r="F68" s="42"/>
      <c r="G68" s="68"/>
      <c r="H68" s="68"/>
      <c r="I68" s="69"/>
      <c r="J68" s="68"/>
      <c r="K68" s="69"/>
      <c r="L68" s="182"/>
      <c r="M68" s="68"/>
      <c r="N68" s="130"/>
      <c r="O68" s="130"/>
      <c r="P68" s="68"/>
      <c r="Q68" s="69"/>
      <c r="R68" s="78"/>
      <c r="S68" s="125"/>
      <c r="T68" s="126"/>
      <c r="U68" s="84"/>
      <c r="V68" s="127"/>
      <c r="W68" s="196"/>
      <c r="X68" s="187"/>
      <c r="Y68" s="179"/>
      <c r="Z68" s="67"/>
      <c r="AA68" s="4"/>
      <c r="AB68" s="4"/>
      <c r="AC68" s="4"/>
      <c r="AD68" s="4"/>
      <c r="AE68" s="4"/>
      <c r="AF68" s="4"/>
    </row>
    <row r="69">
      <c r="A69" s="60">
        <v>65.0</v>
      </c>
      <c r="B69" s="39"/>
      <c r="C69" s="39"/>
      <c r="D69" s="39"/>
      <c r="E69" s="69"/>
      <c r="F69" s="39"/>
      <c r="G69" s="68"/>
      <c r="H69" s="68"/>
      <c r="I69" s="69"/>
      <c r="J69" s="68"/>
      <c r="K69" s="69"/>
      <c r="L69" s="182"/>
      <c r="M69" s="68"/>
      <c r="N69" s="130"/>
      <c r="O69" s="130"/>
      <c r="P69" s="68"/>
      <c r="Q69" s="69"/>
      <c r="R69" s="78"/>
      <c r="S69" s="125"/>
      <c r="T69" s="126"/>
      <c r="U69" s="84"/>
      <c r="V69" s="127"/>
      <c r="W69" s="196"/>
      <c r="X69" s="187"/>
      <c r="Y69" s="179"/>
      <c r="Z69" s="67"/>
      <c r="AA69" s="4"/>
      <c r="AB69" s="4"/>
      <c r="AC69" s="4"/>
      <c r="AD69" s="4"/>
      <c r="AE69" s="4"/>
      <c r="AF69" s="4"/>
    </row>
    <row r="70">
      <c r="A70" s="60">
        <v>66.0</v>
      </c>
      <c r="B70" s="123">
        <v>11.0</v>
      </c>
      <c r="C70" s="84"/>
      <c r="D70" s="84"/>
      <c r="E70" s="69"/>
      <c r="F70" s="84"/>
      <c r="G70" s="68"/>
      <c r="H70" s="68"/>
      <c r="I70" s="69"/>
      <c r="J70" s="68"/>
      <c r="K70" s="69"/>
      <c r="L70" s="182"/>
      <c r="M70" s="68"/>
      <c r="N70" s="130"/>
      <c r="O70" s="130"/>
      <c r="P70" s="68"/>
      <c r="Q70" s="69"/>
      <c r="R70" s="78"/>
      <c r="S70" s="125"/>
      <c r="T70" s="126"/>
      <c r="U70" s="84"/>
      <c r="V70" s="127"/>
      <c r="W70" s="196"/>
      <c r="X70" s="187"/>
      <c r="Y70" s="179"/>
      <c r="Z70" s="67"/>
      <c r="AA70" s="4"/>
      <c r="AB70" s="4"/>
      <c r="AC70" s="4"/>
      <c r="AD70" s="4"/>
      <c r="AE70" s="4"/>
      <c r="AF70" s="4"/>
    </row>
    <row r="71">
      <c r="A71" s="60">
        <v>67.0</v>
      </c>
      <c r="B71" s="39"/>
      <c r="C71" s="39"/>
      <c r="D71" s="39"/>
      <c r="E71" s="69"/>
      <c r="F71" s="39"/>
      <c r="G71" s="68"/>
      <c r="H71" s="68"/>
      <c r="I71" s="69"/>
      <c r="J71" s="68"/>
      <c r="K71" s="69"/>
      <c r="L71" s="182"/>
      <c r="M71" s="68"/>
      <c r="N71" s="130"/>
      <c r="O71" s="130"/>
      <c r="P71" s="68"/>
      <c r="Q71" s="69"/>
      <c r="R71" s="78"/>
      <c r="S71" s="125"/>
      <c r="T71" s="126"/>
      <c r="U71" s="84"/>
      <c r="V71" s="127"/>
      <c r="W71" s="196"/>
      <c r="X71" s="187"/>
      <c r="Y71" s="179"/>
      <c r="Z71" s="67"/>
      <c r="AA71" s="4"/>
      <c r="AB71" s="4"/>
      <c r="AC71" s="4"/>
      <c r="AD71" s="4"/>
      <c r="AE71" s="4"/>
      <c r="AF71" s="4"/>
    </row>
    <row r="72">
      <c r="A72" s="69"/>
      <c r="B72" s="69"/>
      <c r="C72" s="60" t="s">
        <v>290</v>
      </c>
      <c r="D72" s="69"/>
      <c r="E72" s="69"/>
      <c r="F72" s="69"/>
      <c r="G72" s="68"/>
      <c r="H72" s="68"/>
      <c r="I72" s="69"/>
      <c r="J72" s="68"/>
      <c r="K72" s="69"/>
      <c r="L72" s="182"/>
      <c r="M72" s="68"/>
      <c r="N72" s="130"/>
      <c r="O72" s="130"/>
      <c r="P72" s="68"/>
      <c r="Q72" s="69"/>
      <c r="R72" s="131"/>
      <c r="S72" s="132"/>
      <c r="T72" s="133"/>
      <c r="U72" s="134"/>
      <c r="V72" s="135"/>
      <c r="W72" s="233"/>
      <c r="X72" s="234"/>
      <c r="Y72" s="235"/>
      <c r="Z72" s="67"/>
      <c r="AA72" s="4"/>
      <c r="AB72" s="4"/>
      <c r="AC72" s="4"/>
      <c r="AD72" s="4"/>
      <c r="AE72" s="4"/>
      <c r="AF72" s="4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 t="s">
        <v>291</v>
      </c>
      <c r="K73" s="138"/>
      <c r="L73" s="139"/>
      <c r="M73" s="138"/>
      <c r="N73" s="139"/>
      <c r="O73" s="139"/>
      <c r="P73" s="138"/>
      <c r="Q73" s="138"/>
      <c r="R73" s="3"/>
      <c r="S73" s="4"/>
      <c r="T73" s="5"/>
      <c r="U73" s="4"/>
      <c r="V73" s="4"/>
      <c r="W73" s="4"/>
      <c r="X73" s="67"/>
      <c r="Y73" s="67"/>
      <c r="Z73" s="67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3"/>
      <c r="M74" s="4"/>
      <c r="N74" s="3"/>
      <c r="O74" s="3"/>
      <c r="P74" s="4"/>
      <c r="Q74" s="4"/>
      <c r="R74" s="3"/>
      <c r="S74" s="4"/>
      <c r="T74" s="5"/>
      <c r="U74" s="4"/>
      <c r="V74" s="4"/>
      <c r="W74" s="4"/>
      <c r="X74" s="67"/>
      <c r="Y74" s="67"/>
      <c r="Z74" s="67"/>
      <c r="AA74" s="4"/>
      <c r="AB74" s="4"/>
      <c r="AC74" s="4"/>
      <c r="AD74" s="4"/>
      <c r="AE74" s="4"/>
      <c r="AF74" s="4"/>
    </row>
    <row r="75">
      <c r="A75" s="140" t="s">
        <v>292</v>
      </c>
      <c r="H75" s="4"/>
      <c r="I75" s="4"/>
      <c r="J75" s="4"/>
      <c r="K75" s="4"/>
      <c r="L75" s="3"/>
      <c r="M75" s="4"/>
      <c r="N75" s="3"/>
      <c r="O75" s="3"/>
      <c r="P75" s="4"/>
      <c r="Q75" s="4"/>
      <c r="R75" s="3"/>
      <c r="S75" s="4"/>
      <c r="T75" s="5"/>
      <c r="U75" s="4"/>
      <c r="V75" s="4"/>
      <c r="W75" s="4"/>
      <c r="X75" s="67"/>
      <c r="Y75" s="67"/>
      <c r="Z75" s="67"/>
      <c r="AA75" s="4"/>
      <c r="AB75" s="4"/>
      <c r="AC75" s="4"/>
      <c r="AD75" s="4"/>
      <c r="AE75" s="4"/>
      <c r="AF75" s="4"/>
    </row>
    <row r="76">
      <c r="A76" s="236" t="s">
        <v>293</v>
      </c>
      <c r="B76" s="236" t="s">
        <v>294</v>
      </c>
      <c r="C76" s="237" t="s">
        <v>295</v>
      </c>
      <c r="D76" s="143"/>
      <c r="E76" s="237" t="s">
        <v>296</v>
      </c>
      <c r="F76" s="143"/>
      <c r="G76" s="236" t="s">
        <v>297</v>
      </c>
      <c r="H76" s="4"/>
      <c r="I76" s="4"/>
      <c r="J76" s="4"/>
      <c r="K76" s="4"/>
      <c r="L76" s="3"/>
      <c r="M76" s="4"/>
      <c r="N76" s="3"/>
      <c r="O76" s="3"/>
      <c r="P76" s="4"/>
      <c r="Q76" s="4"/>
      <c r="R76" s="3"/>
      <c r="S76" s="4"/>
      <c r="T76" s="5"/>
      <c r="U76" s="40" t="s">
        <v>548</v>
      </c>
      <c r="V76" s="40" t="s">
        <v>549</v>
      </c>
      <c r="W76" s="40">
        <v>1.0</v>
      </c>
      <c r="Y76" s="40" t="s">
        <v>307</v>
      </c>
      <c r="Z76" s="67"/>
      <c r="AA76" s="4"/>
      <c r="AB76" s="4"/>
      <c r="AC76" s="4"/>
      <c r="AD76" s="4"/>
      <c r="AE76" s="4"/>
      <c r="AF76" s="4"/>
    </row>
    <row r="77">
      <c r="A77" s="238">
        <v>45787.0</v>
      </c>
      <c r="B77" s="149" t="s">
        <v>43</v>
      </c>
      <c r="C77" s="148">
        <v>7.0</v>
      </c>
      <c r="D77" s="143"/>
      <c r="E77" s="148">
        <f>'26.05.10 MSC (도쿄 출발) 1항차'!E96</f>
        <v>0</v>
      </c>
      <c r="F77" s="143"/>
      <c r="G77" s="149">
        <f t="shared" ref="G77:G80" si="6">C77-E77</f>
        <v>7</v>
      </c>
      <c r="H77" s="4"/>
      <c r="I77" s="4"/>
      <c r="J77" s="4"/>
      <c r="K77" s="4"/>
      <c r="L77" s="3"/>
      <c r="M77" s="4"/>
      <c r="N77" s="3"/>
      <c r="O77" s="3"/>
      <c r="P77" s="4"/>
      <c r="Q77" s="4"/>
      <c r="R77" s="3"/>
      <c r="S77" s="4"/>
      <c r="T77" s="5"/>
      <c r="U77" s="4"/>
      <c r="V77" s="40" t="s">
        <v>43</v>
      </c>
      <c r="W77" s="40">
        <v>1.0</v>
      </c>
      <c r="Y77" s="40" t="s">
        <v>306</v>
      </c>
      <c r="Z77" s="67"/>
      <c r="AA77" s="4"/>
      <c r="AB77" s="4"/>
      <c r="AC77" s="4"/>
      <c r="AD77" s="4"/>
      <c r="AE77" s="4"/>
      <c r="AF77" s="4"/>
    </row>
    <row r="78">
      <c r="A78" s="39"/>
      <c r="B78" s="149" t="s">
        <v>61</v>
      </c>
      <c r="C78" s="148">
        <v>9.0</v>
      </c>
      <c r="D78" s="143"/>
      <c r="E78" s="148">
        <f>'26.05.10 MSC (도쿄 출발) 1항차'!E97</f>
        <v>0</v>
      </c>
      <c r="F78" s="143"/>
      <c r="G78" s="149">
        <f t="shared" si="6"/>
        <v>9</v>
      </c>
      <c r="H78" s="4"/>
      <c r="I78" s="4"/>
      <c r="J78" s="4"/>
      <c r="K78" s="4"/>
      <c r="L78" s="3"/>
      <c r="M78" s="4"/>
      <c r="N78" s="3"/>
      <c r="O78" s="3"/>
      <c r="P78" s="4"/>
      <c r="Q78" s="4"/>
      <c r="R78" s="3"/>
      <c r="S78" s="4"/>
      <c r="T78" s="5"/>
      <c r="U78" s="4"/>
      <c r="V78" s="4"/>
      <c r="W78" s="4"/>
      <c r="X78" s="67"/>
      <c r="Y78" s="67"/>
      <c r="Z78" s="67"/>
      <c r="AA78" s="4"/>
      <c r="AB78" s="4"/>
      <c r="AC78" s="4"/>
      <c r="AD78" s="4"/>
      <c r="AE78" s="4"/>
      <c r="AF78" s="4"/>
    </row>
    <row r="79">
      <c r="A79" s="238">
        <v>45791.0</v>
      </c>
      <c r="B79" s="149" t="s">
        <v>43</v>
      </c>
      <c r="C79" s="148">
        <v>3.0</v>
      </c>
      <c r="D79" s="143"/>
      <c r="E79" s="148">
        <f>countif($F$48:$F$71,"발코니")</f>
        <v>3</v>
      </c>
      <c r="F79" s="143"/>
      <c r="G79" s="149">
        <f t="shared" si="6"/>
        <v>0</v>
      </c>
      <c r="H79" s="4"/>
      <c r="I79" s="4"/>
      <c r="J79" s="4"/>
      <c r="K79" s="4"/>
      <c r="L79" s="3"/>
      <c r="M79" s="4"/>
      <c r="N79" s="3"/>
      <c r="O79" s="3"/>
      <c r="P79" s="4"/>
      <c r="Q79" s="4"/>
      <c r="R79" s="3"/>
      <c r="S79" s="4"/>
      <c r="T79" s="5"/>
      <c r="U79" s="4"/>
      <c r="V79" s="4"/>
      <c r="W79" s="4"/>
      <c r="X79" s="67"/>
      <c r="Y79" s="67"/>
      <c r="Z79" s="67"/>
      <c r="AA79" s="4"/>
      <c r="AB79" s="4"/>
      <c r="AC79" s="4"/>
      <c r="AD79" s="4"/>
      <c r="AE79" s="4"/>
      <c r="AF79" s="4"/>
    </row>
    <row r="80">
      <c r="A80" s="39"/>
      <c r="B80" s="149" t="s">
        <v>61</v>
      </c>
      <c r="C80" s="148">
        <v>9.0</v>
      </c>
      <c r="D80" s="143"/>
      <c r="E80" s="148">
        <f>countif($F$50:$F$71,"내측")</f>
        <v>3</v>
      </c>
      <c r="F80" s="143"/>
      <c r="G80" s="149">
        <f t="shared" si="6"/>
        <v>6</v>
      </c>
      <c r="H80" s="4"/>
      <c r="I80" s="4"/>
      <c r="J80" s="4"/>
      <c r="K80" s="4"/>
      <c r="L80" s="3"/>
      <c r="M80" s="4"/>
      <c r="N80" s="3"/>
      <c r="O80" s="3"/>
      <c r="P80" s="4"/>
      <c r="Q80" s="4"/>
      <c r="R80" s="3"/>
      <c r="S80" s="4"/>
      <c r="T80" s="5"/>
      <c r="U80" s="4"/>
      <c r="V80" s="4"/>
      <c r="W80" s="4"/>
      <c r="X80" s="67"/>
      <c r="Y80" s="67"/>
      <c r="Z80" s="67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3"/>
      <c r="M81" s="4"/>
      <c r="N81" s="3"/>
      <c r="O81" s="3"/>
      <c r="P81" s="4"/>
      <c r="Q81" s="4"/>
      <c r="R81" s="3"/>
      <c r="S81" s="4"/>
      <c r="T81" s="5"/>
      <c r="U81" s="4"/>
      <c r="V81" s="4"/>
      <c r="W81" s="4"/>
      <c r="X81" s="67"/>
      <c r="Y81" s="67"/>
      <c r="Z81" s="67"/>
      <c r="AA81" s="4"/>
      <c r="AB81" s="4"/>
      <c r="AC81" s="4"/>
      <c r="AD81" s="4"/>
      <c r="AE81" s="4"/>
      <c r="AF81" s="4"/>
    </row>
    <row r="82">
      <c r="A82" s="4"/>
      <c r="B82" s="7" t="s">
        <v>550</v>
      </c>
      <c r="C82" s="4"/>
      <c r="D82" s="4"/>
      <c r="E82" s="4"/>
      <c r="F82" s="4"/>
      <c r="G82" s="4"/>
      <c r="H82" s="4"/>
      <c r="I82" s="4"/>
      <c r="J82" s="4"/>
      <c r="K82" s="4"/>
      <c r="L82" s="3"/>
      <c r="M82" s="4"/>
      <c r="N82" s="3"/>
      <c r="O82" s="3"/>
      <c r="P82" s="4"/>
      <c r="Q82" s="4"/>
      <c r="R82" s="3"/>
      <c r="S82" s="4"/>
      <c r="T82" s="5"/>
      <c r="U82" s="4"/>
      <c r="V82" s="4"/>
      <c r="W82" s="4"/>
      <c r="X82" s="67"/>
      <c r="Y82" s="67"/>
      <c r="Z82" s="67"/>
      <c r="AA82" s="4"/>
      <c r="AB82" s="4"/>
      <c r="AC82" s="4"/>
      <c r="AD82" s="4"/>
      <c r="AE82" s="4"/>
      <c r="AF82" s="4"/>
    </row>
    <row r="83">
      <c r="A83" s="4"/>
      <c r="B83" s="150" t="s">
        <v>294</v>
      </c>
      <c r="C83" s="150" t="s">
        <v>301</v>
      </c>
      <c r="D83" s="150" t="s">
        <v>302</v>
      </c>
      <c r="E83" s="150" t="s">
        <v>303</v>
      </c>
      <c r="F83" s="150" t="s">
        <v>304</v>
      </c>
      <c r="G83" s="150" t="s">
        <v>297</v>
      </c>
      <c r="H83" s="4"/>
      <c r="I83" s="4"/>
      <c r="J83" s="4"/>
      <c r="K83" s="4"/>
      <c r="L83" s="3"/>
      <c r="M83" s="4"/>
      <c r="N83" s="3"/>
      <c r="O83" s="3"/>
      <c r="P83" s="4"/>
      <c r="Q83" s="4"/>
      <c r="R83" s="3"/>
      <c r="S83" s="4"/>
      <c r="T83" s="5"/>
      <c r="U83" s="4"/>
      <c r="V83" s="4"/>
      <c r="W83" s="4"/>
      <c r="X83" s="67"/>
      <c r="Y83" s="67"/>
      <c r="Z83" s="67"/>
      <c r="AA83" s="4"/>
      <c r="AB83" s="4"/>
      <c r="AC83" s="4"/>
      <c r="AD83" s="4"/>
      <c r="AE83" s="4"/>
      <c r="AF83" s="4"/>
    </row>
    <row r="84">
      <c r="A84" s="4"/>
      <c r="B84" s="43" t="s">
        <v>43</v>
      </c>
      <c r="C84" s="43">
        <v>5.0</v>
      </c>
      <c r="D84" s="43">
        <v>2.0</v>
      </c>
      <c r="E84" s="43">
        <v>1.0</v>
      </c>
      <c r="F84" s="69">
        <f t="shared" ref="F84:F85" si="7">SUM(C84:E84)</f>
        <v>8</v>
      </c>
      <c r="G84" s="43">
        <f t="shared" ref="G84:G85" si="8">8-F84</f>
        <v>0</v>
      </c>
      <c r="H84" s="4"/>
      <c r="I84" s="4"/>
      <c r="J84" s="4"/>
      <c r="K84" s="4"/>
      <c r="L84" s="3"/>
      <c r="M84" s="4"/>
      <c r="N84" s="3"/>
      <c r="O84" s="3"/>
      <c r="P84" s="4"/>
      <c r="Q84" s="4"/>
      <c r="R84" s="3"/>
      <c r="S84" s="4"/>
      <c r="T84" s="5"/>
      <c r="U84" s="4"/>
      <c r="V84" s="4"/>
      <c r="W84" s="4"/>
      <c r="X84" s="67"/>
      <c r="Y84" s="67"/>
      <c r="Z84" s="67"/>
      <c r="AA84" s="4"/>
      <c r="AB84" s="4"/>
      <c r="AC84" s="4"/>
      <c r="AD84" s="4"/>
      <c r="AE84" s="4"/>
      <c r="AF84" s="4"/>
    </row>
    <row r="85">
      <c r="A85" s="4"/>
      <c r="B85" s="43" t="s">
        <v>61</v>
      </c>
      <c r="C85" s="43">
        <v>2.0</v>
      </c>
      <c r="D85" s="43">
        <v>1.0</v>
      </c>
      <c r="E85" s="43">
        <v>3.0</v>
      </c>
      <c r="F85" s="69">
        <f t="shared" si="7"/>
        <v>6</v>
      </c>
      <c r="G85" s="43">
        <f t="shared" si="8"/>
        <v>2</v>
      </c>
      <c r="H85" s="4"/>
      <c r="I85" s="4"/>
      <c r="J85" s="4"/>
      <c r="K85" s="4"/>
      <c r="L85" s="3"/>
      <c r="M85" s="4"/>
      <c r="N85" s="3"/>
      <c r="O85" s="3"/>
      <c r="P85" s="4"/>
      <c r="Q85" s="4"/>
      <c r="R85" s="3"/>
      <c r="S85" s="4"/>
      <c r="T85" s="5"/>
      <c r="U85" s="4"/>
      <c r="V85" s="4"/>
      <c r="W85" s="4"/>
      <c r="X85" s="67"/>
      <c r="Y85" s="67"/>
      <c r="Z85" s="67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3"/>
      <c r="M86" s="4"/>
      <c r="N86" s="3"/>
      <c r="O86" s="3"/>
      <c r="P86" s="4"/>
      <c r="Q86" s="4"/>
      <c r="R86" s="3"/>
      <c r="S86" s="4"/>
      <c r="T86" s="5"/>
      <c r="U86" s="4"/>
      <c r="V86" s="4"/>
      <c r="W86" s="4"/>
      <c r="X86" s="67"/>
      <c r="Y86" s="67"/>
      <c r="Z86" s="67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3"/>
      <c r="M87" s="4"/>
      <c r="N87" s="3"/>
      <c r="O87" s="3"/>
      <c r="P87" s="4"/>
      <c r="Q87" s="4"/>
      <c r="R87" s="3"/>
      <c r="S87" s="4"/>
      <c r="T87" s="5"/>
      <c r="U87" s="4"/>
      <c r="V87" s="4"/>
      <c r="W87" s="4"/>
      <c r="X87" s="67"/>
      <c r="Y87" s="67"/>
      <c r="Z87" s="67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3"/>
      <c r="M88" s="4"/>
      <c r="N88" s="3"/>
      <c r="O88" s="3"/>
      <c r="P88" s="4"/>
      <c r="Q88" s="4"/>
      <c r="R88" s="3"/>
      <c r="S88" s="4"/>
      <c r="T88" s="5"/>
      <c r="U88" s="4"/>
      <c r="V88" s="4"/>
      <c r="W88" s="4"/>
      <c r="X88" s="67"/>
      <c r="Y88" s="67"/>
      <c r="Z88" s="67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3"/>
      <c r="M89" s="4"/>
      <c r="N89" s="3"/>
      <c r="O89" s="3"/>
      <c r="P89" s="4"/>
      <c r="Q89" s="4"/>
      <c r="R89" s="3"/>
      <c r="S89" s="4"/>
      <c r="T89" s="5"/>
      <c r="U89" s="4"/>
      <c r="V89" s="4"/>
      <c r="W89" s="4"/>
      <c r="X89" s="67"/>
      <c r="Y89" s="67"/>
      <c r="Z89" s="67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3"/>
      <c r="M90" s="4"/>
      <c r="N90" s="3"/>
      <c r="O90" s="3"/>
      <c r="P90" s="4"/>
      <c r="Q90" s="4"/>
      <c r="R90" s="3"/>
      <c r="S90" s="4"/>
      <c r="T90" s="5"/>
      <c r="U90" s="4"/>
      <c r="V90" s="4"/>
      <c r="W90" s="4"/>
      <c r="X90" s="67"/>
      <c r="Y90" s="67"/>
      <c r="Z90" s="67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3"/>
      <c r="M91" s="4"/>
      <c r="N91" s="3"/>
      <c r="O91" s="3"/>
      <c r="P91" s="4"/>
      <c r="Q91" s="4"/>
      <c r="R91" s="3"/>
      <c r="S91" s="4"/>
      <c r="T91" s="5"/>
      <c r="U91" s="4"/>
      <c r="V91" s="4"/>
      <c r="W91" s="4"/>
      <c r="X91" s="67"/>
      <c r="Y91" s="67"/>
      <c r="Z91" s="67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3"/>
      <c r="M92" s="4"/>
      <c r="N92" s="3"/>
      <c r="O92" s="3"/>
      <c r="P92" s="4"/>
      <c r="Q92" s="4"/>
      <c r="R92" s="3"/>
      <c r="S92" s="4"/>
      <c r="T92" s="5"/>
      <c r="U92" s="4"/>
      <c r="V92" s="4"/>
      <c r="W92" s="4"/>
      <c r="X92" s="67"/>
      <c r="Y92" s="67"/>
      <c r="Z92" s="67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3"/>
      <c r="M93" s="4"/>
      <c r="N93" s="3"/>
      <c r="O93" s="3"/>
      <c r="P93" s="4"/>
      <c r="Q93" s="4"/>
      <c r="R93" s="3"/>
      <c r="S93" s="4"/>
      <c r="T93" s="5"/>
      <c r="U93" s="4"/>
      <c r="V93" s="4"/>
      <c r="W93" s="4"/>
      <c r="X93" s="67"/>
      <c r="Y93" s="67"/>
      <c r="Z93" s="67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3"/>
      <c r="M94" s="4"/>
      <c r="N94" s="3"/>
      <c r="O94" s="3"/>
      <c r="P94" s="4"/>
      <c r="Q94" s="4"/>
      <c r="R94" s="3"/>
      <c r="S94" s="4"/>
      <c r="T94" s="5"/>
      <c r="U94" s="4"/>
      <c r="V94" s="4"/>
      <c r="W94" s="4"/>
      <c r="X94" s="67"/>
      <c r="Y94" s="67"/>
      <c r="Z94" s="67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3"/>
      <c r="M95" s="4"/>
      <c r="N95" s="3"/>
      <c r="O95" s="3"/>
      <c r="P95" s="4"/>
      <c r="Q95" s="4"/>
      <c r="R95" s="3"/>
      <c r="S95" s="4"/>
      <c r="T95" s="5"/>
      <c r="U95" s="4"/>
      <c r="V95" s="4"/>
      <c r="W95" s="4"/>
      <c r="X95" s="67"/>
      <c r="Y95" s="67"/>
      <c r="Z95" s="67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3"/>
      <c r="M96" s="4"/>
      <c r="N96" s="3"/>
      <c r="O96" s="3"/>
      <c r="P96" s="4"/>
      <c r="Q96" s="4"/>
      <c r="R96" s="3"/>
      <c r="S96" s="4"/>
      <c r="T96" s="5"/>
      <c r="U96" s="4"/>
      <c r="V96" s="4"/>
      <c r="W96" s="4"/>
      <c r="X96" s="67"/>
      <c r="Y96" s="67"/>
      <c r="Z96" s="67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3"/>
      <c r="M97" s="4"/>
      <c r="N97" s="3"/>
      <c r="O97" s="3"/>
      <c r="P97" s="4"/>
      <c r="Q97" s="4"/>
      <c r="R97" s="3"/>
      <c r="S97" s="4"/>
      <c r="T97" s="5"/>
      <c r="U97" s="4"/>
      <c r="V97" s="4"/>
      <c r="W97" s="4"/>
      <c r="X97" s="67"/>
      <c r="Y97" s="67"/>
      <c r="Z97" s="67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3"/>
      <c r="M98" s="4"/>
      <c r="N98" s="3"/>
      <c r="O98" s="3"/>
      <c r="P98" s="4"/>
      <c r="Q98" s="4"/>
      <c r="R98" s="3"/>
      <c r="S98" s="4"/>
      <c r="T98" s="5"/>
      <c r="U98" s="4"/>
      <c r="V98" s="4"/>
      <c r="W98" s="4"/>
      <c r="X98" s="67"/>
      <c r="Y98" s="67"/>
      <c r="Z98" s="67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3"/>
      <c r="M99" s="4"/>
      <c r="N99" s="3"/>
      <c r="O99" s="3"/>
      <c r="P99" s="4"/>
      <c r="Q99" s="4"/>
      <c r="R99" s="3"/>
      <c r="S99" s="4"/>
      <c r="T99" s="5"/>
      <c r="U99" s="4"/>
      <c r="V99" s="4"/>
      <c r="W99" s="4"/>
      <c r="X99" s="67"/>
      <c r="Y99" s="67"/>
      <c r="Z99" s="67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3"/>
      <c r="M100" s="4"/>
      <c r="N100" s="3"/>
      <c r="O100" s="3"/>
      <c r="P100" s="4"/>
      <c r="Q100" s="4"/>
      <c r="R100" s="3"/>
      <c r="S100" s="4"/>
      <c r="T100" s="5"/>
      <c r="U100" s="4"/>
      <c r="V100" s="4"/>
      <c r="W100" s="4"/>
      <c r="X100" s="67"/>
      <c r="Y100" s="67"/>
      <c r="Z100" s="67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3"/>
      <c r="M101" s="4"/>
      <c r="N101" s="3"/>
      <c r="O101" s="3"/>
      <c r="P101" s="4"/>
      <c r="Q101" s="4"/>
      <c r="R101" s="3"/>
      <c r="S101" s="4"/>
      <c r="T101" s="5"/>
      <c r="U101" s="4"/>
      <c r="V101" s="4"/>
      <c r="W101" s="4"/>
      <c r="X101" s="67"/>
      <c r="Y101" s="67"/>
      <c r="Z101" s="67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4"/>
      <c r="N102" s="3"/>
      <c r="O102" s="3"/>
      <c r="P102" s="4"/>
      <c r="Q102" s="4"/>
      <c r="R102" s="3"/>
      <c r="S102" s="4"/>
      <c r="T102" s="5"/>
      <c r="U102" s="4"/>
      <c r="V102" s="4"/>
      <c r="W102" s="4"/>
      <c r="X102" s="67"/>
      <c r="Y102" s="67"/>
      <c r="Z102" s="67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3"/>
      <c r="M103" s="4"/>
      <c r="N103" s="3"/>
      <c r="O103" s="3"/>
      <c r="P103" s="4"/>
      <c r="Q103" s="4"/>
      <c r="R103" s="3"/>
      <c r="S103" s="4"/>
      <c r="T103" s="5"/>
      <c r="U103" s="4"/>
      <c r="V103" s="4"/>
      <c r="W103" s="4"/>
      <c r="X103" s="67"/>
      <c r="Y103" s="67"/>
      <c r="Z103" s="67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3"/>
      <c r="M104" s="4"/>
      <c r="N104" s="3"/>
      <c r="O104" s="3"/>
      <c r="P104" s="4"/>
      <c r="Q104" s="4"/>
      <c r="R104" s="3"/>
      <c r="S104" s="4"/>
      <c r="T104" s="5"/>
      <c r="U104" s="4"/>
      <c r="V104" s="4"/>
      <c r="W104" s="4"/>
      <c r="X104" s="67"/>
      <c r="Y104" s="67"/>
      <c r="Z104" s="67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3"/>
      <c r="M105" s="4"/>
      <c r="N105" s="3"/>
      <c r="O105" s="3"/>
      <c r="P105" s="4"/>
      <c r="Q105" s="4"/>
      <c r="R105" s="3"/>
      <c r="S105" s="4"/>
      <c r="T105" s="5"/>
      <c r="U105" s="4"/>
      <c r="V105" s="4"/>
      <c r="W105" s="4"/>
      <c r="X105" s="67"/>
      <c r="Y105" s="67"/>
      <c r="Z105" s="67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3"/>
      <c r="M106" s="4"/>
      <c r="N106" s="3"/>
      <c r="O106" s="3"/>
      <c r="P106" s="4"/>
      <c r="Q106" s="4"/>
      <c r="R106" s="3"/>
      <c r="S106" s="4"/>
      <c r="T106" s="5"/>
      <c r="U106" s="4"/>
      <c r="V106" s="4"/>
      <c r="W106" s="4"/>
      <c r="X106" s="67"/>
      <c r="Y106" s="67"/>
      <c r="Z106" s="67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3"/>
      <c r="M107" s="4"/>
      <c r="N107" s="3"/>
      <c r="O107" s="3"/>
      <c r="P107" s="4"/>
      <c r="Q107" s="4"/>
      <c r="R107" s="3"/>
      <c r="S107" s="4"/>
      <c r="T107" s="5"/>
      <c r="U107" s="4"/>
      <c r="V107" s="4"/>
      <c r="W107" s="4"/>
      <c r="X107" s="67"/>
      <c r="Y107" s="67"/>
      <c r="Z107" s="67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3"/>
      <c r="M108" s="4"/>
      <c r="N108" s="3"/>
      <c r="O108" s="3"/>
      <c r="P108" s="4"/>
      <c r="Q108" s="4"/>
      <c r="R108" s="3"/>
      <c r="S108" s="4"/>
      <c r="T108" s="5"/>
      <c r="U108" s="4"/>
      <c r="V108" s="4"/>
      <c r="W108" s="4"/>
      <c r="X108" s="67"/>
      <c r="Y108" s="67"/>
      <c r="Z108" s="67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3"/>
      <c r="M109" s="4"/>
      <c r="N109" s="3"/>
      <c r="O109" s="3"/>
      <c r="P109" s="4"/>
      <c r="Q109" s="4"/>
      <c r="R109" s="3"/>
      <c r="S109" s="4"/>
      <c r="T109" s="5"/>
      <c r="U109" s="4"/>
      <c r="V109" s="4"/>
      <c r="W109" s="4"/>
      <c r="X109" s="67"/>
      <c r="Y109" s="67"/>
      <c r="Z109" s="67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3"/>
      <c r="M110" s="4"/>
      <c r="N110" s="3"/>
      <c r="O110" s="3"/>
      <c r="P110" s="4"/>
      <c r="Q110" s="4"/>
      <c r="R110" s="3"/>
      <c r="S110" s="4"/>
      <c r="T110" s="5"/>
      <c r="U110" s="4"/>
      <c r="V110" s="4"/>
      <c r="W110" s="4"/>
      <c r="X110" s="67"/>
      <c r="Y110" s="67"/>
      <c r="Z110" s="67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3"/>
      <c r="M111" s="4"/>
      <c r="N111" s="3"/>
      <c r="O111" s="3"/>
      <c r="P111" s="4"/>
      <c r="Q111" s="4"/>
      <c r="R111" s="3"/>
      <c r="S111" s="4"/>
      <c r="T111" s="5"/>
      <c r="U111" s="4"/>
      <c r="V111" s="4"/>
      <c r="W111" s="4"/>
      <c r="X111" s="67"/>
      <c r="Y111" s="67"/>
      <c r="Z111" s="67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3"/>
      <c r="M112" s="4"/>
      <c r="N112" s="3"/>
      <c r="O112" s="3"/>
      <c r="P112" s="4"/>
      <c r="Q112" s="4"/>
      <c r="R112" s="3"/>
      <c r="S112" s="4"/>
      <c r="T112" s="5"/>
      <c r="U112" s="4"/>
      <c r="V112" s="4"/>
      <c r="W112" s="4"/>
      <c r="X112" s="67"/>
      <c r="Y112" s="67"/>
      <c r="Z112" s="67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3"/>
      <c r="M113" s="4"/>
      <c r="N113" s="3"/>
      <c r="O113" s="3"/>
      <c r="P113" s="4"/>
      <c r="Q113" s="4"/>
      <c r="R113" s="3"/>
      <c r="S113" s="4"/>
      <c r="T113" s="5"/>
      <c r="U113" s="4"/>
      <c r="V113" s="4"/>
      <c r="W113" s="4"/>
      <c r="X113" s="67"/>
      <c r="Y113" s="67"/>
      <c r="Z113" s="67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3"/>
      <c r="M114" s="4"/>
      <c r="N114" s="3"/>
      <c r="O114" s="3"/>
      <c r="P114" s="4"/>
      <c r="Q114" s="4"/>
      <c r="R114" s="3"/>
      <c r="S114" s="4"/>
      <c r="T114" s="5"/>
      <c r="U114" s="4"/>
      <c r="V114" s="4"/>
      <c r="W114" s="4"/>
      <c r="X114" s="67"/>
      <c r="Y114" s="67"/>
      <c r="Z114" s="67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3"/>
      <c r="M115" s="4"/>
      <c r="N115" s="3"/>
      <c r="O115" s="3"/>
      <c r="P115" s="4"/>
      <c r="Q115" s="4"/>
      <c r="R115" s="3"/>
      <c r="S115" s="4"/>
      <c r="T115" s="5"/>
      <c r="U115" s="4"/>
      <c r="V115" s="4"/>
      <c r="W115" s="4"/>
      <c r="X115" s="67"/>
      <c r="Y115" s="67"/>
      <c r="Z115" s="67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3"/>
      <c r="M116" s="4"/>
      <c r="N116" s="3"/>
      <c r="O116" s="3"/>
      <c r="P116" s="4"/>
      <c r="Q116" s="4"/>
      <c r="R116" s="3"/>
      <c r="S116" s="4"/>
      <c r="T116" s="5"/>
      <c r="U116" s="4"/>
      <c r="V116" s="4"/>
      <c r="W116" s="4"/>
      <c r="X116" s="67"/>
      <c r="Y116" s="67"/>
      <c r="Z116" s="67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4"/>
      <c r="N117" s="3"/>
      <c r="O117" s="3"/>
      <c r="P117" s="4"/>
      <c r="Q117" s="4"/>
      <c r="R117" s="3"/>
      <c r="S117" s="4"/>
      <c r="T117" s="5"/>
      <c r="U117" s="4"/>
      <c r="V117" s="4"/>
      <c r="W117" s="4"/>
      <c r="X117" s="67"/>
      <c r="Y117" s="67"/>
      <c r="Z117" s="67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4"/>
      <c r="N118" s="3"/>
      <c r="O118" s="3"/>
      <c r="P118" s="4"/>
      <c r="Q118" s="4"/>
      <c r="R118" s="3"/>
      <c r="S118" s="4"/>
      <c r="T118" s="5"/>
      <c r="U118" s="4"/>
      <c r="V118" s="4"/>
      <c r="W118" s="4"/>
      <c r="X118" s="67"/>
      <c r="Y118" s="67"/>
      <c r="Z118" s="67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4"/>
      <c r="N119" s="3"/>
      <c r="O119" s="3"/>
      <c r="P119" s="4"/>
      <c r="Q119" s="4"/>
      <c r="R119" s="3"/>
      <c r="S119" s="4"/>
      <c r="T119" s="5"/>
      <c r="U119" s="4"/>
      <c r="V119" s="4"/>
      <c r="W119" s="4"/>
      <c r="X119" s="67"/>
      <c r="Y119" s="67"/>
      <c r="Z119" s="67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4"/>
      <c r="N120" s="3"/>
      <c r="O120" s="3"/>
      <c r="P120" s="4"/>
      <c r="Q120" s="4"/>
      <c r="R120" s="3"/>
      <c r="S120" s="4"/>
      <c r="T120" s="5"/>
      <c r="U120" s="4"/>
      <c r="V120" s="4"/>
      <c r="W120" s="4"/>
      <c r="X120" s="67"/>
      <c r="Y120" s="67"/>
      <c r="Z120" s="67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4"/>
      <c r="N121" s="3"/>
      <c r="O121" s="3"/>
      <c r="P121" s="4"/>
      <c r="Q121" s="4"/>
      <c r="R121" s="3"/>
      <c r="S121" s="4"/>
      <c r="T121" s="5"/>
      <c r="U121" s="4"/>
      <c r="V121" s="4"/>
      <c r="W121" s="4"/>
      <c r="X121" s="67"/>
      <c r="Y121" s="67"/>
      <c r="Z121" s="67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3"/>
      <c r="M122" s="4"/>
      <c r="N122" s="3"/>
      <c r="O122" s="3"/>
      <c r="P122" s="4"/>
      <c r="Q122" s="4"/>
      <c r="R122" s="3"/>
      <c r="S122" s="4"/>
      <c r="T122" s="5"/>
      <c r="U122" s="4"/>
      <c r="V122" s="4"/>
      <c r="W122" s="4"/>
      <c r="X122" s="67"/>
      <c r="Y122" s="67"/>
      <c r="Z122" s="67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3"/>
      <c r="M123" s="4"/>
      <c r="N123" s="3"/>
      <c r="O123" s="3"/>
      <c r="P123" s="4"/>
      <c r="Q123" s="4"/>
      <c r="R123" s="3"/>
      <c r="S123" s="4"/>
      <c r="T123" s="5"/>
      <c r="U123" s="4"/>
      <c r="V123" s="4"/>
      <c r="W123" s="4"/>
      <c r="X123" s="67"/>
      <c r="Y123" s="67"/>
      <c r="Z123" s="67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3"/>
      <c r="M124" s="4"/>
      <c r="N124" s="3"/>
      <c r="O124" s="3"/>
      <c r="P124" s="4"/>
      <c r="Q124" s="4"/>
      <c r="R124" s="3"/>
      <c r="S124" s="4"/>
      <c r="T124" s="5"/>
      <c r="U124" s="4"/>
      <c r="V124" s="4"/>
      <c r="W124" s="4"/>
      <c r="X124" s="67"/>
      <c r="Y124" s="67"/>
      <c r="Z124" s="67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3"/>
      <c r="M125" s="4"/>
      <c r="N125" s="3"/>
      <c r="O125" s="3"/>
      <c r="P125" s="4"/>
      <c r="Q125" s="4"/>
      <c r="R125" s="3"/>
      <c r="S125" s="4"/>
      <c r="T125" s="5"/>
      <c r="U125" s="4"/>
      <c r="V125" s="4"/>
      <c r="W125" s="4"/>
      <c r="X125" s="67"/>
      <c r="Y125" s="67"/>
      <c r="Z125" s="67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3"/>
      <c r="M126" s="4"/>
      <c r="N126" s="3"/>
      <c r="O126" s="3"/>
      <c r="P126" s="4"/>
      <c r="Q126" s="4"/>
      <c r="R126" s="3"/>
      <c r="S126" s="4"/>
      <c r="T126" s="5"/>
      <c r="U126" s="4"/>
      <c r="V126" s="4"/>
      <c r="W126" s="4"/>
      <c r="X126" s="67"/>
      <c r="Y126" s="67"/>
      <c r="Z126" s="67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3"/>
      <c r="M127" s="4"/>
      <c r="N127" s="3"/>
      <c r="O127" s="3"/>
      <c r="P127" s="4"/>
      <c r="Q127" s="4"/>
      <c r="R127" s="3"/>
      <c r="S127" s="4"/>
      <c r="T127" s="5"/>
      <c r="U127" s="4"/>
      <c r="V127" s="4"/>
      <c r="W127" s="4"/>
      <c r="X127" s="67"/>
      <c r="Y127" s="67"/>
      <c r="Z127" s="67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3"/>
      <c r="M128" s="4"/>
      <c r="N128" s="3"/>
      <c r="O128" s="3"/>
      <c r="P128" s="4"/>
      <c r="Q128" s="4"/>
      <c r="R128" s="3"/>
      <c r="S128" s="4"/>
      <c r="T128" s="5"/>
      <c r="U128" s="4"/>
      <c r="V128" s="4"/>
      <c r="W128" s="4"/>
      <c r="X128" s="67"/>
      <c r="Y128" s="67"/>
      <c r="Z128" s="67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3"/>
      <c r="M129" s="4"/>
      <c r="N129" s="3"/>
      <c r="O129" s="3"/>
      <c r="P129" s="4"/>
      <c r="Q129" s="4"/>
      <c r="R129" s="3"/>
      <c r="S129" s="4"/>
      <c r="T129" s="5"/>
      <c r="U129" s="4"/>
      <c r="V129" s="4"/>
      <c r="W129" s="4"/>
      <c r="X129" s="67"/>
      <c r="Y129" s="67"/>
      <c r="Z129" s="67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3"/>
      <c r="M130" s="4"/>
      <c r="N130" s="3"/>
      <c r="O130" s="3"/>
      <c r="P130" s="4"/>
      <c r="Q130" s="4"/>
      <c r="R130" s="3"/>
      <c r="S130" s="4"/>
      <c r="T130" s="5"/>
      <c r="U130" s="4"/>
      <c r="V130" s="4"/>
      <c r="W130" s="4"/>
      <c r="X130" s="67"/>
      <c r="Y130" s="67"/>
      <c r="Z130" s="67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3"/>
      <c r="M131" s="4"/>
      <c r="N131" s="3"/>
      <c r="O131" s="3"/>
      <c r="P131" s="4"/>
      <c r="Q131" s="4"/>
      <c r="R131" s="3"/>
      <c r="S131" s="4"/>
      <c r="T131" s="5"/>
      <c r="U131" s="4"/>
      <c r="V131" s="4"/>
      <c r="W131" s="4"/>
      <c r="X131" s="67"/>
      <c r="Y131" s="67"/>
      <c r="Z131" s="67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3"/>
      <c r="M132" s="4"/>
      <c r="N132" s="3"/>
      <c r="O132" s="3"/>
      <c r="P132" s="4"/>
      <c r="Q132" s="4"/>
      <c r="R132" s="3"/>
      <c r="S132" s="4"/>
      <c r="T132" s="5"/>
      <c r="U132" s="4"/>
      <c r="V132" s="4"/>
      <c r="W132" s="4"/>
      <c r="X132" s="67"/>
      <c r="Y132" s="67"/>
      <c r="Z132" s="67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3"/>
      <c r="M133" s="4"/>
      <c r="N133" s="3"/>
      <c r="O133" s="3"/>
      <c r="P133" s="4"/>
      <c r="Q133" s="4"/>
      <c r="R133" s="3"/>
      <c r="S133" s="4"/>
      <c r="T133" s="5"/>
      <c r="U133" s="4"/>
      <c r="V133" s="4"/>
      <c r="W133" s="4"/>
      <c r="X133" s="67"/>
      <c r="Y133" s="67"/>
      <c r="Z133" s="67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3"/>
      <c r="M134" s="4"/>
      <c r="N134" s="3"/>
      <c r="O134" s="3"/>
      <c r="P134" s="4"/>
      <c r="Q134" s="4"/>
      <c r="R134" s="3"/>
      <c r="S134" s="4"/>
      <c r="T134" s="5"/>
      <c r="U134" s="4"/>
      <c r="V134" s="4"/>
      <c r="W134" s="4"/>
      <c r="X134" s="67"/>
      <c r="Y134" s="67"/>
      <c r="Z134" s="67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3"/>
      <c r="M135" s="4"/>
      <c r="N135" s="3"/>
      <c r="O135" s="3"/>
      <c r="P135" s="4"/>
      <c r="Q135" s="4"/>
      <c r="R135" s="3"/>
      <c r="S135" s="4"/>
      <c r="T135" s="5"/>
      <c r="U135" s="4"/>
      <c r="V135" s="4"/>
      <c r="W135" s="4"/>
      <c r="X135" s="67"/>
      <c r="Y135" s="67"/>
      <c r="Z135" s="67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3"/>
      <c r="M136" s="4"/>
      <c r="N136" s="3"/>
      <c r="O136" s="3"/>
      <c r="P136" s="4"/>
      <c r="Q136" s="4"/>
      <c r="R136" s="3"/>
      <c r="S136" s="4"/>
      <c r="T136" s="5"/>
      <c r="U136" s="4"/>
      <c r="V136" s="4"/>
      <c r="W136" s="4"/>
      <c r="X136" s="67"/>
      <c r="Y136" s="67"/>
      <c r="Z136" s="67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3"/>
      <c r="M137" s="4"/>
      <c r="N137" s="3"/>
      <c r="O137" s="3"/>
      <c r="P137" s="4"/>
      <c r="Q137" s="4"/>
      <c r="R137" s="3"/>
      <c r="S137" s="4"/>
      <c r="T137" s="5"/>
      <c r="U137" s="4"/>
      <c r="V137" s="4"/>
      <c r="W137" s="4"/>
      <c r="X137" s="67"/>
      <c r="Y137" s="67"/>
      <c r="Z137" s="67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4"/>
      <c r="N138" s="3"/>
      <c r="O138" s="3"/>
      <c r="P138" s="4"/>
      <c r="Q138" s="4"/>
      <c r="R138" s="3"/>
      <c r="S138" s="4"/>
      <c r="T138" s="5"/>
      <c r="U138" s="4"/>
      <c r="V138" s="4"/>
      <c r="W138" s="4"/>
      <c r="X138" s="67"/>
      <c r="Y138" s="67"/>
      <c r="Z138" s="67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3"/>
      <c r="M139" s="4"/>
      <c r="N139" s="3"/>
      <c r="O139" s="3"/>
      <c r="P139" s="4"/>
      <c r="Q139" s="4"/>
      <c r="R139" s="3"/>
      <c r="S139" s="4"/>
      <c r="T139" s="5"/>
      <c r="U139" s="4"/>
      <c r="V139" s="4"/>
      <c r="W139" s="4"/>
      <c r="X139" s="67"/>
      <c r="Y139" s="67"/>
      <c r="Z139" s="67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4"/>
      <c r="N140" s="3"/>
      <c r="O140" s="3"/>
      <c r="P140" s="4"/>
      <c r="Q140" s="4"/>
      <c r="R140" s="3"/>
      <c r="S140" s="4"/>
      <c r="T140" s="5"/>
      <c r="U140" s="4"/>
      <c r="V140" s="4"/>
      <c r="W140" s="4"/>
      <c r="X140" s="67"/>
      <c r="Y140" s="67"/>
      <c r="Z140" s="67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  <c r="M141" s="4"/>
      <c r="N141" s="3"/>
      <c r="O141" s="3"/>
      <c r="P141" s="4"/>
      <c r="Q141" s="4"/>
      <c r="R141" s="3"/>
      <c r="S141" s="4"/>
      <c r="T141" s="5"/>
      <c r="U141" s="4"/>
      <c r="V141" s="4"/>
      <c r="W141" s="4"/>
      <c r="X141" s="67"/>
      <c r="Y141" s="67"/>
      <c r="Z141" s="67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  <c r="M142" s="4"/>
      <c r="N142" s="3"/>
      <c r="O142" s="3"/>
      <c r="P142" s="4"/>
      <c r="Q142" s="4"/>
      <c r="R142" s="3"/>
      <c r="S142" s="4"/>
      <c r="T142" s="5"/>
      <c r="U142" s="4"/>
      <c r="V142" s="4"/>
      <c r="W142" s="4"/>
      <c r="X142" s="67"/>
      <c r="Y142" s="67"/>
      <c r="Z142" s="67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  <c r="M143" s="4"/>
      <c r="N143" s="3"/>
      <c r="O143" s="3"/>
      <c r="P143" s="4"/>
      <c r="Q143" s="4"/>
      <c r="R143" s="3"/>
      <c r="S143" s="4"/>
      <c r="T143" s="5"/>
      <c r="U143" s="4"/>
      <c r="V143" s="4"/>
      <c r="W143" s="4"/>
      <c r="X143" s="67"/>
      <c r="Y143" s="67"/>
      <c r="Z143" s="67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4"/>
      <c r="N144" s="3"/>
      <c r="O144" s="3"/>
      <c r="P144" s="4"/>
      <c r="Q144" s="4"/>
      <c r="R144" s="3"/>
      <c r="S144" s="4"/>
      <c r="T144" s="5"/>
      <c r="U144" s="4"/>
      <c r="V144" s="4"/>
      <c r="W144" s="4"/>
      <c r="X144" s="67"/>
      <c r="Y144" s="67"/>
      <c r="Z144" s="67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  <c r="M145" s="4"/>
      <c r="N145" s="3"/>
      <c r="O145" s="3"/>
      <c r="P145" s="4"/>
      <c r="Q145" s="4"/>
      <c r="R145" s="3"/>
      <c r="S145" s="4"/>
      <c r="T145" s="5"/>
      <c r="U145" s="4"/>
      <c r="V145" s="4"/>
      <c r="W145" s="4"/>
      <c r="X145" s="67"/>
      <c r="Y145" s="67"/>
      <c r="Z145" s="67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  <c r="M146" s="4"/>
      <c r="N146" s="3"/>
      <c r="O146" s="3"/>
      <c r="P146" s="4"/>
      <c r="Q146" s="4"/>
      <c r="R146" s="3"/>
      <c r="S146" s="4"/>
      <c r="T146" s="5"/>
      <c r="U146" s="4"/>
      <c r="V146" s="4"/>
      <c r="W146" s="4"/>
      <c r="X146" s="67"/>
      <c r="Y146" s="67"/>
      <c r="Z146" s="67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  <c r="M147" s="4"/>
      <c r="N147" s="3"/>
      <c r="O147" s="3"/>
      <c r="P147" s="4"/>
      <c r="Q147" s="4"/>
      <c r="R147" s="3"/>
      <c r="S147" s="4"/>
      <c r="T147" s="5"/>
      <c r="U147" s="4"/>
      <c r="V147" s="4"/>
      <c r="W147" s="4"/>
      <c r="X147" s="67"/>
      <c r="Y147" s="67"/>
      <c r="Z147" s="67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  <c r="M148" s="4"/>
      <c r="N148" s="3"/>
      <c r="O148" s="3"/>
      <c r="P148" s="4"/>
      <c r="Q148" s="4"/>
      <c r="R148" s="3"/>
      <c r="S148" s="4"/>
      <c r="T148" s="5"/>
      <c r="U148" s="4"/>
      <c r="V148" s="4"/>
      <c r="W148" s="4"/>
      <c r="X148" s="67"/>
      <c r="Y148" s="67"/>
      <c r="Z148" s="67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  <c r="M149" s="4"/>
      <c r="N149" s="3"/>
      <c r="O149" s="3"/>
      <c r="P149" s="4"/>
      <c r="Q149" s="4"/>
      <c r="R149" s="3"/>
      <c r="S149" s="4"/>
      <c r="T149" s="5"/>
      <c r="U149" s="4"/>
      <c r="V149" s="4"/>
      <c r="W149" s="4"/>
      <c r="X149" s="67"/>
      <c r="Y149" s="67"/>
      <c r="Z149" s="67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  <c r="M150" s="4"/>
      <c r="N150" s="3"/>
      <c r="O150" s="3"/>
      <c r="P150" s="4"/>
      <c r="Q150" s="4"/>
      <c r="R150" s="3"/>
      <c r="S150" s="4"/>
      <c r="T150" s="5"/>
      <c r="U150" s="4"/>
      <c r="V150" s="4"/>
      <c r="W150" s="4"/>
      <c r="X150" s="67"/>
      <c r="Y150" s="67"/>
      <c r="Z150" s="67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  <c r="M151" s="4"/>
      <c r="N151" s="3"/>
      <c r="O151" s="3"/>
      <c r="P151" s="4"/>
      <c r="Q151" s="4"/>
      <c r="R151" s="3"/>
      <c r="S151" s="4"/>
      <c r="T151" s="5"/>
      <c r="U151" s="4"/>
      <c r="V151" s="4"/>
      <c r="W151" s="4"/>
      <c r="X151" s="67"/>
      <c r="Y151" s="67"/>
      <c r="Z151" s="67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  <c r="M152" s="4"/>
      <c r="N152" s="3"/>
      <c r="O152" s="3"/>
      <c r="P152" s="4"/>
      <c r="Q152" s="4"/>
      <c r="R152" s="3"/>
      <c r="S152" s="4"/>
      <c r="T152" s="5"/>
      <c r="U152" s="4"/>
      <c r="V152" s="4"/>
      <c r="W152" s="4"/>
      <c r="X152" s="67"/>
      <c r="Y152" s="67"/>
      <c r="Z152" s="67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  <c r="M153" s="4"/>
      <c r="N153" s="3"/>
      <c r="O153" s="3"/>
      <c r="P153" s="4"/>
      <c r="Q153" s="4"/>
      <c r="R153" s="3"/>
      <c r="S153" s="4"/>
      <c r="T153" s="5"/>
      <c r="U153" s="4"/>
      <c r="V153" s="4"/>
      <c r="W153" s="4"/>
      <c r="X153" s="67"/>
      <c r="Y153" s="67"/>
      <c r="Z153" s="67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  <c r="M154" s="4"/>
      <c r="N154" s="3"/>
      <c r="O154" s="3"/>
      <c r="P154" s="4"/>
      <c r="Q154" s="4"/>
      <c r="R154" s="3"/>
      <c r="S154" s="4"/>
      <c r="T154" s="5"/>
      <c r="U154" s="4"/>
      <c r="V154" s="4"/>
      <c r="W154" s="4"/>
      <c r="X154" s="67"/>
      <c r="Y154" s="67"/>
      <c r="Z154" s="67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  <c r="M155" s="4"/>
      <c r="N155" s="3"/>
      <c r="O155" s="3"/>
      <c r="P155" s="4"/>
      <c r="Q155" s="4"/>
      <c r="R155" s="3"/>
      <c r="S155" s="4"/>
      <c r="T155" s="5"/>
      <c r="U155" s="4"/>
      <c r="V155" s="4"/>
      <c r="W155" s="4"/>
      <c r="X155" s="67"/>
      <c r="Y155" s="67"/>
      <c r="Z155" s="67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  <c r="M156" s="4"/>
      <c r="N156" s="3"/>
      <c r="O156" s="3"/>
      <c r="P156" s="4"/>
      <c r="Q156" s="4"/>
      <c r="R156" s="3"/>
      <c r="S156" s="4"/>
      <c r="T156" s="5"/>
      <c r="U156" s="4"/>
      <c r="V156" s="4"/>
      <c r="W156" s="4"/>
      <c r="X156" s="67"/>
      <c r="Y156" s="67"/>
      <c r="Z156" s="67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4"/>
      <c r="N157" s="3"/>
      <c r="O157" s="3"/>
      <c r="P157" s="4"/>
      <c r="Q157" s="4"/>
      <c r="R157" s="3"/>
      <c r="S157" s="4"/>
      <c r="T157" s="5"/>
      <c r="U157" s="4"/>
      <c r="V157" s="4"/>
      <c r="W157" s="4"/>
      <c r="X157" s="67"/>
      <c r="Y157" s="67"/>
      <c r="Z157" s="67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  <c r="M158" s="4"/>
      <c r="N158" s="3"/>
      <c r="O158" s="3"/>
      <c r="P158" s="4"/>
      <c r="Q158" s="4"/>
      <c r="R158" s="3"/>
      <c r="S158" s="4"/>
      <c r="T158" s="5"/>
      <c r="U158" s="4"/>
      <c r="V158" s="4"/>
      <c r="W158" s="4"/>
      <c r="X158" s="67"/>
      <c r="Y158" s="67"/>
      <c r="Z158" s="67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  <c r="M159" s="4"/>
      <c r="N159" s="3"/>
      <c r="O159" s="3"/>
      <c r="P159" s="4"/>
      <c r="Q159" s="4"/>
      <c r="R159" s="3"/>
      <c r="S159" s="4"/>
      <c r="T159" s="5"/>
      <c r="U159" s="4"/>
      <c r="V159" s="4"/>
      <c r="W159" s="4"/>
      <c r="X159" s="67"/>
      <c r="Y159" s="67"/>
      <c r="Z159" s="67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  <c r="M160" s="4"/>
      <c r="N160" s="3"/>
      <c r="O160" s="3"/>
      <c r="P160" s="4"/>
      <c r="Q160" s="4"/>
      <c r="R160" s="3"/>
      <c r="S160" s="4"/>
      <c r="T160" s="5"/>
      <c r="U160" s="4"/>
      <c r="V160" s="4"/>
      <c r="W160" s="4"/>
      <c r="X160" s="67"/>
      <c r="Y160" s="67"/>
      <c r="Z160" s="67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4"/>
      <c r="N161" s="3"/>
      <c r="O161" s="3"/>
      <c r="P161" s="4"/>
      <c r="Q161" s="4"/>
      <c r="R161" s="3"/>
      <c r="S161" s="4"/>
      <c r="T161" s="5"/>
      <c r="U161" s="4"/>
      <c r="V161" s="4"/>
      <c r="W161" s="4"/>
      <c r="X161" s="67"/>
      <c r="Y161" s="67"/>
      <c r="Z161" s="67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  <c r="M162" s="4"/>
      <c r="N162" s="3"/>
      <c r="O162" s="3"/>
      <c r="P162" s="4"/>
      <c r="Q162" s="4"/>
      <c r="R162" s="3"/>
      <c r="S162" s="4"/>
      <c r="T162" s="5"/>
      <c r="U162" s="4"/>
      <c r="V162" s="4"/>
      <c r="W162" s="4"/>
      <c r="X162" s="67"/>
      <c r="Y162" s="67"/>
      <c r="Z162" s="67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4"/>
      <c r="N163" s="3"/>
      <c r="O163" s="3"/>
      <c r="P163" s="4"/>
      <c r="Q163" s="4"/>
      <c r="R163" s="3"/>
      <c r="S163" s="4"/>
      <c r="T163" s="5"/>
      <c r="U163" s="4"/>
      <c r="V163" s="4"/>
      <c r="W163" s="4"/>
      <c r="X163" s="67"/>
      <c r="Y163" s="67"/>
      <c r="Z163" s="67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3"/>
      <c r="M164" s="4"/>
      <c r="N164" s="3"/>
      <c r="O164" s="3"/>
      <c r="P164" s="4"/>
      <c r="Q164" s="4"/>
      <c r="R164" s="3"/>
      <c r="S164" s="4"/>
      <c r="T164" s="5"/>
      <c r="U164" s="4"/>
      <c r="V164" s="4"/>
      <c r="W164" s="4"/>
      <c r="X164" s="67"/>
      <c r="Y164" s="67"/>
      <c r="Z164" s="67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3"/>
      <c r="M165" s="4"/>
      <c r="N165" s="3"/>
      <c r="O165" s="3"/>
      <c r="P165" s="4"/>
      <c r="Q165" s="4"/>
      <c r="R165" s="3"/>
      <c r="S165" s="4"/>
      <c r="T165" s="5"/>
      <c r="U165" s="4"/>
      <c r="V165" s="4"/>
      <c r="W165" s="4"/>
      <c r="X165" s="67"/>
      <c r="Y165" s="67"/>
      <c r="Z165" s="67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3"/>
      <c r="M166" s="4"/>
      <c r="N166" s="3"/>
      <c r="O166" s="3"/>
      <c r="P166" s="4"/>
      <c r="Q166" s="4"/>
      <c r="R166" s="3"/>
      <c r="S166" s="4"/>
      <c r="T166" s="5"/>
      <c r="U166" s="4"/>
      <c r="V166" s="4"/>
      <c r="W166" s="4"/>
      <c r="X166" s="67"/>
      <c r="Y166" s="67"/>
      <c r="Z166" s="67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3"/>
      <c r="M167" s="4"/>
      <c r="N167" s="3"/>
      <c r="O167" s="3"/>
      <c r="P167" s="4"/>
      <c r="Q167" s="4"/>
      <c r="R167" s="3"/>
      <c r="S167" s="4"/>
      <c r="T167" s="5"/>
      <c r="U167" s="4"/>
      <c r="V167" s="4"/>
      <c r="W167" s="4"/>
      <c r="X167" s="67"/>
      <c r="Y167" s="67"/>
      <c r="Z167" s="67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3"/>
      <c r="M168" s="4"/>
      <c r="N168" s="3"/>
      <c r="O168" s="3"/>
      <c r="P168" s="4"/>
      <c r="Q168" s="4"/>
      <c r="R168" s="3"/>
      <c r="S168" s="4"/>
      <c r="T168" s="5"/>
      <c r="U168" s="4"/>
      <c r="V168" s="4"/>
      <c r="W168" s="4"/>
      <c r="X168" s="67"/>
      <c r="Y168" s="67"/>
      <c r="Z168" s="67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3"/>
      <c r="M169" s="4"/>
      <c r="N169" s="3"/>
      <c r="O169" s="3"/>
      <c r="P169" s="4"/>
      <c r="Q169" s="4"/>
      <c r="R169" s="3"/>
      <c r="S169" s="4"/>
      <c r="T169" s="5"/>
      <c r="U169" s="4"/>
      <c r="V169" s="4"/>
      <c r="W169" s="4"/>
      <c r="X169" s="67"/>
      <c r="Y169" s="67"/>
      <c r="Z169" s="67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3"/>
      <c r="M170" s="4"/>
      <c r="N170" s="3"/>
      <c r="O170" s="3"/>
      <c r="P170" s="4"/>
      <c r="Q170" s="4"/>
      <c r="R170" s="3"/>
      <c r="S170" s="4"/>
      <c r="T170" s="5"/>
      <c r="U170" s="4"/>
      <c r="V170" s="4"/>
      <c r="W170" s="4"/>
      <c r="X170" s="67"/>
      <c r="Y170" s="67"/>
      <c r="Z170" s="67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3"/>
      <c r="M171" s="4"/>
      <c r="N171" s="3"/>
      <c r="O171" s="3"/>
      <c r="P171" s="4"/>
      <c r="Q171" s="4"/>
      <c r="R171" s="3"/>
      <c r="S171" s="4"/>
      <c r="T171" s="5"/>
      <c r="U171" s="4"/>
      <c r="V171" s="4"/>
      <c r="W171" s="4"/>
      <c r="X171" s="67"/>
      <c r="Y171" s="67"/>
      <c r="Z171" s="67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3"/>
      <c r="M172" s="4"/>
      <c r="N172" s="3"/>
      <c r="O172" s="3"/>
      <c r="P172" s="4"/>
      <c r="Q172" s="4"/>
      <c r="R172" s="3"/>
      <c r="S172" s="4"/>
      <c r="T172" s="5"/>
      <c r="U172" s="4"/>
      <c r="V172" s="4"/>
      <c r="W172" s="4"/>
      <c r="X172" s="67"/>
      <c r="Y172" s="67"/>
      <c r="Z172" s="67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3"/>
      <c r="M173" s="4"/>
      <c r="N173" s="3"/>
      <c r="O173" s="3"/>
      <c r="P173" s="4"/>
      <c r="Q173" s="4"/>
      <c r="R173" s="3"/>
      <c r="S173" s="4"/>
      <c r="T173" s="5"/>
      <c r="U173" s="4"/>
      <c r="V173" s="4"/>
      <c r="W173" s="4"/>
      <c r="X173" s="67"/>
      <c r="Y173" s="67"/>
      <c r="Z173" s="67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3"/>
      <c r="M174" s="4"/>
      <c r="N174" s="3"/>
      <c r="O174" s="3"/>
      <c r="P174" s="4"/>
      <c r="Q174" s="4"/>
      <c r="R174" s="3"/>
      <c r="S174" s="4"/>
      <c r="T174" s="5"/>
      <c r="U174" s="4"/>
      <c r="V174" s="4"/>
      <c r="W174" s="4"/>
      <c r="X174" s="67"/>
      <c r="Y174" s="67"/>
      <c r="Z174" s="67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3"/>
      <c r="M175" s="4"/>
      <c r="N175" s="3"/>
      <c r="O175" s="3"/>
      <c r="P175" s="4"/>
      <c r="Q175" s="4"/>
      <c r="R175" s="3"/>
      <c r="S175" s="4"/>
      <c r="T175" s="5"/>
      <c r="U175" s="4"/>
      <c r="V175" s="4"/>
      <c r="W175" s="4"/>
      <c r="X175" s="67"/>
      <c r="Y175" s="67"/>
      <c r="Z175" s="67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4"/>
      <c r="N176" s="3"/>
      <c r="O176" s="3"/>
      <c r="P176" s="4"/>
      <c r="Q176" s="4"/>
      <c r="R176" s="3"/>
      <c r="S176" s="4"/>
      <c r="T176" s="5"/>
      <c r="U176" s="4"/>
      <c r="V176" s="4"/>
      <c r="W176" s="4"/>
      <c r="X176" s="67"/>
      <c r="Y176" s="67"/>
      <c r="Z176" s="67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3"/>
      <c r="O177" s="3"/>
      <c r="P177" s="4"/>
      <c r="Q177" s="4"/>
      <c r="R177" s="3"/>
      <c r="S177" s="4"/>
      <c r="T177" s="5"/>
      <c r="U177" s="4"/>
      <c r="V177" s="4"/>
      <c r="W177" s="4"/>
      <c r="X177" s="67"/>
      <c r="Y177" s="67"/>
      <c r="Z177" s="67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3"/>
      <c r="O178" s="3"/>
      <c r="P178" s="4"/>
      <c r="Q178" s="4"/>
      <c r="R178" s="3"/>
      <c r="S178" s="4"/>
      <c r="T178" s="5"/>
      <c r="U178" s="4"/>
      <c r="V178" s="4"/>
      <c r="W178" s="4"/>
      <c r="X178" s="67"/>
      <c r="Y178" s="67"/>
      <c r="Z178" s="67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3"/>
      <c r="M179" s="4"/>
      <c r="N179" s="3"/>
      <c r="O179" s="3"/>
      <c r="P179" s="4"/>
      <c r="Q179" s="4"/>
      <c r="R179" s="3"/>
      <c r="S179" s="4"/>
      <c r="T179" s="5"/>
      <c r="U179" s="4"/>
      <c r="V179" s="4"/>
      <c r="W179" s="4"/>
      <c r="X179" s="67"/>
      <c r="Y179" s="67"/>
      <c r="Z179" s="67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3"/>
      <c r="M180" s="4"/>
      <c r="N180" s="3"/>
      <c r="O180" s="3"/>
      <c r="P180" s="4"/>
      <c r="Q180" s="4"/>
      <c r="R180" s="3"/>
      <c r="S180" s="4"/>
      <c r="T180" s="5"/>
      <c r="U180" s="4"/>
      <c r="V180" s="4"/>
      <c r="W180" s="4"/>
      <c r="X180" s="67"/>
      <c r="Y180" s="67"/>
      <c r="Z180" s="67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3"/>
      <c r="M181" s="4"/>
      <c r="N181" s="3"/>
      <c r="O181" s="3"/>
      <c r="P181" s="4"/>
      <c r="Q181" s="4"/>
      <c r="R181" s="3"/>
      <c r="S181" s="4"/>
      <c r="T181" s="5"/>
      <c r="U181" s="4"/>
      <c r="V181" s="4"/>
      <c r="W181" s="4"/>
      <c r="X181" s="67"/>
      <c r="Y181" s="67"/>
      <c r="Z181" s="67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3"/>
      <c r="M182" s="4"/>
      <c r="N182" s="3"/>
      <c r="O182" s="3"/>
      <c r="P182" s="4"/>
      <c r="Q182" s="4"/>
      <c r="R182" s="3"/>
      <c r="S182" s="4"/>
      <c r="T182" s="5"/>
      <c r="U182" s="4"/>
      <c r="V182" s="4"/>
      <c r="W182" s="4"/>
      <c r="X182" s="67"/>
      <c r="Y182" s="67"/>
      <c r="Z182" s="67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3"/>
      <c r="M183" s="4"/>
      <c r="N183" s="3"/>
      <c r="O183" s="3"/>
      <c r="P183" s="4"/>
      <c r="Q183" s="4"/>
      <c r="R183" s="3"/>
      <c r="S183" s="4"/>
      <c r="T183" s="5"/>
      <c r="U183" s="4"/>
      <c r="V183" s="4"/>
      <c r="W183" s="4"/>
      <c r="X183" s="67"/>
      <c r="Y183" s="67"/>
      <c r="Z183" s="67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3"/>
      <c r="M184" s="4"/>
      <c r="N184" s="3"/>
      <c r="O184" s="3"/>
      <c r="P184" s="4"/>
      <c r="Q184" s="4"/>
      <c r="R184" s="3"/>
      <c r="S184" s="4"/>
      <c r="T184" s="5"/>
      <c r="U184" s="4"/>
      <c r="V184" s="4"/>
      <c r="W184" s="4"/>
      <c r="X184" s="67"/>
      <c r="Y184" s="67"/>
      <c r="Z184" s="67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3"/>
      <c r="M185" s="4"/>
      <c r="N185" s="3"/>
      <c r="O185" s="3"/>
      <c r="P185" s="4"/>
      <c r="Q185" s="4"/>
      <c r="R185" s="3"/>
      <c r="S185" s="4"/>
      <c r="T185" s="5"/>
      <c r="U185" s="4"/>
      <c r="V185" s="4"/>
      <c r="W185" s="4"/>
      <c r="X185" s="67"/>
      <c r="Y185" s="67"/>
      <c r="Z185" s="67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3"/>
      <c r="M186" s="4"/>
      <c r="N186" s="3"/>
      <c r="O186" s="3"/>
      <c r="P186" s="4"/>
      <c r="Q186" s="4"/>
      <c r="R186" s="3"/>
      <c r="S186" s="4"/>
      <c r="T186" s="5"/>
      <c r="U186" s="4"/>
      <c r="V186" s="4"/>
      <c r="W186" s="4"/>
      <c r="X186" s="67"/>
      <c r="Y186" s="67"/>
      <c r="Z186" s="67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3"/>
      <c r="M187" s="4"/>
      <c r="N187" s="3"/>
      <c r="O187" s="3"/>
      <c r="P187" s="4"/>
      <c r="Q187" s="4"/>
      <c r="R187" s="3"/>
      <c r="S187" s="4"/>
      <c r="T187" s="5"/>
      <c r="U187" s="4"/>
      <c r="V187" s="4"/>
      <c r="W187" s="4"/>
      <c r="X187" s="67"/>
      <c r="Y187" s="67"/>
      <c r="Z187" s="67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3"/>
      <c r="M188" s="4"/>
      <c r="N188" s="3"/>
      <c r="O188" s="3"/>
      <c r="P188" s="4"/>
      <c r="Q188" s="4"/>
      <c r="R188" s="3"/>
      <c r="S188" s="4"/>
      <c r="T188" s="5"/>
      <c r="U188" s="4"/>
      <c r="V188" s="4"/>
      <c r="W188" s="4"/>
      <c r="X188" s="67"/>
      <c r="Y188" s="67"/>
      <c r="Z188" s="67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3"/>
      <c r="M189" s="4"/>
      <c r="N189" s="3"/>
      <c r="O189" s="3"/>
      <c r="P189" s="4"/>
      <c r="Q189" s="4"/>
      <c r="R189" s="3"/>
      <c r="S189" s="4"/>
      <c r="T189" s="5"/>
      <c r="U189" s="4"/>
      <c r="V189" s="4"/>
      <c r="W189" s="4"/>
      <c r="X189" s="67"/>
      <c r="Y189" s="67"/>
      <c r="Z189" s="67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3"/>
      <c r="M190" s="4"/>
      <c r="N190" s="3"/>
      <c r="O190" s="3"/>
      <c r="P190" s="4"/>
      <c r="Q190" s="4"/>
      <c r="R190" s="3"/>
      <c r="S190" s="4"/>
      <c r="T190" s="5"/>
      <c r="U190" s="4"/>
      <c r="V190" s="4"/>
      <c r="W190" s="4"/>
      <c r="X190" s="67"/>
      <c r="Y190" s="67"/>
      <c r="Z190" s="67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3"/>
      <c r="M191" s="4"/>
      <c r="N191" s="3"/>
      <c r="O191" s="3"/>
      <c r="P191" s="4"/>
      <c r="Q191" s="4"/>
      <c r="R191" s="3"/>
      <c r="S191" s="4"/>
      <c r="T191" s="5"/>
      <c r="U191" s="4"/>
      <c r="V191" s="4"/>
      <c r="W191" s="4"/>
      <c r="X191" s="67"/>
      <c r="Y191" s="67"/>
      <c r="Z191" s="67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3"/>
      <c r="M192" s="4"/>
      <c r="N192" s="3"/>
      <c r="O192" s="3"/>
      <c r="P192" s="4"/>
      <c r="Q192" s="4"/>
      <c r="R192" s="3"/>
      <c r="S192" s="4"/>
      <c r="T192" s="5"/>
      <c r="U192" s="4"/>
      <c r="V192" s="4"/>
      <c r="W192" s="4"/>
      <c r="X192" s="67"/>
      <c r="Y192" s="67"/>
      <c r="Z192" s="67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3"/>
      <c r="M193" s="4"/>
      <c r="N193" s="3"/>
      <c r="O193" s="3"/>
      <c r="P193" s="4"/>
      <c r="Q193" s="4"/>
      <c r="R193" s="3"/>
      <c r="S193" s="4"/>
      <c r="T193" s="5"/>
      <c r="U193" s="4"/>
      <c r="V193" s="4"/>
      <c r="W193" s="4"/>
      <c r="X193" s="67"/>
      <c r="Y193" s="67"/>
      <c r="Z193" s="67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3"/>
      <c r="M194" s="4"/>
      <c r="N194" s="3"/>
      <c r="O194" s="3"/>
      <c r="P194" s="4"/>
      <c r="Q194" s="4"/>
      <c r="R194" s="3"/>
      <c r="S194" s="4"/>
      <c r="T194" s="5"/>
      <c r="U194" s="4"/>
      <c r="V194" s="4"/>
      <c r="W194" s="4"/>
      <c r="X194" s="67"/>
      <c r="Y194" s="67"/>
      <c r="Z194" s="67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3"/>
      <c r="M195" s="4"/>
      <c r="N195" s="3"/>
      <c r="O195" s="3"/>
      <c r="P195" s="4"/>
      <c r="Q195" s="4"/>
      <c r="R195" s="3"/>
      <c r="S195" s="4"/>
      <c r="T195" s="5"/>
      <c r="U195" s="4"/>
      <c r="V195" s="4"/>
      <c r="W195" s="4"/>
      <c r="X195" s="67"/>
      <c r="Y195" s="67"/>
      <c r="Z195" s="67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3"/>
      <c r="M196" s="4"/>
      <c r="N196" s="3"/>
      <c r="O196" s="3"/>
      <c r="P196" s="4"/>
      <c r="Q196" s="4"/>
      <c r="R196" s="3"/>
      <c r="S196" s="4"/>
      <c r="T196" s="5"/>
      <c r="U196" s="4"/>
      <c r="V196" s="4"/>
      <c r="W196" s="4"/>
      <c r="X196" s="67"/>
      <c r="Y196" s="67"/>
      <c r="Z196" s="67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3"/>
      <c r="M197" s="4"/>
      <c r="N197" s="3"/>
      <c r="O197" s="3"/>
      <c r="P197" s="4"/>
      <c r="Q197" s="4"/>
      <c r="R197" s="3"/>
      <c r="S197" s="4"/>
      <c r="T197" s="5"/>
      <c r="U197" s="4"/>
      <c r="V197" s="4"/>
      <c r="W197" s="4"/>
      <c r="X197" s="67"/>
      <c r="Y197" s="67"/>
      <c r="Z197" s="67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3"/>
      <c r="M198" s="4"/>
      <c r="N198" s="3"/>
      <c r="O198" s="3"/>
      <c r="P198" s="4"/>
      <c r="Q198" s="4"/>
      <c r="R198" s="3"/>
      <c r="S198" s="4"/>
      <c r="T198" s="5"/>
      <c r="U198" s="4"/>
      <c r="V198" s="4"/>
      <c r="W198" s="4"/>
      <c r="X198" s="67"/>
      <c r="Y198" s="67"/>
      <c r="Z198" s="67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3"/>
      <c r="M199" s="4"/>
      <c r="N199" s="3"/>
      <c r="O199" s="3"/>
      <c r="P199" s="4"/>
      <c r="Q199" s="4"/>
      <c r="R199" s="3"/>
      <c r="S199" s="4"/>
      <c r="T199" s="5"/>
      <c r="U199" s="4"/>
      <c r="V199" s="4"/>
      <c r="W199" s="4"/>
      <c r="X199" s="67"/>
      <c r="Y199" s="67"/>
      <c r="Z199" s="67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3"/>
      <c r="M200" s="4"/>
      <c r="N200" s="3"/>
      <c r="O200" s="3"/>
      <c r="P200" s="4"/>
      <c r="Q200" s="4"/>
      <c r="R200" s="3"/>
      <c r="S200" s="4"/>
      <c r="T200" s="5"/>
      <c r="U200" s="4"/>
      <c r="V200" s="4"/>
      <c r="W200" s="4"/>
      <c r="X200" s="67"/>
      <c r="Y200" s="67"/>
      <c r="Z200" s="67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3"/>
      <c r="M201" s="4"/>
      <c r="N201" s="3"/>
      <c r="O201" s="3"/>
      <c r="P201" s="4"/>
      <c r="Q201" s="4"/>
      <c r="R201" s="3"/>
      <c r="S201" s="4"/>
      <c r="T201" s="5"/>
      <c r="U201" s="4"/>
      <c r="V201" s="4"/>
      <c r="W201" s="4"/>
      <c r="X201" s="67"/>
      <c r="Y201" s="67"/>
      <c r="Z201" s="67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4"/>
      <c r="N202" s="3"/>
      <c r="O202" s="3"/>
      <c r="P202" s="4"/>
      <c r="Q202" s="4"/>
      <c r="R202" s="3"/>
      <c r="S202" s="4"/>
      <c r="T202" s="5"/>
      <c r="U202" s="4"/>
      <c r="V202" s="4"/>
      <c r="W202" s="4"/>
      <c r="X202" s="67"/>
      <c r="Y202" s="67"/>
      <c r="Z202" s="67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4"/>
      <c r="N203" s="3"/>
      <c r="O203" s="3"/>
      <c r="P203" s="4"/>
      <c r="Q203" s="4"/>
      <c r="R203" s="3"/>
      <c r="S203" s="4"/>
      <c r="T203" s="5"/>
      <c r="U203" s="4"/>
      <c r="V203" s="4"/>
      <c r="W203" s="4"/>
      <c r="X203" s="67"/>
      <c r="Y203" s="67"/>
      <c r="Z203" s="67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4"/>
      <c r="N204" s="3"/>
      <c r="O204" s="3"/>
      <c r="P204" s="4"/>
      <c r="Q204" s="4"/>
      <c r="R204" s="3"/>
      <c r="S204" s="4"/>
      <c r="T204" s="5"/>
      <c r="U204" s="4"/>
      <c r="V204" s="4"/>
      <c r="W204" s="4"/>
      <c r="X204" s="67"/>
      <c r="Y204" s="67"/>
      <c r="Z204" s="67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4"/>
      <c r="N205" s="3"/>
      <c r="O205" s="3"/>
      <c r="P205" s="4"/>
      <c r="Q205" s="4"/>
      <c r="R205" s="3"/>
      <c r="S205" s="4"/>
      <c r="T205" s="5"/>
      <c r="U205" s="4"/>
      <c r="V205" s="4"/>
      <c r="W205" s="4"/>
      <c r="X205" s="67"/>
      <c r="Y205" s="67"/>
      <c r="Z205" s="67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4"/>
      <c r="N206" s="3"/>
      <c r="O206" s="3"/>
      <c r="P206" s="4"/>
      <c r="Q206" s="4"/>
      <c r="R206" s="3"/>
      <c r="S206" s="4"/>
      <c r="T206" s="5"/>
      <c r="U206" s="4"/>
      <c r="V206" s="4"/>
      <c r="W206" s="4"/>
      <c r="X206" s="67"/>
      <c r="Y206" s="67"/>
      <c r="Z206" s="67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  <c r="M207" s="4"/>
      <c r="N207" s="3"/>
      <c r="O207" s="3"/>
      <c r="P207" s="4"/>
      <c r="Q207" s="4"/>
      <c r="R207" s="3"/>
      <c r="S207" s="4"/>
      <c r="T207" s="5"/>
      <c r="U207" s="4"/>
      <c r="V207" s="4"/>
      <c r="W207" s="4"/>
      <c r="X207" s="67"/>
      <c r="Y207" s="67"/>
      <c r="Z207" s="67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  <c r="M208" s="4"/>
      <c r="N208" s="3"/>
      <c r="O208" s="3"/>
      <c r="P208" s="4"/>
      <c r="Q208" s="4"/>
      <c r="R208" s="3"/>
      <c r="S208" s="4"/>
      <c r="T208" s="5"/>
      <c r="U208" s="4"/>
      <c r="V208" s="4"/>
      <c r="W208" s="4"/>
      <c r="X208" s="67"/>
      <c r="Y208" s="67"/>
      <c r="Z208" s="67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  <c r="M209" s="4"/>
      <c r="N209" s="3"/>
      <c r="O209" s="3"/>
      <c r="P209" s="4"/>
      <c r="Q209" s="4"/>
      <c r="R209" s="3"/>
      <c r="S209" s="4"/>
      <c r="T209" s="5"/>
      <c r="U209" s="4"/>
      <c r="V209" s="4"/>
      <c r="W209" s="4"/>
      <c r="X209" s="67"/>
      <c r="Y209" s="67"/>
      <c r="Z209" s="67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  <c r="M210" s="4"/>
      <c r="N210" s="3"/>
      <c r="O210" s="3"/>
      <c r="P210" s="4"/>
      <c r="Q210" s="4"/>
      <c r="R210" s="3"/>
      <c r="S210" s="4"/>
      <c r="T210" s="5"/>
      <c r="U210" s="4"/>
      <c r="V210" s="4"/>
      <c r="W210" s="4"/>
      <c r="X210" s="67"/>
      <c r="Y210" s="67"/>
      <c r="Z210" s="67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  <c r="M211" s="4"/>
      <c r="N211" s="3"/>
      <c r="O211" s="3"/>
      <c r="P211" s="4"/>
      <c r="Q211" s="4"/>
      <c r="R211" s="3"/>
      <c r="S211" s="4"/>
      <c r="T211" s="5"/>
      <c r="U211" s="4"/>
      <c r="V211" s="4"/>
      <c r="W211" s="4"/>
      <c r="X211" s="67"/>
      <c r="Y211" s="67"/>
      <c r="Z211" s="67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  <c r="M212" s="4"/>
      <c r="N212" s="3"/>
      <c r="O212" s="3"/>
      <c r="P212" s="4"/>
      <c r="Q212" s="4"/>
      <c r="R212" s="3"/>
      <c r="S212" s="4"/>
      <c r="T212" s="5"/>
      <c r="U212" s="4"/>
      <c r="V212" s="4"/>
      <c r="W212" s="4"/>
      <c r="X212" s="67"/>
      <c r="Y212" s="67"/>
      <c r="Z212" s="67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  <c r="M213" s="4"/>
      <c r="N213" s="3"/>
      <c r="O213" s="3"/>
      <c r="P213" s="4"/>
      <c r="Q213" s="4"/>
      <c r="R213" s="3"/>
      <c r="S213" s="4"/>
      <c r="T213" s="5"/>
      <c r="U213" s="4"/>
      <c r="V213" s="4"/>
      <c r="W213" s="4"/>
      <c r="X213" s="67"/>
      <c r="Y213" s="67"/>
      <c r="Z213" s="67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  <c r="M214" s="4"/>
      <c r="N214" s="3"/>
      <c r="O214" s="3"/>
      <c r="P214" s="4"/>
      <c r="Q214" s="4"/>
      <c r="R214" s="3"/>
      <c r="S214" s="4"/>
      <c r="T214" s="5"/>
      <c r="U214" s="4"/>
      <c r="V214" s="4"/>
      <c r="W214" s="4"/>
      <c r="X214" s="67"/>
      <c r="Y214" s="67"/>
      <c r="Z214" s="67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  <c r="M215" s="4"/>
      <c r="N215" s="3"/>
      <c r="O215" s="3"/>
      <c r="P215" s="4"/>
      <c r="Q215" s="4"/>
      <c r="R215" s="3"/>
      <c r="S215" s="4"/>
      <c r="T215" s="5"/>
      <c r="U215" s="4"/>
      <c r="V215" s="4"/>
      <c r="W215" s="4"/>
      <c r="X215" s="67"/>
      <c r="Y215" s="67"/>
      <c r="Z215" s="67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  <c r="M216" s="4"/>
      <c r="N216" s="3"/>
      <c r="O216" s="3"/>
      <c r="P216" s="4"/>
      <c r="Q216" s="4"/>
      <c r="R216" s="3"/>
      <c r="S216" s="4"/>
      <c r="T216" s="5"/>
      <c r="U216" s="4"/>
      <c r="V216" s="4"/>
      <c r="W216" s="4"/>
      <c r="X216" s="67"/>
      <c r="Y216" s="67"/>
      <c r="Z216" s="67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  <c r="M217" s="4"/>
      <c r="N217" s="3"/>
      <c r="O217" s="3"/>
      <c r="P217" s="4"/>
      <c r="Q217" s="4"/>
      <c r="R217" s="3"/>
      <c r="S217" s="4"/>
      <c r="T217" s="5"/>
      <c r="U217" s="4"/>
      <c r="V217" s="4"/>
      <c r="W217" s="4"/>
      <c r="X217" s="67"/>
      <c r="Y217" s="67"/>
      <c r="Z217" s="67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  <c r="M218" s="4"/>
      <c r="N218" s="3"/>
      <c r="O218" s="3"/>
      <c r="P218" s="4"/>
      <c r="Q218" s="4"/>
      <c r="R218" s="3"/>
      <c r="S218" s="4"/>
      <c r="T218" s="5"/>
      <c r="U218" s="4"/>
      <c r="V218" s="4"/>
      <c r="W218" s="4"/>
      <c r="X218" s="67"/>
      <c r="Y218" s="67"/>
      <c r="Z218" s="67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  <c r="M219" s="4"/>
      <c r="N219" s="3"/>
      <c r="O219" s="3"/>
      <c r="P219" s="4"/>
      <c r="Q219" s="4"/>
      <c r="R219" s="3"/>
      <c r="S219" s="4"/>
      <c r="T219" s="5"/>
      <c r="U219" s="4"/>
      <c r="V219" s="4"/>
      <c r="W219" s="4"/>
      <c r="X219" s="67"/>
      <c r="Y219" s="67"/>
      <c r="Z219" s="67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  <c r="M220" s="4"/>
      <c r="N220" s="3"/>
      <c r="O220" s="3"/>
      <c r="P220" s="4"/>
      <c r="Q220" s="4"/>
      <c r="R220" s="3"/>
      <c r="S220" s="4"/>
      <c r="T220" s="5"/>
      <c r="U220" s="4"/>
      <c r="V220" s="4"/>
      <c r="W220" s="4"/>
      <c r="X220" s="67"/>
      <c r="Y220" s="67"/>
      <c r="Z220" s="67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  <c r="M221" s="4"/>
      <c r="N221" s="3"/>
      <c r="O221" s="3"/>
      <c r="P221" s="4"/>
      <c r="Q221" s="4"/>
      <c r="R221" s="3"/>
      <c r="S221" s="4"/>
      <c r="T221" s="5"/>
      <c r="U221" s="4"/>
      <c r="V221" s="4"/>
      <c r="W221" s="4"/>
      <c r="X221" s="67"/>
      <c r="Y221" s="67"/>
      <c r="Z221" s="67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  <c r="M222" s="4"/>
      <c r="N222" s="3"/>
      <c r="O222" s="3"/>
      <c r="P222" s="4"/>
      <c r="Q222" s="4"/>
      <c r="R222" s="3"/>
      <c r="S222" s="4"/>
      <c r="T222" s="5"/>
      <c r="U222" s="4"/>
      <c r="V222" s="4"/>
      <c r="W222" s="4"/>
      <c r="X222" s="67"/>
      <c r="Y222" s="67"/>
      <c r="Z222" s="67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  <c r="M223" s="4"/>
      <c r="N223" s="3"/>
      <c r="O223" s="3"/>
      <c r="P223" s="4"/>
      <c r="Q223" s="4"/>
      <c r="R223" s="3"/>
      <c r="S223" s="4"/>
      <c r="T223" s="5"/>
      <c r="U223" s="4"/>
      <c r="V223" s="4"/>
      <c r="W223" s="4"/>
      <c r="X223" s="67"/>
      <c r="Y223" s="67"/>
      <c r="Z223" s="67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  <c r="M224" s="4"/>
      <c r="N224" s="3"/>
      <c r="O224" s="3"/>
      <c r="P224" s="4"/>
      <c r="Q224" s="4"/>
      <c r="R224" s="3"/>
      <c r="S224" s="4"/>
      <c r="T224" s="5"/>
      <c r="U224" s="4"/>
      <c r="V224" s="4"/>
      <c r="W224" s="4"/>
      <c r="X224" s="67"/>
      <c r="Y224" s="67"/>
      <c r="Z224" s="67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  <c r="M225" s="4"/>
      <c r="N225" s="3"/>
      <c r="O225" s="3"/>
      <c r="P225" s="4"/>
      <c r="Q225" s="4"/>
      <c r="R225" s="3"/>
      <c r="S225" s="4"/>
      <c r="T225" s="5"/>
      <c r="U225" s="4"/>
      <c r="V225" s="4"/>
      <c r="W225" s="4"/>
      <c r="X225" s="67"/>
      <c r="Y225" s="67"/>
      <c r="Z225" s="67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  <c r="M226" s="4"/>
      <c r="N226" s="3"/>
      <c r="O226" s="3"/>
      <c r="P226" s="4"/>
      <c r="Q226" s="4"/>
      <c r="R226" s="3"/>
      <c r="S226" s="4"/>
      <c r="T226" s="5"/>
      <c r="U226" s="4"/>
      <c r="V226" s="4"/>
      <c r="W226" s="4"/>
      <c r="X226" s="67"/>
      <c r="Y226" s="67"/>
      <c r="Z226" s="67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  <c r="M227" s="4"/>
      <c r="N227" s="3"/>
      <c r="O227" s="3"/>
      <c r="P227" s="4"/>
      <c r="Q227" s="4"/>
      <c r="R227" s="3"/>
      <c r="S227" s="4"/>
      <c r="T227" s="5"/>
      <c r="U227" s="4"/>
      <c r="V227" s="4"/>
      <c r="W227" s="4"/>
      <c r="X227" s="67"/>
      <c r="Y227" s="67"/>
      <c r="Z227" s="67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  <c r="M228" s="4"/>
      <c r="N228" s="3"/>
      <c r="O228" s="3"/>
      <c r="P228" s="4"/>
      <c r="Q228" s="4"/>
      <c r="R228" s="3"/>
      <c r="S228" s="4"/>
      <c r="T228" s="5"/>
      <c r="U228" s="4"/>
      <c r="V228" s="4"/>
      <c r="W228" s="4"/>
      <c r="X228" s="67"/>
      <c r="Y228" s="67"/>
      <c r="Z228" s="67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  <c r="M229" s="4"/>
      <c r="N229" s="3"/>
      <c r="O229" s="3"/>
      <c r="P229" s="4"/>
      <c r="Q229" s="4"/>
      <c r="R229" s="3"/>
      <c r="S229" s="4"/>
      <c r="T229" s="5"/>
      <c r="U229" s="4"/>
      <c r="V229" s="4"/>
      <c r="W229" s="4"/>
      <c r="X229" s="67"/>
      <c r="Y229" s="67"/>
      <c r="Z229" s="67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  <c r="M230" s="4"/>
      <c r="N230" s="3"/>
      <c r="O230" s="3"/>
      <c r="P230" s="4"/>
      <c r="Q230" s="4"/>
      <c r="R230" s="3"/>
      <c r="S230" s="4"/>
      <c r="T230" s="5"/>
      <c r="U230" s="4"/>
      <c r="V230" s="4"/>
      <c r="W230" s="4"/>
      <c r="X230" s="67"/>
      <c r="Y230" s="67"/>
      <c r="Z230" s="67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3"/>
      <c r="M231" s="4"/>
      <c r="N231" s="3"/>
      <c r="O231" s="3"/>
      <c r="P231" s="4"/>
      <c r="Q231" s="4"/>
      <c r="R231" s="3"/>
      <c r="S231" s="4"/>
      <c r="T231" s="5"/>
      <c r="U231" s="4"/>
      <c r="V231" s="4"/>
      <c r="W231" s="4"/>
      <c r="X231" s="67"/>
      <c r="Y231" s="67"/>
      <c r="Z231" s="67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3"/>
      <c r="M232" s="4"/>
      <c r="N232" s="3"/>
      <c r="O232" s="3"/>
      <c r="P232" s="4"/>
      <c r="Q232" s="4"/>
      <c r="R232" s="3"/>
      <c r="S232" s="4"/>
      <c r="T232" s="5"/>
      <c r="U232" s="4"/>
      <c r="V232" s="4"/>
      <c r="W232" s="4"/>
      <c r="X232" s="67"/>
      <c r="Y232" s="67"/>
      <c r="Z232" s="67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3"/>
      <c r="M233" s="4"/>
      <c r="N233" s="3"/>
      <c r="O233" s="3"/>
      <c r="P233" s="4"/>
      <c r="Q233" s="4"/>
      <c r="R233" s="3"/>
      <c r="S233" s="4"/>
      <c r="T233" s="5"/>
      <c r="U233" s="4"/>
      <c r="V233" s="4"/>
      <c r="W233" s="4"/>
      <c r="X233" s="67"/>
      <c r="Y233" s="67"/>
      <c r="Z233" s="67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3"/>
      <c r="M234" s="4"/>
      <c r="N234" s="3"/>
      <c r="O234" s="3"/>
      <c r="P234" s="4"/>
      <c r="Q234" s="4"/>
      <c r="R234" s="3"/>
      <c r="S234" s="4"/>
      <c r="T234" s="5"/>
      <c r="U234" s="4"/>
      <c r="V234" s="4"/>
      <c r="W234" s="4"/>
      <c r="X234" s="67"/>
      <c r="Y234" s="67"/>
      <c r="Z234" s="67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3"/>
      <c r="M235" s="4"/>
      <c r="N235" s="3"/>
      <c r="O235" s="3"/>
      <c r="P235" s="4"/>
      <c r="Q235" s="4"/>
      <c r="R235" s="3"/>
      <c r="S235" s="4"/>
      <c r="T235" s="5"/>
      <c r="U235" s="4"/>
      <c r="V235" s="4"/>
      <c r="W235" s="4"/>
      <c r="X235" s="67"/>
      <c r="Y235" s="67"/>
      <c r="Z235" s="67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3"/>
      <c r="M236" s="4"/>
      <c r="N236" s="3"/>
      <c r="O236" s="3"/>
      <c r="P236" s="4"/>
      <c r="Q236" s="4"/>
      <c r="R236" s="3"/>
      <c r="S236" s="4"/>
      <c r="T236" s="5"/>
      <c r="U236" s="4"/>
      <c r="V236" s="4"/>
      <c r="W236" s="4"/>
      <c r="X236" s="67"/>
      <c r="Y236" s="67"/>
      <c r="Z236" s="67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3"/>
      <c r="M237" s="4"/>
      <c r="N237" s="3"/>
      <c r="O237" s="3"/>
      <c r="P237" s="4"/>
      <c r="Q237" s="4"/>
      <c r="R237" s="3"/>
      <c r="S237" s="4"/>
      <c r="T237" s="5"/>
      <c r="U237" s="4"/>
      <c r="V237" s="4"/>
      <c r="W237" s="4"/>
      <c r="X237" s="67"/>
      <c r="Y237" s="67"/>
      <c r="Z237" s="67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3"/>
      <c r="M238" s="4"/>
      <c r="N238" s="3"/>
      <c r="O238" s="3"/>
      <c r="P238" s="4"/>
      <c r="Q238" s="4"/>
      <c r="R238" s="3"/>
      <c r="S238" s="4"/>
      <c r="T238" s="5"/>
      <c r="U238" s="4"/>
      <c r="V238" s="4"/>
      <c r="W238" s="4"/>
      <c r="X238" s="67"/>
      <c r="Y238" s="67"/>
      <c r="Z238" s="67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3"/>
      <c r="M239" s="4"/>
      <c r="N239" s="3"/>
      <c r="O239" s="3"/>
      <c r="P239" s="4"/>
      <c r="Q239" s="4"/>
      <c r="R239" s="3"/>
      <c r="S239" s="4"/>
      <c r="T239" s="5"/>
      <c r="U239" s="4"/>
      <c r="V239" s="4"/>
      <c r="W239" s="4"/>
      <c r="X239" s="67"/>
      <c r="Y239" s="67"/>
      <c r="Z239" s="67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3"/>
      <c r="M240" s="4"/>
      <c r="N240" s="3"/>
      <c r="O240" s="3"/>
      <c r="P240" s="4"/>
      <c r="Q240" s="4"/>
      <c r="R240" s="3"/>
      <c r="S240" s="4"/>
      <c r="T240" s="5"/>
      <c r="U240" s="4"/>
      <c r="V240" s="4"/>
      <c r="W240" s="4"/>
      <c r="X240" s="67"/>
      <c r="Y240" s="67"/>
      <c r="Z240" s="67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3"/>
      <c r="M241" s="4"/>
      <c r="N241" s="3"/>
      <c r="O241" s="3"/>
      <c r="P241" s="4"/>
      <c r="Q241" s="4"/>
      <c r="R241" s="3"/>
      <c r="S241" s="4"/>
      <c r="T241" s="5"/>
      <c r="U241" s="4"/>
      <c r="V241" s="4"/>
      <c r="W241" s="4"/>
      <c r="X241" s="67"/>
      <c r="Y241" s="67"/>
      <c r="Z241" s="67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3"/>
      <c r="M242" s="4"/>
      <c r="N242" s="3"/>
      <c r="O242" s="3"/>
      <c r="P242" s="4"/>
      <c r="Q242" s="4"/>
      <c r="R242" s="3"/>
      <c r="S242" s="4"/>
      <c r="T242" s="5"/>
      <c r="U242" s="4"/>
      <c r="V242" s="4"/>
      <c r="W242" s="4"/>
      <c r="X242" s="67"/>
      <c r="Y242" s="67"/>
      <c r="Z242" s="67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3"/>
      <c r="M243" s="4"/>
      <c r="N243" s="3"/>
      <c r="O243" s="3"/>
      <c r="P243" s="4"/>
      <c r="Q243" s="4"/>
      <c r="R243" s="3"/>
      <c r="S243" s="4"/>
      <c r="T243" s="5"/>
      <c r="U243" s="4"/>
      <c r="V243" s="4"/>
      <c r="W243" s="4"/>
      <c r="X243" s="67"/>
      <c r="Y243" s="67"/>
      <c r="Z243" s="67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3"/>
      <c r="M244" s="4"/>
      <c r="N244" s="3"/>
      <c r="O244" s="3"/>
      <c r="P244" s="4"/>
      <c r="Q244" s="4"/>
      <c r="R244" s="3"/>
      <c r="S244" s="4"/>
      <c r="T244" s="5"/>
      <c r="U244" s="4"/>
      <c r="V244" s="4"/>
      <c r="W244" s="4"/>
      <c r="X244" s="67"/>
      <c r="Y244" s="67"/>
      <c r="Z244" s="67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4"/>
      <c r="N245" s="3"/>
      <c r="O245" s="3"/>
      <c r="P245" s="4"/>
      <c r="Q245" s="4"/>
      <c r="R245" s="3"/>
      <c r="S245" s="4"/>
      <c r="T245" s="5"/>
      <c r="U245" s="4"/>
      <c r="V245" s="4"/>
      <c r="W245" s="4"/>
      <c r="X245" s="67"/>
      <c r="Y245" s="67"/>
      <c r="Z245" s="67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4"/>
      <c r="N246" s="3"/>
      <c r="O246" s="3"/>
      <c r="P246" s="4"/>
      <c r="Q246" s="4"/>
      <c r="R246" s="3"/>
      <c r="S246" s="4"/>
      <c r="T246" s="5"/>
      <c r="U246" s="4"/>
      <c r="V246" s="4"/>
      <c r="W246" s="4"/>
      <c r="X246" s="67"/>
      <c r="Y246" s="67"/>
      <c r="Z246" s="67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3"/>
      <c r="M247" s="4"/>
      <c r="N247" s="3"/>
      <c r="O247" s="3"/>
      <c r="P247" s="4"/>
      <c r="Q247" s="4"/>
      <c r="R247" s="3"/>
      <c r="S247" s="4"/>
      <c r="T247" s="5"/>
      <c r="U247" s="4"/>
      <c r="V247" s="4"/>
      <c r="W247" s="4"/>
      <c r="X247" s="67"/>
      <c r="Y247" s="67"/>
      <c r="Z247" s="67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3"/>
      <c r="M248" s="4"/>
      <c r="N248" s="3"/>
      <c r="O248" s="3"/>
      <c r="P248" s="4"/>
      <c r="Q248" s="4"/>
      <c r="R248" s="3"/>
      <c r="S248" s="4"/>
      <c r="T248" s="5"/>
      <c r="U248" s="4"/>
      <c r="V248" s="4"/>
      <c r="W248" s="4"/>
      <c r="X248" s="67"/>
      <c r="Y248" s="67"/>
      <c r="Z248" s="67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3"/>
      <c r="M249" s="4"/>
      <c r="N249" s="3"/>
      <c r="O249" s="3"/>
      <c r="P249" s="4"/>
      <c r="Q249" s="4"/>
      <c r="R249" s="3"/>
      <c r="S249" s="4"/>
      <c r="T249" s="5"/>
      <c r="U249" s="4"/>
      <c r="V249" s="4"/>
      <c r="W249" s="4"/>
      <c r="X249" s="67"/>
      <c r="Y249" s="67"/>
      <c r="Z249" s="67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3"/>
      <c r="M250" s="4"/>
      <c r="N250" s="3"/>
      <c r="O250" s="3"/>
      <c r="P250" s="4"/>
      <c r="Q250" s="4"/>
      <c r="R250" s="3"/>
      <c r="S250" s="4"/>
      <c r="T250" s="5"/>
      <c r="U250" s="4"/>
      <c r="V250" s="4"/>
      <c r="W250" s="4"/>
      <c r="X250" s="67"/>
      <c r="Y250" s="67"/>
      <c r="Z250" s="67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3"/>
      <c r="M251" s="4"/>
      <c r="N251" s="3"/>
      <c r="O251" s="3"/>
      <c r="P251" s="4"/>
      <c r="Q251" s="4"/>
      <c r="R251" s="3"/>
      <c r="S251" s="4"/>
      <c r="T251" s="5"/>
      <c r="U251" s="4"/>
      <c r="V251" s="4"/>
      <c r="W251" s="4"/>
      <c r="X251" s="67"/>
      <c r="Y251" s="67"/>
      <c r="Z251" s="67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3"/>
      <c r="M252" s="4"/>
      <c r="N252" s="3"/>
      <c r="O252" s="3"/>
      <c r="P252" s="4"/>
      <c r="Q252" s="4"/>
      <c r="R252" s="3"/>
      <c r="S252" s="4"/>
      <c r="T252" s="5"/>
      <c r="U252" s="4"/>
      <c r="V252" s="4"/>
      <c r="W252" s="4"/>
      <c r="X252" s="67"/>
      <c r="Y252" s="67"/>
      <c r="Z252" s="67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3"/>
      <c r="M253" s="4"/>
      <c r="N253" s="3"/>
      <c r="O253" s="3"/>
      <c r="P253" s="4"/>
      <c r="Q253" s="4"/>
      <c r="R253" s="3"/>
      <c r="S253" s="4"/>
      <c r="T253" s="5"/>
      <c r="U253" s="4"/>
      <c r="V253" s="4"/>
      <c r="W253" s="4"/>
      <c r="X253" s="67"/>
      <c r="Y253" s="67"/>
      <c r="Z253" s="67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3"/>
      <c r="M254" s="4"/>
      <c r="N254" s="3"/>
      <c r="O254" s="3"/>
      <c r="P254" s="4"/>
      <c r="Q254" s="4"/>
      <c r="R254" s="3"/>
      <c r="S254" s="4"/>
      <c r="T254" s="5"/>
      <c r="U254" s="4"/>
      <c r="V254" s="4"/>
      <c r="W254" s="4"/>
      <c r="X254" s="67"/>
      <c r="Y254" s="67"/>
      <c r="Z254" s="67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3"/>
      <c r="M255" s="4"/>
      <c r="N255" s="3"/>
      <c r="O255" s="3"/>
      <c r="P255" s="4"/>
      <c r="Q255" s="4"/>
      <c r="R255" s="3"/>
      <c r="S255" s="4"/>
      <c r="T255" s="5"/>
      <c r="U255" s="4"/>
      <c r="V255" s="4"/>
      <c r="W255" s="4"/>
      <c r="X255" s="67"/>
      <c r="Y255" s="67"/>
      <c r="Z255" s="67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3"/>
      <c r="M256" s="4"/>
      <c r="N256" s="3"/>
      <c r="O256" s="3"/>
      <c r="P256" s="4"/>
      <c r="Q256" s="4"/>
      <c r="R256" s="3"/>
      <c r="S256" s="4"/>
      <c r="T256" s="5"/>
      <c r="U256" s="4"/>
      <c r="V256" s="4"/>
      <c r="W256" s="4"/>
      <c r="X256" s="67"/>
      <c r="Y256" s="67"/>
      <c r="Z256" s="67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3"/>
      <c r="M257" s="4"/>
      <c r="N257" s="3"/>
      <c r="O257" s="3"/>
      <c r="P257" s="4"/>
      <c r="Q257" s="4"/>
      <c r="R257" s="3"/>
      <c r="S257" s="4"/>
      <c r="T257" s="5"/>
      <c r="U257" s="4"/>
      <c r="V257" s="4"/>
      <c r="W257" s="4"/>
      <c r="X257" s="67"/>
      <c r="Y257" s="67"/>
      <c r="Z257" s="67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3"/>
      <c r="M258" s="4"/>
      <c r="N258" s="3"/>
      <c r="O258" s="3"/>
      <c r="P258" s="4"/>
      <c r="Q258" s="4"/>
      <c r="R258" s="3"/>
      <c r="S258" s="4"/>
      <c r="T258" s="5"/>
      <c r="U258" s="4"/>
      <c r="V258" s="4"/>
      <c r="W258" s="4"/>
      <c r="X258" s="67"/>
      <c r="Y258" s="67"/>
      <c r="Z258" s="67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3"/>
      <c r="M259" s="4"/>
      <c r="N259" s="3"/>
      <c r="O259" s="3"/>
      <c r="P259" s="4"/>
      <c r="Q259" s="4"/>
      <c r="R259" s="3"/>
      <c r="S259" s="4"/>
      <c r="T259" s="5"/>
      <c r="U259" s="4"/>
      <c r="V259" s="4"/>
      <c r="W259" s="4"/>
      <c r="X259" s="67"/>
      <c r="Y259" s="67"/>
      <c r="Z259" s="67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3"/>
      <c r="M260" s="4"/>
      <c r="N260" s="3"/>
      <c r="O260" s="3"/>
      <c r="P260" s="4"/>
      <c r="Q260" s="4"/>
      <c r="R260" s="3"/>
      <c r="S260" s="4"/>
      <c r="T260" s="5"/>
      <c r="U260" s="4"/>
      <c r="V260" s="4"/>
      <c r="W260" s="4"/>
      <c r="X260" s="67"/>
      <c r="Y260" s="67"/>
      <c r="Z260" s="67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3"/>
      <c r="M261" s="4"/>
      <c r="N261" s="3"/>
      <c r="O261" s="3"/>
      <c r="P261" s="4"/>
      <c r="Q261" s="4"/>
      <c r="R261" s="3"/>
      <c r="S261" s="4"/>
      <c r="T261" s="5"/>
      <c r="U261" s="4"/>
      <c r="V261" s="4"/>
      <c r="W261" s="4"/>
      <c r="X261" s="67"/>
      <c r="Y261" s="67"/>
      <c r="Z261" s="67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3"/>
      <c r="M262" s="4"/>
      <c r="N262" s="3"/>
      <c r="O262" s="3"/>
      <c r="P262" s="4"/>
      <c r="Q262" s="4"/>
      <c r="R262" s="3"/>
      <c r="S262" s="4"/>
      <c r="T262" s="5"/>
      <c r="U262" s="4"/>
      <c r="V262" s="4"/>
      <c r="W262" s="4"/>
      <c r="X262" s="67"/>
      <c r="Y262" s="67"/>
      <c r="Z262" s="67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3"/>
      <c r="M263" s="4"/>
      <c r="N263" s="3"/>
      <c r="O263" s="3"/>
      <c r="P263" s="4"/>
      <c r="Q263" s="4"/>
      <c r="R263" s="3"/>
      <c r="S263" s="4"/>
      <c r="T263" s="5"/>
      <c r="U263" s="4"/>
      <c r="V263" s="4"/>
      <c r="W263" s="4"/>
      <c r="X263" s="67"/>
      <c r="Y263" s="67"/>
      <c r="Z263" s="67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3"/>
      <c r="M264" s="4"/>
      <c r="N264" s="3"/>
      <c r="O264" s="3"/>
      <c r="P264" s="4"/>
      <c r="Q264" s="4"/>
      <c r="R264" s="3"/>
      <c r="S264" s="4"/>
      <c r="T264" s="5"/>
      <c r="U264" s="4"/>
      <c r="V264" s="4"/>
      <c r="W264" s="4"/>
      <c r="X264" s="67"/>
      <c r="Y264" s="67"/>
      <c r="Z264" s="67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3"/>
      <c r="M265" s="4"/>
      <c r="N265" s="3"/>
      <c r="O265" s="3"/>
      <c r="P265" s="4"/>
      <c r="Q265" s="4"/>
      <c r="R265" s="3"/>
      <c r="S265" s="4"/>
      <c r="T265" s="5"/>
      <c r="U265" s="4"/>
      <c r="V265" s="4"/>
      <c r="W265" s="4"/>
      <c r="X265" s="67"/>
      <c r="Y265" s="67"/>
      <c r="Z265" s="67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3"/>
      <c r="M266" s="4"/>
      <c r="N266" s="3"/>
      <c r="O266" s="3"/>
      <c r="P266" s="4"/>
      <c r="Q266" s="4"/>
      <c r="R266" s="3"/>
      <c r="S266" s="4"/>
      <c r="T266" s="5"/>
      <c r="U266" s="4"/>
      <c r="V266" s="4"/>
      <c r="W266" s="4"/>
      <c r="X266" s="67"/>
      <c r="Y266" s="67"/>
      <c r="Z266" s="67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3"/>
      <c r="M267" s="4"/>
      <c r="N267" s="3"/>
      <c r="O267" s="3"/>
      <c r="P267" s="4"/>
      <c r="Q267" s="4"/>
      <c r="R267" s="3"/>
      <c r="S267" s="4"/>
      <c r="T267" s="5"/>
      <c r="U267" s="4"/>
      <c r="V267" s="4"/>
      <c r="W267" s="4"/>
      <c r="X267" s="67"/>
      <c r="Y267" s="67"/>
      <c r="Z267" s="67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3"/>
      <c r="M268" s="4"/>
      <c r="N268" s="3"/>
      <c r="O268" s="3"/>
      <c r="P268" s="4"/>
      <c r="Q268" s="4"/>
      <c r="R268" s="3"/>
      <c r="S268" s="4"/>
      <c r="T268" s="5"/>
      <c r="U268" s="4"/>
      <c r="V268" s="4"/>
      <c r="W268" s="4"/>
      <c r="X268" s="67"/>
      <c r="Y268" s="67"/>
      <c r="Z268" s="67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3"/>
      <c r="M269" s="4"/>
      <c r="N269" s="3"/>
      <c r="O269" s="3"/>
      <c r="P269" s="4"/>
      <c r="Q269" s="4"/>
      <c r="R269" s="3"/>
      <c r="S269" s="4"/>
      <c r="T269" s="5"/>
      <c r="U269" s="4"/>
      <c r="V269" s="4"/>
      <c r="W269" s="4"/>
      <c r="X269" s="67"/>
      <c r="Y269" s="67"/>
      <c r="Z269" s="67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3"/>
      <c r="M270" s="4"/>
      <c r="N270" s="3"/>
      <c r="O270" s="3"/>
      <c r="P270" s="4"/>
      <c r="Q270" s="4"/>
      <c r="R270" s="3"/>
      <c r="S270" s="4"/>
      <c r="T270" s="5"/>
      <c r="U270" s="4"/>
      <c r="V270" s="4"/>
      <c r="W270" s="4"/>
      <c r="X270" s="67"/>
      <c r="Y270" s="67"/>
      <c r="Z270" s="67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3"/>
      <c r="M271" s="4"/>
      <c r="N271" s="3"/>
      <c r="O271" s="3"/>
      <c r="P271" s="4"/>
      <c r="Q271" s="4"/>
      <c r="R271" s="3"/>
      <c r="S271" s="4"/>
      <c r="T271" s="5"/>
      <c r="U271" s="4"/>
      <c r="V271" s="4"/>
      <c r="W271" s="4"/>
      <c r="X271" s="67"/>
      <c r="Y271" s="67"/>
      <c r="Z271" s="67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3"/>
      <c r="M272" s="4"/>
      <c r="N272" s="3"/>
      <c r="O272" s="3"/>
      <c r="P272" s="4"/>
      <c r="Q272" s="4"/>
      <c r="R272" s="3"/>
      <c r="S272" s="4"/>
      <c r="T272" s="5"/>
      <c r="U272" s="4"/>
      <c r="V272" s="4"/>
      <c r="W272" s="4"/>
      <c r="X272" s="67"/>
      <c r="Y272" s="67"/>
      <c r="Z272" s="67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3"/>
      <c r="M273" s="4"/>
      <c r="N273" s="3"/>
      <c r="O273" s="3"/>
      <c r="P273" s="4"/>
      <c r="Q273" s="4"/>
      <c r="R273" s="3"/>
      <c r="S273" s="4"/>
      <c r="T273" s="5"/>
      <c r="U273" s="4"/>
      <c r="V273" s="4"/>
      <c r="W273" s="4"/>
      <c r="X273" s="67"/>
      <c r="Y273" s="67"/>
      <c r="Z273" s="67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  <c r="M274" s="4"/>
      <c r="N274" s="3"/>
      <c r="O274" s="3"/>
      <c r="P274" s="4"/>
      <c r="Q274" s="4"/>
      <c r="R274" s="3"/>
      <c r="S274" s="4"/>
      <c r="T274" s="5"/>
      <c r="U274" s="4"/>
      <c r="V274" s="4"/>
      <c r="W274" s="4"/>
      <c r="X274" s="67"/>
      <c r="Y274" s="67"/>
      <c r="Z274" s="67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  <c r="M275" s="4"/>
      <c r="N275" s="3"/>
      <c r="O275" s="3"/>
      <c r="P275" s="4"/>
      <c r="Q275" s="4"/>
      <c r="R275" s="3"/>
      <c r="S275" s="4"/>
      <c r="T275" s="5"/>
      <c r="U275" s="4"/>
      <c r="V275" s="4"/>
      <c r="W275" s="4"/>
      <c r="X275" s="67"/>
      <c r="Y275" s="67"/>
      <c r="Z275" s="67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  <c r="M276" s="4"/>
      <c r="N276" s="3"/>
      <c r="O276" s="3"/>
      <c r="P276" s="4"/>
      <c r="Q276" s="4"/>
      <c r="R276" s="3"/>
      <c r="S276" s="4"/>
      <c r="T276" s="5"/>
      <c r="U276" s="4"/>
      <c r="V276" s="4"/>
      <c r="W276" s="4"/>
      <c r="X276" s="67"/>
      <c r="Y276" s="67"/>
      <c r="Z276" s="67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  <c r="M277" s="4"/>
      <c r="N277" s="3"/>
      <c r="O277" s="3"/>
      <c r="P277" s="4"/>
      <c r="Q277" s="4"/>
      <c r="R277" s="3"/>
      <c r="S277" s="4"/>
      <c r="T277" s="5"/>
      <c r="U277" s="4"/>
      <c r="V277" s="4"/>
      <c r="W277" s="4"/>
      <c r="X277" s="67"/>
      <c r="Y277" s="67"/>
      <c r="Z277" s="67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  <c r="M278" s="4"/>
      <c r="N278" s="3"/>
      <c r="O278" s="3"/>
      <c r="P278" s="4"/>
      <c r="Q278" s="4"/>
      <c r="R278" s="3"/>
      <c r="S278" s="4"/>
      <c r="T278" s="5"/>
      <c r="U278" s="4"/>
      <c r="V278" s="4"/>
      <c r="W278" s="4"/>
      <c r="X278" s="67"/>
      <c r="Y278" s="67"/>
      <c r="Z278" s="67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4"/>
      <c r="N279" s="3"/>
      <c r="O279" s="3"/>
      <c r="P279" s="4"/>
      <c r="Q279" s="4"/>
      <c r="R279" s="3"/>
      <c r="S279" s="4"/>
      <c r="T279" s="5"/>
      <c r="U279" s="4"/>
      <c r="V279" s="4"/>
      <c r="W279" s="4"/>
      <c r="X279" s="67"/>
      <c r="Y279" s="67"/>
      <c r="Z279" s="67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4"/>
      <c r="N280" s="3"/>
      <c r="O280" s="3"/>
      <c r="P280" s="4"/>
      <c r="Q280" s="4"/>
      <c r="R280" s="3"/>
      <c r="S280" s="4"/>
      <c r="T280" s="5"/>
      <c r="U280" s="4"/>
      <c r="V280" s="4"/>
      <c r="W280" s="4"/>
      <c r="X280" s="67"/>
      <c r="Y280" s="67"/>
      <c r="Z280" s="67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  <c r="M281" s="4"/>
      <c r="N281" s="3"/>
      <c r="O281" s="3"/>
      <c r="P281" s="4"/>
      <c r="Q281" s="4"/>
      <c r="R281" s="3"/>
      <c r="S281" s="4"/>
      <c r="T281" s="5"/>
      <c r="U281" s="4"/>
      <c r="V281" s="4"/>
      <c r="W281" s="4"/>
      <c r="X281" s="67"/>
      <c r="Y281" s="67"/>
      <c r="Z281" s="67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  <c r="M282" s="4"/>
      <c r="N282" s="3"/>
      <c r="O282" s="3"/>
      <c r="P282" s="4"/>
      <c r="Q282" s="4"/>
      <c r="R282" s="3"/>
      <c r="S282" s="4"/>
      <c r="T282" s="5"/>
      <c r="U282" s="4"/>
      <c r="V282" s="4"/>
      <c r="W282" s="4"/>
      <c r="X282" s="67"/>
      <c r="Y282" s="67"/>
      <c r="Z282" s="67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  <c r="M283" s="4"/>
      <c r="N283" s="3"/>
      <c r="O283" s="3"/>
      <c r="P283" s="4"/>
      <c r="Q283" s="4"/>
      <c r="R283" s="3"/>
      <c r="S283" s="4"/>
      <c r="T283" s="5"/>
      <c r="U283" s="4"/>
      <c r="V283" s="4"/>
      <c r="W283" s="4"/>
      <c r="X283" s="67"/>
      <c r="Y283" s="67"/>
      <c r="Z283" s="67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  <c r="M284" s="4"/>
      <c r="N284" s="3"/>
      <c r="O284" s="3"/>
      <c r="P284" s="4"/>
      <c r="Q284" s="4"/>
      <c r="R284" s="3"/>
      <c r="S284" s="4"/>
      <c r="T284" s="5"/>
      <c r="U284" s="4"/>
      <c r="V284" s="4"/>
      <c r="W284" s="4"/>
      <c r="X284" s="67"/>
      <c r="Y284" s="67"/>
      <c r="Z284" s="67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  <c r="M285" s="4"/>
      <c r="N285" s="3"/>
      <c r="O285" s="3"/>
      <c r="P285" s="4"/>
      <c r="Q285" s="4"/>
      <c r="R285" s="3"/>
      <c r="S285" s="4"/>
      <c r="T285" s="5"/>
      <c r="U285" s="4"/>
      <c r="V285" s="4"/>
      <c r="W285" s="4"/>
      <c r="X285" s="67"/>
      <c r="Y285" s="67"/>
      <c r="Z285" s="67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4"/>
      <c r="N286" s="3"/>
      <c r="O286" s="3"/>
      <c r="P286" s="4"/>
      <c r="Q286" s="4"/>
      <c r="R286" s="3"/>
      <c r="S286" s="4"/>
      <c r="T286" s="5"/>
      <c r="U286" s="4"/>
      <c r="V286" s="4"/>
      <c r="W286" s="4"/>
      <c r="X286" s="67"/>
      <c r="Y286" s="67"/>
      <c r="Z286" s="67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  <c r="M287" s="4"/>
      <c r="N287" s="3"/>
      <c r="O287" s="3"/>
      <c r="P287" s="4"/>
      <c r="Q287" s="4"/>
      <c r="R287" s="3"/>
      <c r="S287" s="4"/>
      <c r="T287" s="5"/>
      <c r="U287" s="4"/>
      <c r="V287" s="4"/>
      <c r="W287" s="4"/>
      <c r="X287" s="67"/>
      <c r="Y287" s="67"/>
      <c r="Z287" s="67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  <c r="M288" s="4"/>
      <c r="N288" s="3"/>
      <c r="O288" s="3"/>
      <c r="P288" s="4"/>
      <c r="Q288" s="4"/>
      <c r="R288" s="3"/>
      <c r="S288" s="4"/>
      <c r="T288" s="5"/>
      <c r="U288" s="4"/>
      <c r="V288" s="4"/>
      <c r="W288" s="4"/>
      <c r="X288" s="67"/>
      <c r="Y288" s="67"/>
      <c r="Z288" s="67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  <c r="M289" s="4"/>
      <c r="N289" s="3"/>
      <c r="O289" s="3"/>
      <c r="P289" s="4"/>
      <c r="Q289" s="4"/>
      <c r="R289" s="3"/>
      <c r="S289" s="4"/>
      <c r="T289" s="5"/>
      <c r="U289" s="4"/>
      <c r="V289" s="4"/>
      <c r="W289" s="4"/>
      <c r="X289" s="67"/>
      <c r="Y289" s="67"/>
      <c r="Z289" s="67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  <c r="M290" s="4"/>
      <c r="N290" s="3"/>
      <c r="O290" s="3"/>
      <c r="P290" s="4"/>
      <c r="Q290" s="4"/>
      <c r="R290" s="3"/>
      <c r="S290" s="4"/>
      <c r="T290" s="5"/>
      <c r="U290" s="4"/>
      <c r="V290" s="4"/>
      <c r="W290" s="4"/>
      <c r="X290" s="67"/>
      <c r="Y290" s="67"/>
      <c r="Z290" s="67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  <c r="M291" s="4"/>
      <c r="N291" s="3"/>
      <c r="O291" s="3"/>
      <c r="P291" s="4"/>
      <c r="Q291" s="4"/>
      <c r="R291" s="3"/>
      <c r="S291" s="4"/>
      <c r="T291" s="5"/>
      <c r="U291" s="4"/>
      <c r="V291" s="4"/>
      <c r="W291" s="4"/>
      <c r="X291" s="67"/>
      <c r="Y291" s="67"/>
      <c r="Z291" s="67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  <c r="M292" s="4"/>
      <c r="N292" s="3"/>
      <c r="O292" s="3"/>
      <c r="P292" s="4"/>
      <c r="Q292" s="4"/>
      <c r="R292" s="3"/>
      <c r="S292" s="4"/>
      <c r="T292" s="5"/>
      <c r="U292" s="4"/>
      <c r="V292" s="4"/>
      <c r="W292" s="4"/>
      <c r="X292" s="67"/>
      <c r="Y292" s="67"/>
      <c r="Z292" s="67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4"/>
      <c r="N293" s="3"/>
      <c r="O293" s="3"/>
      <c r="P293" s="4"/>
      <c r="Q293" s="4"/>
      <c r="R293" s="3"/>
      <c r="S293" s="4"/>
      <c r="T293" s="5"/>
      <c r="U293" s="4"/>
      <c r="V293" s="4"/>
      <c r="W293" s="4"/>
      <c r="X293" s="67"/>
      <c r="Y293" s="67"/>
      <c r="Z293" s="67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4"/>
      <c r="N294" s="3"/>
      <c r="O294" s="3"/>
      <c r="P294" s="4"/>
      <c r="Q294" s="4"/>
      <c r="R294" s="3"/>
      <c r="S294" s="4"/>
      <c r="T294" s="5"/>
      <c r="U294" s="4"/>
      <c r="V294" s="4"/>
      <c r="W294" s="4"/>
      <c r="X294" s="67"/>
      <c r="Y294" s="67"/>
      <c r="Z294" s="67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4"/>
      <c r="N295" s="3"/>
      <c r="O295" s="3"/>
      <c r="P295" s="4"/>
      <c r="Q295" s="4"/>
      <c r="R295" s="3"/>
      <c r="S295" s="4"/>
      <c r="T295" s="5"/>
      <c r="U295" s="4"/>
      <c r="V295" s="4"/>
      <c r="W295" s="4"/>
      <c r="X295" s="67"/>
      <c r="Y295" s="67"/>
      <c r="Z295" s="67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4"/>
      <c r="N296" s="3"/>
      <c r="O296" s="3"/>
      <c r="P296" s="4"/>
      <c r="Q296" s="4"/>
      <c r="R296" s="3"/>
      <c r="S296" s="4"/>
      <c r="T296" s="5"/>
      <c r="U296" s="4"/>
      <c r="V296" s="4"/>
      <c r="W296" s="4"/>
      <c r="X296" s="67"/>
      <c r="Y296" s="67"/>
      <c r="Z296" s="67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4"/>
      <c r="N297" s="3"/>
      <c r="O297" s="3"/>
      <c r="P297" s="4"/>
      <c r="Q297" s="4"/>
      <c r="R297" s="3"/>
      <c r="S297" s="4"/>
      <c r="T297" s="5"/>
      <c r="U297" s="4"/>
      <c r="V297" s="4"/>
      <c r="W297" s="4"/>
      <c r="X297" s="67"/>
      <c r="Y297" s="67"/>
      <c r="Z297" s="67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4"/>
      <c r="N298" s="3"/>
      <c r="O298" s="3"/>
      <c r="P298" s="4"/>
      <c r="Q298" s="4"/>
      <c r="R298" s="3"/>
      <c r="S298" s="4"/>
      <c r="T298" s="5"/>
      <c r="U298" s="4"/>
      <c r="V298" s="4"/>
      <c r="W298" s="4"/>
      <c r="X298" s="67"/>
      <c r="Y298" s="67"/>
      <c r="Z298" s="67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3"/>
      <c r="M299" s="4"/>
      <c r="N299" s="3"/>
      <c r="O299" s="3"/>
      <c r="P299" s="4"/>
      <c r="Q299" s="4"/>
      <c r="R299" s="3"/>
      <c r="S299" s="4"/>
      <c r="T299" s="5"/>
      <c r="U299" s="4"/>
      <c r="V299" s="4"/>
      <c r="W299" s="4"/>
      <c r="X299" s="67"/>
      <c r="Y299" s="67"/>
      <c r="Z299" s="67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3"/>
      <c r="M300" s="4"/>
      <c r="N300" s="3"/>
      <c r="O300" s="3"/>
      <c r="P300" s="4"/>
      <c r="Q300" s="4"/>
      <c r="R300" s="3"/>
      <c r="S300" s="4"/>
      <c r="T300" s="5"/>
      <c r="U300" s="4"/>
      <c r="V300" s="4"/>
      <c r="W300" s="4"/>
      <c r="X300" s="67"/>
      <c r="Y300" s="67"/>
      <c r="Z300" s="67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3"/>
      <c r="M301" s="4"/>
      <c r="N301" s="3"/>
      <c r="O301" s="3"/>
      <c r="P301" s="4"/>
      <c r="Q301" s="4"/>
      <c r="R301" s="3"/>
      <c r="S301" s="4"/>
      <c r="T301" s="5"/>
      <c r="U301" s="4"/>
      <c r="V301" s="4"/>
      <c r="W301" s="4"/>
      <c r="X301" s="67"/>
      <c r="Y301" s="67"/>
      <c r="Z301" s="67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3"/>
      <c r="M302" s="4"/>
      <c r="N302" s="3"/>
      <c r="O302" s="3"/>
      <c r="P302" s="4"/>
      <c r="Q302" s="4"/>
      <c r="R302" s="3"/>
      <c r="S302" s="4"/>
      <c r="T302" s="5"/>
      <c r="U302" s="4"/>
      <c r="V302" s="4"/>
      <c r="W302" s="4"/>
      <c r="X302" s="67"/>
      <c r="Y302" s="67"/>
      <c r="Z302" s="67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3"/>
      <c r="M303" s="4"/>
      <c r="N303" s="3"/>
      <c r="O303" s="3"/>
      <c r="P303" s="4"/>
      <c r="Q303" s="4"/>
      <c r="R303" s="3"/>
      <c r="S303" s="4"/>
      <c r="T303" s="5"/>
      <c r="U303" s="4"/>
      <c r="V303" s="4"/>
      <c r="W303" s="4"/>
      <c r="X303" s="67"/>
      <c r="Y303" s="67"/>
      <c r="Z303" s="67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3"/>
      <c r="M304" s="4"/>
      <c r="N304" s="3"/>
      <c r="O304" s="3"/>
      <c r="P304" s="4"/>
      <c r="Q304" s="4"/>
      <c r="R304" s="3"/>
      <c r="S304" s="4"/>
      <c r="T304" s="5"/>
      <c r="U304" s="4"/>
      <c r="V304" s="4"/>
      <c r="W304" s="4"/>
      <c r="X304" s="67"/>
      <c r="Y304" s="67"/>
      <c r="Z304" s="67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4"/>
      <c r="N305" s="3"/>
      <c r="O305" s="3"/>
      <c r="P305" s="4"/>
      <c r="Q305" s="4"/>
      <c r="R305" s="3"/>
      <c r="S305" s="4"/>
      <c r="T305" s="5"/>
      <c r="U305" s="4"/>
      <c r="V305" s="4"/>
      <c r="W305" s="4"/>
      <c r="X305" s="67"/>
      <c r="Y305" s="67"/>
      <c r="Z305" s="67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4"/>
      <c r="N306" s="3"/>
      <c r="O306" s="3"/>
      <c r="P306" s="4"/>
      <c r="Q306" s="4"/>
      <c r="R306" s="3"/>
      <c r="S306" s="4"/>
      <c r="T306" s="5"/>
      <c r="U306" s="4"/>
      <c r="V306" s="4"/>
      <c r="W306" s="4"/>
      <c r="X306" s="67"/>
      <c r="Y306" s="67"/>
      <c r="Z306" s="67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4"/>
      <c r="N307" s="3"/>
      <c r="O307" s="3"/>
      <c r="P307" s="4"/>
      <c r="Q307" s="4"/>
      <c r="R307" s="3"/>
      <c r="S307" s="4"/>
      <c r="T307" s="5"/>
      <c r="U307" s="4"/>
      <c r="V307" s="4"/>
      <c r="W307" s="4"/>
      <c r="X307" s="67"/>
      <c r="Y307" s="67"/>
      <c r="Z307" s="67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4"/>
      <c r="N308" s="3"/>
      <c r="O308" s="3"/>
      <c r="P308" s="4"/>
      <c r="Q308" s="4"/>
      <c r="R308" s="3"/>
      <c r="S308" s="4"/>
      <c r="T308" s="5"/>
      <c r="U308" s="4"/>
      <c r="V308" s="4"/>
      <c r="W308" s="4"/>
      <c r="X308" s="67"/>
      <c r="Y308" s="67"/>
      <c r="Z308" s="67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4"/>
      <c r="N309" s="3"/>
      <c r="O309" s="3"/>
      <c r="P309" s="4"/>
      <c r="Q309" s="4"/>
      <c r="R309" s="3"/>
      <c r="S309" s="4"/>
      <c r="T309" s="5"/>
      <c r="U309" s="4"/>
      <c r="V309" s="4"/>
      <c r="W309" s="4"/>
      <c r="X309" s="67"/>
      <c r="Y309" s="67"/>
      <c r="Z309" s="67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4"/>
      <c r="N310" s="3"/>
      <c r="O310" s="3"/>
      <c r="P310" s="4"/>
      <c r="Q310" s="4"/>
      <c r="R310" s="3"/>
      <c r="S310" s="4"/>
      <c r="T310" s="5"/>
      <c r="U310" s="4"/>
      <c r="V310" s="4"/>
      <c r="W310" s="4"/>
      <c r="X310" s="67"/>
      <c r="Y310" s="67"/>
      <c r="Z310" s="67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4"/>
      <c r="N311" s="3"/>
      <c r="O311" s="3"/>
      <c r="P311" s="4"/>
      <c r="Q311" s="4"/>
      <c r="R311" s="3"/>
      <c r="S311" s="4"/>
      <c r="T311" s="5"/>
      <c r="U311" s="4"/>
      <c r="V311" s="4"/>
      <c r="W311" s="4"/>
      <c r="X311" s="67"/>
      <c r="Y311" s="67"/>
      <c r="Z311" s="67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4"/>
      <c r="N312" s="3"/>
      <c r="O312" s="3"/>
      <c r="P312" s="4"/>
      <c r="Q312" s="4"/>
      <c r="R312" s="3"/>
      <c r="S312" s="4"/>
      <c r="T312" s="5"/>
      <c r="U312" s="4"/>
      <c r="V312" s="4"/>
      <c r="W312" s="4"/>
      <c r="X312" s="67"/>
      <c r="Y312" s="67"/>
      <c r="Z312" s="67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4"/>
      <c r="N313" s="3"/>
      <c r="O313" s="3"/>
      <c r="P313" s="4"/>
      <c r="Q313" s="4"/>
      <c r="R313" s="3"/>
      <c r="S313" s="4"/>
      <c r="T313" s="5"/>
      <c r="U313" s="4"/>
      <c r="V313" s="4"/>
      <c r="W313" s="4"/>
      <c r="X313" s="67"/>
      <c r="Y313" s="67"/>
      <c r="Z313" s="67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3"/>
      <c r="M314" s="4"/>
      <c r="N314" s="3"/>
      <c r="O314" s="3"/>
      <c r="P314" s="4"/>
      <c r="Q314" s="4"/>
      <c r="R314" s="3"/>
      <c r="S314" s="4"/>
      <c r="T314" s="5"/>
      <c r="U314" s="4"/>
      <c r="V314" s="4"/>
      <c r="W314" s="4"/>
      <c r="X314" s="67"/>
      <c r="Y314" s="67"/>
      <c r="Z314" s="67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4"/>
      <c r="N315" s="3"/>
      <c r="O315" s="3"/>
      <c r="P315" s="4"/>
      <c r="Q315" s="4"/>
      <c r="R315" s="3"/>
      <c r="S315" s="4"/>
      <c r="T315" s="5"/>
      <c r="U315" s="4"/>
      <c r="V315" s="4"/>
      <c r="W315" s="4"/>
      <c r="X315" s="67"/>
      <c r="Y315" s="67"/>
      <c r="Z315" s="67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3"/>
      <c r="M316" s="4"/>
      <c r="N316" s="3"/>
      <c r="O316" s="3"/>
      <c r="P316" s="4"/>
      <c r="Q316" s="4"/>
      <c r="R316" s="3"/>
      <c r="S316" s="4"/>
      <c r="T316" s="5"/>
      <c r="U316" s="4"/>
      <c r="V316" s="4"/>
      <c r="W316" s="4"/>
      <c r="X316" s="67"/>
      <c r="Y316" s="67"/>
      <c r="Z316" s="67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4"/>
      <c r="N317" s="3"/>
      <c r="O317" s="3"/>
      <c r="P317" s="4"/>
      <c r="Q317" s="4"/>
      <c r="R317" s="3"/>
      <c r="S317" s="4"/>
      <c r="T317" s="5"/>
      <c r="U317" s="4"/>
      <c r="V317" s="4"/>
      <c r="W317" s="4"/>
      <c r="X317" s="67"/>
      <c r="Y317" s="67"/>
      <c r="Z317" s="67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4"/>
      <c r="N318" s="3"/>
      <c r="O318" s="3"/>
      <c r="P318" s="4"/>
      <c r="Q318" s="4"/>
      <c r="R318" s="3"/>
      <c r="S318" s="4"/>
      <c r="T318" s="5"/>
      <c r="U318" s="4"/>
      <c r="V318" s="4"/>
      <c r="W318" s="4"/>
      <c r="X318" s="67"/>
      <c r="Y318" s="67"/>
      <c r="Z318" s="67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3"/>
      <c r="M319" s="4"/>
      <c r="N319" s="3"/>
      <c r="O319" s="3"/>
      <c r="P319" s="4"/>
      <c r="Q319" s="4"/>
      <c r="R319" s="3"/>
      <c r="S319" s="4"/>
      <c r="T319" s="5"/>
      <c r="U319" s="4"/>
      <c r="V319" s="4"/>
      <c r="W319" s="4"/>
      <c r="X319" s="67"/>
      <c r="Y319" s="67"/>
      <c r="Z319" s="67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3"/>
      <c r="M320" s="4"/>
      <c r="N320" s="3"/>
      <c r="O320" s="3"/>
      <c r="P320" s="4"/>
      <c r="Q320" s="4"/>
      <c r="R320" s="3"/>
      <c r="S320" s="4"/>
      <c r="T320" s="5"/>
      <c r="U320" s="4"/>
      <c r="V320" s="4"/>
      <c r="W320" s="4"/>
      <c r="X320" s="67"/>
      <c r="Y320" s="67"/>
      <c r="Z320" s="67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3"/>
      <c r="M321" s="4"/>
      <c r="N321" s="3"/>
      <c r="O321" s="3"/>
      <c r="P321" s="4"/>
      <c r="Q321" s="4"/>
      <c r="R321" s="3"/>
      <c r="S321" s="4"/>
      <c r="T321" s="5"/>
      <c r="U321" s="4"/>
      <c r="V321" s="4"/>
      <c r="W321" s="4"/>
      <c r="X321" s="67"/>
      <c r="Y321" s="67"/>
      <c r="Z321" s="67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3"/>
      <c r="M322" s="4"/>
      <c r="N322" s="3"/>
      <c r="O322" s="3"/>
      <c r="P322" s="4"/>
      <c r="Q322" s="4"/>
      <c r="R322" s="3"/>
      <c r="S322" s="4"/>
      <c r="T322" s="5"/>
      <c r="U322" s="4"/>
      <c r="V322" s="4"/>
      <c r="W322" s="4"/>
      <c r="X322" s="67"/>
      <c r="Y322" s="67"/>
      <c r="Z322" s="67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3"/>
      <c r="M323" s="4"/>
      <c r="N323" s="3"/>
      <c r="O323" s="3"/>
      <c r="P323" s="4"/>
      <c r="Q323" s="4"/>
      <c r="R323" s="3"/>
      <c r="S323" s="4"/>
      <c r="T323" s="5"/>
      <c r="U323" s="4"/>
      <c r="V323" s="4"/>
      <c r="W323" s="4"/>
      <c r="X323" s="67"/>
      <c r="Y323" s="67"/>
      <c r="Z323" s="67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3"/>
      <c r="M324" s="4"/>
      <c r="N324" s="3"/>
      <c r="O324" s="3"/>
      <c r="P324" s="4"/>
      <c r="Q324" s="4"/>
      <c r="R324" s="3"/>
      <c r="S324" s="4"/>
      <c r="T324" s="5"/>
      <c r="U324" s="4"/>
      <c r="V324" s="4"/>
      <c r="W324" s="4"/>
      <c r="X324" s="67"/>
      <c r="Y324" s="67"/>
      <c r="Z324" s="67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3"/>
      <c r="M325" s="4"/>
      <c r="N325" s="3"/>
      <c r="O325" s="3"/>
      <c r="P325" s="4"/>
      <c r="Q325" s="4"/>
      <c r="R325" s="3"/>
      <c r="S325" s="4"/>
      <c r="T325" s="5"/>
      <c r="U325" s="4"/>
      <c r="V325" s="4"/>
      <c r="W325" s="4"/>
      <c r="X325" s="67"/>
      <c r="Y325" s="67"/>
      <c r="Z325" s="67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4"/>
      <c r="N326" s="3"/>
      <c r="O326" s="3"/>
      <c r="P326" s="4"/>
      <c r="Q326" s="4"/>
      <c r="R326" s="3"/>
      <c r="S326" s="4"/>
      <c r="T326" s="5"/>
      <c r="U326" s="4"/>
      <c r="V326" s="4"/>
      <c r="W326" s="4"/>
      <c r="X326" s="67"/>
      <c r="Y326" s="67"/>
      <c r="Z326" s="67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4"/>
      <c r="N327" s="3"/>
      <c r="O327" s="3"/>
      <c r="P327" s="4"/>
      <c r="Q327" s="4"/>
      <c r="R327" s="3"/>
      <c r="S327" s="4"/>
      <c r="T327" s="5"/>
      <c r="U327" s="4"/>
      <c r="V327" s="4"/>
      <c r="W327" s="4"/>
      <c r="X327" s="67"/>
      <c r="Y327" s="67"/>
      <c r="Z327" s="67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4"/>
      <c r="N328" s="3"/>
      <c r="O328" s="3"/>
      <c r="P328" s="4"/>
      <c r="Q328" s="4"/>
      <c r="R328" s="3"/>
      <c r="S328" s="4"/>
      <c r="T328" s="5"/>
      <c r="U328" s="4"/>
      <c r="V328" s="4"/>
      <c r="W328" s="4"/>
      <c r="X328" s="67"/>
      <c r="Y328" s="67"/>
      <c r="Z328" s="67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4"/>
      <c r="N329" s="3"/>
      <c r="O329" s="3"/>
      <c r="P329" s="4"/>
      <c r="Q329" s="4"/>
      <c r="R329" s="3"/>
      <c r="S329" s="4"/>
      <c r="T329" s="5"/>
      <c r="U329" s="4"/>
      <c r="V329" s="4"/>
      <c r="W329" s="4"/>
      <c r="X329" s="67"/>
      <c r="Y329" s="67"/>
      <c r="Z329" s="67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4"/>
      <c r="N330" s="3"/>
      <c r="O330" s="3"/>
      <c r="P330" s="4"/>
      <c r="Q330" s="4"/>
      <c r="R330" s="3"/>
      <c r="S330" s="4"/>
      <c r="T330" s="5"/>
      <c r="U330" s="4"/>
      <c r="V330" s="4"/>
      <c r="W330" s="4"/>
      <c r="X330" s="67"/>
      <c r="Y330" s="67"/>
      <c r="Z330" s="67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4"/>
      <c r="N331" s="3"/>
      <c r="O331" s="3"/>
      <c r="P331" s="4"/>
      <c r="Q331" s="4"/>
      <c r="R331" s="3"/>
      <c r="S331" s="4"/>
      <c r="T331" s="5"/>
      <c r="U331" s="4"/>
      <c r="V331" s="4"/>
      <c r="W331" s="4"/>
      <c r="X331" s="67"/>
      <c r="Y331" s="67"/>
      <c r="Z331" s="67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4"/>
      <c r="N332" s="3"/>
      <c r="O332" s="3"/>
      <c r="P332" s="4"/>
      <c r="Q332" s="4"/>
      <c r="R332" s="3"/>
      <c r="S332" s="4"/>
      <c r="T332" s="5"/>
      <c r="U332" s="4"/>
      <c r="V332" s="4"/>
      <c r="W332" s="4"/>
      <c r="X332" s="67"/>
      <c r="Y332" s="67"/>
      <c r="Z332" s="67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4"/>
      <c r="N333" s="3"/>
      <c r="O333" s="3"/>
      <c r="P333" s="4"/>
      <c r="Q333" s="4"/>
      <c r="R333" s="3"/>
      <c r="S333" s="4"/>
      <c r="T333" s="5"/>
      <c r="U333" s="4"/>
      <c r="V333" s="4"/>
      <c r="W333" s="4"/>
      <c r="X333" s="67"/>
      <c r="Y333" s="67"/>
      <c r="Z333" s="67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4"/>
      <c r="N334" s="3"/>
      <c r="O334" s="3"/>
      <c r="P334" s="4"/>
      <c r="Q334" s="4"/>
      <c r="R334" s="3"/>
      <c r="S334" s="4"/>
      <c r="T334" s="5"/>
      <c r="U334" s="4"/>
      <c r="V334" s="4"/>
      <c r="W334" s="4"/>
      <c r="X334" s="67"/>
      <c r="Y334" s="67"/>
      <c r="Z334" s="67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4"/>
      <c r="N335" s="3"/>
      <c r="O335" s="3"/>
      <c r="P335" s="4"/>
      <c r="Q335" s="4"/>
      <c r="R335" s="3"/>
      <c r="S335" s="4"/>
      <c r="T335" s="5"/>
      <c r="U335" s="4"/>
      <c r="V335" s="4"/>
      <c r="W335" s="4"/>
      <c r="X335" s="67"/>
      <c r="Y335" s="67"/>
      <c r="Z335" s="67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4"/>
      <c r="N336" s="3"/>
      <c r="O336" s="3"/>
      <c r="P336" s="4"/>
      <c r="Q336" s="4"/>
      <c r="R336" s="3"/>
      <c r="S336" s="4"/>
      <c r="T336" s="5"/>
      <c r="U336" s="4"/>
      <c r="V336" s="4"/>
      <c r="W336" s="4"/>
      <c r="X336" s="67"/>
      <c r="Y336" s="67"/>
      <c r="Z336" s="67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4"/>
      <c r="N337" s="3"/>
      <c r="O337" s="3"/>
      <c r="P337" s="4"/>
      <c r="Q337" s="4"/>
      <c r="R337" s="3"/>
      <c r="S337" s="4"/>
      <c r="T337" s="5"/>
      <c r="U337" s="4"/>
      <c r="V337" s="4"/>
      <c r="W337" s="4"/>
      <c r="X337" s="67"/>
      <c r="Y337" s="67"/>
      <c r="Z337" s="67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4"/>
      <c r="N338" s="3"/>
      <c r="O338" s="3"/>
      <c r="P338" s="4"/>
      <c r="Q338" s="4"/>
      <c r="R338" s="3"/>
      <c r="S338" s="4"/>
      <c r="T338" s="5"/>
      <c r="U338" s="4"/>
      <c r="V338" s="4"/>
      <c r="W338" s="4"/>
      <c r="X338" s="67"/>
      <c r="Y338" s="67"/>
      <c r="Z338" s="67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4"/>
      <c r="N339" s="3"/>
      <c r="O339" s="3"/>
      <c r="P339" s="4"/>
      <c r="Q339" s="4"/>
      <c r="R339" s="3"/>
      <c r="S339" s="4"/>
      <c r="T339" s="5"/>
      <c r="U339" s="4"/>
      <c r="V339" s="4"/>
      <c r="W339" s="4"/>
      <c r="X339" s="67"/>
      <c r="Y339" s="67"/>
      <c r="Z339" s="67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3"/>
      <c r="M340" s="4"/>
      <c r="N340" s="3"/>
      <c r="O340" s="3"/>
      <c r="P340" s="4"/>
      <c r="Q340" s="4"/>
      <c r="R340" s="3"/>
      <c r="S340" s="4"/>
      <c r="T340" s="5"/>
      <c r="U340" s="4"/>
      <c r="V340" s="4"/>
      <c r="W340" s="4"/>
      <c r="X340" s="67"/>
      <c r="Y340" s="67"/>
      <c r="Z340" s="67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4"/>
      <c r="N341" s="3"/>
      <c r="O341" s="3"/>
      <c r="P341" s="4"/>
      <c r="Q341" s="4"/>
      <c r="R341" s="3"/>
      <c r="S341" s="4"/>
      <c r="T341" s="5"/>
      <c r="U341" s="4"/>
      <c r="V341" s="4"/>
      <c r="W341" s="4"/>
      <c r="X341" s="67"/>
      <c r="Y341" s="67"/>
      <c r="Z341" s="67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  <c r="M342" s="4"/>
      <c r="N342" s="3"/>
      <c r="O342" s="3"/>
      <c r="P342" s="4"/>
      <c r="Q342" s="4"/>
      <c r="R342" s="3"/>
      <c r="S342" s="4"/>
      <c r="T342" s="5"/>
      <c r="U342" s="4"/>
      <c r="V342" s="4"/>
      <c r="W342" s="4"/>
      <c r="X342" s="67"/>
      <c r="Y342" s="67"/>
      <c r="Z342" s="67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4"/>
      <c r="N343" s="3"/>
      <c r="O343" s="3"/>
      <c r="P343" s="4"/>
      <c r="Q343" s="4"/>
      <c r="R343" s="3"/>
      <c r="S343" s="4"/>
      <c r="T343" s="5"/>
      <c r="U343" s="4"/>
      <c r="V343" s="4"/>
      <c r="W343" s="4"/>
      <c r="X343" s="67"/>
      <c r="Y343" s="67"/>
      <c r="Z343" s="67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  <c r="M344" s="4"/>
      <c r="N344" s="3"/>
      <c r="O344" s="3"/>
      <c r="P344" s="4"/>
      <c r="Q344" s="4"/>
      <c r="R344" s="3"/>
      <c r="S344" s="4"/>
      <c r="T344" s="5"/>
      <c r="U344" s="4"/>
      <c r="V344" s="4"/>
      <c r="W344" s="4"/>
      <c r="X344" s="67"/>
      <c r="Y344" s="67"/>
      <c r="Z344" s="67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  <c r="M345" s="4"/>
      <c r="N345" s="3"/>
      <c r="O345" s="3"/>
      <c r="P345" s="4"/>
      <c r="Q345" s="4"/>
      <c r="R345" s="3"/>
      <c r="S345" s="4"/>
      <c r="T345" s="5"/>
      <c r="U345" s="4"/>
      <c r="V345" s="4"/>
      <c r="W345" s="4"/>
      <c r="X345" s="67"/>
      <c r="Y345" s="67"/>
      <c r="Z345" s="67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  <c r="M346" s="4"/>
      <c r="N346" s="3"/>
      <c r="O346" s="3"/>
      <c r="P346" s="4"/>
      <c r="Q346" s="4"/>
      <c r="R346" s="3"/>
      <c r="S346" s="4"/>
      <c r="T346" s="5"/>
      <c r="U346" s="4"/>
      <c r="V346" s="4"/>
      <c r="W346" s="4"/>
      <c r="X346" s="67"/>
      <c r="Y346" s="67"/>
      <c r="Z346" s="67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4"/>
      <c r="N347" s="3"/>
      <c r="O347" s="3"/>
      <c r="P347" s="4"/>
      <c r="Q347" s="4"/>
      <c r="R347" s="3"/>
      <c r="S347" s="4"/>
      <c r="T347" s="5"/>
      <c r="U347" s="4"/>
      <c r="V347" s="4"/>
      <c r="W347" s="4"/>
      <c r="X347" s="67"/>
      <c r="Y347" s="67"/>
      <c r="Z347" s="67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  <c r="M348" s="4"/>
      <c r="N348" s="3"/>
      <c r="O348" s="3"/>
      <c r="P348" s="4"/>
      <c r="Q348" s="4"/>
      <c r="R348" s="3"/>
      <c r="S348" s="4"/>
      <c r="T348" s="5"/>
      <c r="U348" s="4"/>
      <c r="V348" s="4"/>
      <c r="W348" s="4"/>
      <c r="X348" s="67"/>
      <c r="Y348" s="67"/>
      <c r="Z348" s="67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4"/>
      <c r="N349" s="3"/>
      <c r="O349" s="3"/>
      <c r="P349" s="4"/>
      <c r="Q349" s="4"/>
      <c r="R349" s="3"/>
      <c r="S349" s="4"/>
      <c r="T349" s="5"/>
      <c r="U349" s="4"/>
      <c r="V349" s="4"/>
      <c r="W349" s="4"/>
      <c r="X349" s="67"/>
      <c r="Y349" s="67"/>
      <c r="Z349" s="67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  <c r="M350" s="4"/>
      <c r="N350" s="3"/>
      <c r="O350" s="3"/>
      <c r="P350" s="4"/>
      <c r="Q350" s="4"/>
      <c r="R350" s="3"/>
      <c r="S350" s="4"/>
      <c r="T350" s="5"/>
      <c r="U350" s="4"/>
      <c r="V350" s="4"/>
      <c r="W350" s="4"/>
      <c r="X350" s="67"/>
      <c r="Y350" s="67"/>
      <c r="Z350" s="67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  <c r="M351" s="4"/>
      <c r="N351" s="3"/>
      <c r="O351" s="3"/>
      <c r="P351" s="4"/>
      <c r="Q351" s="4"/>
      <c r="R351" s="3"/>
      <c r="S351" s="4"/>
      <c r="T351" s="5"/>
      <c r="U351" s="4"/>
      <c r="V351" s="4"/>
      <c r="W351" s="4"/>
      <c r="X351" s="67"/>
      <c r="Y351" s="67"/>
      <c r="Z351" s="67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4"/>
      <c r="N352" s="3"/>
      <c r="O352" s="3"/>
      <c r="P352" s="4"/>
      <c r="Q352" s="4"/>
      <c r="R352" s="3"/>
      <c r="S352" s="4"/>
      <c r="T352" s="5"/>
      <c r="U352" s="4"/>
      <c r="V352" s="4"/>
      <c r="W352" s="4"/>
      <c r="X352" s="67"/>
      <c r="Y352" s="67"/>
      <c r="Z352" s="67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  <c r="M353" s="4"/>
      <c r="N353" s="3"/>
      <c r="O353" s="3"/>
      <c r="P353" s="4"/>
      <c r="Q353" s="4"/>
      <c r="R353" s="3"/>
      <c r="S353" s="4"/>
      <c r="T353" s="5"/>
      <c r="U353" s="4"/>
      <c r="V353" s="4"/>
      <c r="W353" s="4"/>
      <c r="X353" s="67"/>
      <c r="Y353" s="67"/>
      <c r="Z353" s="67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  <c r="M354" s="4"/>
      <c r="N354" s="3"/>
      <c r="O354" s="3"/>
      <c r="P354" s="4"/>
      <c r="Q354" s="4"/>
      <c r="R354" s="3"/>
      <c r="S354" s="4"/>
      <c r="T354" s="5"/>
      <c r="U354" s="4"/>
      <c r="V354" s="4"/>
      <c r="W354" s="4"/>
      <c r="X354" s="67"/>
      <c r="Y354" s="67"/>
      <c r="Z354" s="67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  <c r="M355" s="4"/>
      <c r="N355" s="3"/>
      <c r="O355" s="3"/>
      <c r="P355" s="4"/>
      <c r="Q355" s="4"/>
      <c r="R355" s="3"/>
      <c r="S355" s="4"/>
      <c r="T355" s="5"/>
      <c r="U355" s="4"/>
      <c r="V355" s="4"/>
      <c r="W355" s="4"/>
      <c r="X355" s="67"/>
      <c r="Y355" s="67"/>
      <c r="Z355" s="67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  <c r="M356" s="4"/>
      <c r="N356" s="3"/>
      <c r="O356" s="3"/>
      <c r="P356" s="4"/>
      <c r="Q356" s="4"/>
      <c r="R356" s="3"/>
      <c r="S356" s="4"/>
      <c r="T356" s="5"/>
      <c r="U356" s="4"/>
      <c r="V356" s="4"/>
      <c r="W356" s="4"/>
      <c r="X356" s="67"/>
      <c r="Y356" s="67"/>
      <c r="Z356" s="67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  <c r="M357" s="4"/>
      <c r="N357" s="3"/>
      <c r="O357" s="3"/>
      <c r="P357" s="4"/>
      <c r="Q357" s="4"/>
      <c r="R357" s="3"/>
      <c r="S357" s="4"/>
      <c r="T357" s="5"/>
      <c r="U357" s="4"/>
      <c r="V357" s="4"/>
      <c r="W357" s="4"/>
      <c r="X357" s="67"/>
      <c r="Y357" s="67"/>
      <c r="Z357" s="67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  <c r="M358" s="4"/>
      <c r="N358" s="3"/>
      <c r="O358" s="3"/>
      <c r="P358" s="4"/>
      <c r="Q358" s="4"/>
      <c r="R358" s="3"/>
      <c r="S358" s="4"/>
      <c r="T358" s="5"/>
      <c r="U358" s="4"/>
      <c r="V358" s="4"/>
      <c r="W358" s="4"/>
      <c r="X358" s="67"/>
      <c r="Y358" s="67"/>
      <c r="Z358" s="67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4"/>
      <c r="N359" s="3"/>
      <c r="O359" s="3"/>
      <c r="P359" s="4"/>
      <c r="Q359" s="4"/>
      <c r="R359" s="3"/>
      <c r="S359" s="4"/>
      <c r="T359" s="5"/>
      <c r="U359" s="4"/>
      <c r="V359" s="4"/>
      <c r="W359" s="4"/>
      <c r="X359" s="67"/>
      <c r="Y359" s="67"/>
      <c r="Z359" s="67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4"/>
      <c r="N360" s="3"/>
      <c r="O360" s="3"/>
      <c r="P360" s="4"/>
      <c r="Q360" s="4"/>
      <c r="R360" s="3"/>
      <c r="S360" s="4"/>
      <c r="T360" s="5"/>
      <c r="U360" s="4"/>
      <c r="V360" s="4"/>
      <c r="W360" s="4"/>
      <c r="X360" s="67"/>
      <c r="Y360" s="67"/>
      <c r="Z360" s="67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  <c r="M361" s="4"/>
      <c r="N361" s="3"/>
      <c r="O361" s="3"/>
      <c r="P361" s="4"/>
      <c r="Q361" s="4"/>
      <c r="R361" s="3"/>
      <c r="S361" s="4"/>
      <c r="T361" s="5"/>
      <c r="U361" s="4"/>
      <c r="V361" s="4"/>
      <c r="W361" s="4"/>
      <c r="X361" s="67"/>
      <c r="Y361" s="67"/>
      <c r="Z361" s="67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  <c r="M362" s="4"/>
      <c r="N362" s="3"/>
      <c r="O362" s="3"/>
      <c r="P362" s="4"/>
      <c r="Q362" s="4"/>
      <c r="R362" s="3"/>
      <c r="S362" s="4"/>
      <c r="T362" s="5"/>
      <c r="U362" s="4"/>
      <c r="V362" s="4"/>
      <c r="W362" s="4"/>
      <c r="X362" s="67"/>
      <c r="Y362" s="67"/>
      <c r="Z362" s="67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  <c r="M363" s="4"/>
      <c r="N363" s="3"/>
      <c r="O363" s="3"/>
      <c r="P363" s="4"/>
      <c r="Q363" s="4"/>
      <c r="R363" s="3"/>
      <c r="S363" s="4"/>
      <c r="T363" s="5"/>
      <c r="U363" s="4"/>
      <c r="V363" s="4"/>
      <c r="W363" s="4"/>
      <c r="X363" s="67"/>
      <c r="Y363" s="67"/>
      <c r="Z363" s="67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  <c r="M364" s="4"/>
      <c r="N364" s="3"/>
      <c r="O364" s="3"/>
      <c r="P364" s="4"/>
      <c r="Q364" s="4"/>
      <c r="R364" s="3"/>
      <c r="S364" s="4"/>
      <c r="T364" s="5"/>
      <c r="U364" s="4"/>
      <c r="V364" s="4"/>
      <c r="W364" s="4"/>
      <c r="X364" s="67"/>
      <c r="Y364" s="67"/>
      <c r="Z364" s="67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4"/>
      <c r="N365" s="3"/>
      <c r="O365" s="3"/>
      <c r="P365" s="4"/>
      <c r="Q365" s="4"/>
      <c r="R365" s="3"/>
      <c r="S365" s="4"/>
      <c r="T365" s="5"/>
      <c r="U365" s="4"/>
      <c r="V365" s="4"/>
      <c r="W365" s="4"/>
      <c r="X365" s="67"/>
      <c r="Y365" s="67"/>
      <c r="Z365" s="67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3"/>
      <c r="M366" s="4"/>
      <c r="N366" s="3"/>
      <c r="O366" s="3"/>
      <c r="P366" s="4"/>
      <c r="Q366" s="4"/>
      <c r="R366" s="3"/>
      <c r="S366" s="4"/>
      <c r="T366" s="5"/>
      <c r="U366" s="4"/>
      <c r="V366" s="4"/>
      <c r="W366" s="4"/>
      <c r="X366" s="67"/>
      <c r="Y366" s="67"/>
      <c r="Z366" s="67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3"/>
      <c r="M367" s="4"/>
      <c r="N367" s="3"/>
      <c r="O367" s="3"/>
      <c r="P367" s="4"/>
      <c r="Q367" s="4"/>
      <c r="R367" s="3"/>
      <c r="S367" s="4"/>
      <c r="T367" s="5"/>
      <c r="U367" s="4"/>
      <c r="V367" s="4"/>
      <c r="W367" s="4"/>
      <c r="X367" s="67"/>
      <c r="Y367" s="67"/>
      <c r="Z367" s="67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3"/>
      <c r="M368" s="4"/>
      <c r="N368" s="3"/>
      <c r="O368" s="3"/>
      <c r="P368" s="4"/>
      <c r="Q368" s="4"/>
      <c r="R368" s="3"/>
      <c r="S368" s="4"/>
      <c r="T368" s="5"/>
      <c r="U368" s="4"/>
      <c r="V368" s="4"/>
      <c r="W368" s="4"/>
      <c r="X368" s="67"/>
      <c r="Y368" s="67"/>
      <c r="Z368" s="67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3"/>
      <c r="M369" s="4"/>
      <c r="N369" s="3"/>
      <c r="O369" s="3"/>
      <c r="P369" s="4"/>
      <c r="Q369" s="4"/>
      <c r="R369" s="3"/>
      <c r="S369" s="4"/>
      <c r="T369" s="5"/>
      <c r="U369" s="4"/>
      <c r="V369" s="4"/>
      <c r="W369" s="4"/>
      <c r="X369" s="67"/>
      <c r="Y369" s="67"/>
      <c r="Z369" s="67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3"/>
      <c r="M370" s="4"/>
      <c r="N370" s="3"/>
      <c r="O370" s="3"/>
      <c r="P370" s="4"/>
      <c r="Q370" s="4"/>
      <c r="R370" s="3"/>
      <c r="S370" s="4"/>
      <c r="T370" s="5"/>
      <c r="U370" s="4"/>
      <c r="V370" s="4"/>
      <c r="W370" s="4"/>
      <c r="X370" s="67"/>
      <c r="Y370" s="67"/>
      <c r="Z370" s="67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3"/>
      <c r="M371" s="4"/>
      <c r="N371" s="3"/>
      <c r="O371" s="3"/>
      <c r="P371" s="4"/>
      <c r="Q371" s="4"/>
      <c r="R371" s="3"/>
      <c r="S371" s="4"/>
      <c r="T371" s="5"/>
      <c r="U371" s="4"/>
      <c r="V371" s="4"/>
      <c r="W371" s="4"/>
      <c r="X371" s="67"/>
      <c r="Y371" s="67"/>
      <c r="Z371" s="67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3"/>
      <c r="M372" s="4"/>
      <c r="N372" s="3"/>
      <c r="O372" s="3"/>
      <c r="P372" s="4"/>
      <c r="Q372" s="4"/>
      <c r="R372" s="3"/>
      <c r="S372" s="4"/>
      <c r="T372" s="5"/>
      <c r="U372" s="4"/>
      <c r="V372" s="4"/>
      <c r="W372" s="4"/>
      <c r="X372" s="67"/>
      <c r="Y372" s="67"/>
      <c r="Z372" s="67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3"/>
      <c r="M373" s="4"/>
      <c r="N373" s="3"/>
      <c r="O373" s="3"/>
      <c r="P373" s="4"/>
      <c r="Q373" s="4"/>
      <c r="R373" s="3"/>
      <c r="S373" s="4"/>
      <c r="T373" s="5"/>
      <c r="U373" s="4"/>
      <c r="V373" s="4"/>
      <c r="W373" s="4"/>
      <c r="X373" s="67"/>
      <c r="Y373" s="67"/>
      <c r="Z373" s="67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3"/>
      <c r="M374" s="4"/>
      <c r="N374" s="3"/>
      <c r="O374" s="3"/>
      <c r="P374" s="4"/>
      <c r="Q374" s="4"/>
      <c r="R374" s="3"/>
      <c r="S374" s="4"/>
      <c r="T374" s="5"/>
      <c r="U374" s="4"/>
      <c r="V374" s="4"/>
      <c r="W374" s="4"/>
      <c r="X374" s="67"/>
      <c r="Y374" s="67"/>
      <c r="Z374" s="67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3"/>
      <c r="M375" s="4"/>
      <c r="N375" s="3"/>
      <c r="O375" s="3"/>
      <c r="P375" s="4"/>
      <c r="Q375" s="4"/>
      <c r="R375" s="3"/>
      <c r="S375" s="4"/>
      <c r="T375" s="5"/>
      <c r="U375" s="4"/>
      <c r="V375" s="4"/>
      <c r="W375" s="4"/>
      <c r="X375" s="67"/>
      <c r="Y375" s="67"/>
      <c r="Z375" s="67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3"/>
      <c r="M376" s="4"/>
      <c r="N376" s="3"/>
      <c r="O376" s="3"/>
      <c r="P376" s="4"/>
      <c r="Q376" s="4"/>
      <c r="R376" s="3"/>
      <c r="S376" s="4"/>
      <c r="T376" s="5"/>
      <c r="U376" s="4"/>
      <c r="V376" s="4"/>
      <c r="W376" s="4"/>
      <c r="X376" s="67"/>
      <c r="Y376" s="67"/>
      <c r="Z376" s="67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3"/>
      <c r="M377" s="4"/>
      <c r="N377" s="3"/>
      <c r="O377" s="3"/>
      <c r="P377" s="4"/>
      <c r="Q377" s="4"/>
      <c r="R377" s="3"/>
      <c r="S377" s="4"/>
      <c r="T377" s="5"/>
      <c r="U377" s="4"/>
      <c r="V377" s="4"/>
      <c r="W377" s="4"/>
      <c r="X377" s="67"/>
      <c r="Y377" s="67"/>
      <c r="Z377" s="67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3"/>
      <c r="M378" s="4"/>
      <c r="N378" s="3"/>
      <c r="O378" s="3"/>
      <c r="P378" s="4"/>
      <c r="Q378" s="4"/>
      <c r="R378" s="3"/>
      <c r="S378" s="4"/>
      <c r="T378" s="5"/>
      <c r="U378" s="4"/>
      <c r="V378" s="4"/>
      <c r="W378" s="4"/>
      <c r="X378" s="67"/>
      <c r="Y378" s="67"/>
      <c r="Z378" s="67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3"/>
      <c r="M379" s="4"/>
      <c r="N379" s="3"/>
      <c r="O379" s="3"/>
      <c r="P379" s="4"/>
      <c r="Q379" s="4"/>
      <c r="R379" s="3"/>
      <c r="S379" s="4"/>
      <c r="T379" s="5"/>
      <c r="U379" s="4"/>
      <c r="V379" s="4"/>
      <c r="W379" s="4"/>
      <c r="X379" s="67"/>
      <c r="Y379" s="67"/>
      <c r="Z379" s="67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3"/>
      <c r="M380" s="4"/>
      <c r="N380" s="3"/>
      <c r="O380" s="3"/>
      <c r="P380" s="4"/>
      <c r="Q380" s="4"/>
      <c r="R380" s="3"/>
      <c r="S380" s="4"/>
      <c r="T380" s="5"/>
      <c r="U380" s="4"/>
      <c r="V380" s="4"/>
      <c r="W380" s="4"/>
      <c r="X380" s="67"/>
      <c r="Y380" s="67"/>
      <c r="Z380" s="67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3"/>
      <c r="M381" s="4"/>
      <c r="N381" s="3"/>
      <c r="O381" s="3"/>
      <c r="P381" s="4"/>
      <c r="Q381" s="4"/>
      <c r="R381" s="3"/>
      <c r="S381" s="4"/>
      <c r="T381" s="5"/>
      <c r="U381" s="4"/>
      <c r="V381" s="4"/>
      <c r="W381" s="4"/>
      <c r="X381" s="67"/>
      <c r="Y381" s="67"/>
      <c r="Z381" s="67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3"/>
      <c r="M382" s="4"/>
      <c r="N382" s="3"/>
      <c r="O382" s="3"/>
      <c r="P382" s="4"/>
      <c r="Q382" s="4"/>
      <c r="R382" s="3"/>
      <c r="S382" s="4"/>
      <c r="T382" s="5"/>
      <c r="U382" s="4"/>
      <c r="V382" s="4"/>
      <c r="W382" s="4"/>
      <c r="X382" s="67"/>
      <c r="Y382" s="67"/>
      <c r="Z382" s="67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3"/>
      <c r="M383" s="4"/>
      <c r="N383" s="3"/>
      <c r="O383" s="3"/>
      <c r="P383" s="4"/>
      <c r="Q383" s="4"/>
      <c r="R383" s="3"/>
      <c r="S383" s="4"/>
      <c r="T383" s="5"/>
      <c r="U383" s="4"/>
      <c r="V383" s="4"/>
      <c r="W383" s="4"/>
      <c r="X383" s="67"/>
      <c r="Y383" s="67"/>
      <c r="Z383" s="67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3"/>
      <c r="M384" s="4"/>
      <c r="N384" s="3"/>
      <c r="O384" s="3"/>
      <c r="P384" s="4"/>
      <c r="Q384" s="4"/>
      <c r="R384" s="3"/>
      <c r="S384" s="4"/>
      <c r="T384" s="5"/>
      <c r="U384" s="4"/>
      <c r="V384" s="4"/>
      <c r="W384" s="4"/>
      <c r="X384" s="67"/>
      <c r="Y384" s="67"/>
      <c r="Z384" s="67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3"/>
      <c r="M385" s="4"/>
      <c r="N385" s="3"/>
      <c r="O385" s="3"/>
      <c r="P385" s="4"/>
      <c r="Q385" s="4"/>
      <c r="R385" s="3"/>
      <c r="S385" s="4"/>
      <c r="T385" s="5"/>
      <c r="U385" s="4"/>
      <c r="V385" s="4"/>
      <c r="W385" s="4"/>
      <c r="X385" s="67"/>
      <c r="Y385" s="67"/>
      <c r="Z385" s="67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3"/>
      <c r="M386" s="4"/>
      <c r="N386" s="3"/>
      <c r="O386" s="3"/>
      <c r="P386" s="4"/>
      <c r="Q386" s="4"/>
      <c r="R386" s="3"/>
      <c r="S386" s="4"/>
      <c r="T386" s="5"/>
      <c r="U386" s="4"/>
      <c r="V386" s="4"/>
      <c r="W386" s="4"/>
      <c r="X386" s="67"/>
      <c r="Y386" s="67"/>
      <c r="Z386" s="67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3"/>
      <c r="M387" s="4"/>
      <c r="N387" s="3"/>
      <c r="O387" s="3"/>
      <c r="P387" s="4"/>
      <c r="Q387" s="4"/>
      <c r="R387" s="3"/>
      <c r="S387" s="4"/>
      <c r="T387" s="5"/>
      <c r="U387" s="4"/>
      <c r="V387" s="4"/>
      <c r="W387" s="4"/>
      <c r="X387" s="67"/>
      <c r="Y387" s="67"/>
      <c r="Z387" s="67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3"/>
      <c r="M388" s="4"/>
      <c r="N388" s="3"/>
      <c r="O388" s="3"/>
      <c r="P388" s="4"/>
      <c r="Q388" s="4"/>
      <c r="R388" s="3"/>
      <c r="S388" s="4"/>
      <c r="T388" s="5"/>
      <c r="U388" s="4"/>
      <c r="V388" s="4"/>
      <c r="W388" s="4"/>
      <c r="X388" s="67"/>
      <c r="Y388" s="67"/>
      <c r="Z388" s="67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3"/>
      <c r="M389" s="4"/>
      <c r="N389" s="3"/>
      <c r="O389" s="3"/>
      <c r="P389" s="4"/>
      <c r="Q389" s="4"/>
      <c r="R389" s="3"/>
      <c r="S389" s="4"/>
      <c r="T389" s="5"/>
      <c r="U389" s="4"/>
      <c r="V389" s="4"/>
      <c r="W389" s="4"/>
      <c r="X389" s="67"/>
      <c r="Y389" s="67"/>
      <c r="Z389" s="67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3"/>
      <c r="M390" s="4"/>
      <c r="N390" s="3"/>
      <c r="O390" s="3"/>
      <c r="P390" s="4"/>
      <c r="Q390" s="4"/>
      <c r="R390" s="3"/>
      <c r="S390" s="4"/>
      <c r="T390" s="5"/>
      <c r="U390" s="4"/>
      <c r="V390" s="4"/>
      <c r="W390" s="4"/>
      <c r="X390" s="67"/>
      <c r="Y390" s="67"/>
      <c r="Z390" s="67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3"/>
      <c r="M391" s="4"/>
      <c r="N391" s="3"/>
      <c r="O391" s="3"/>
      <c r="P391" s="4"/>
      <c r="Q391" s="4"/>
      <c r="R391" s="3"/>
      <c r="S391" s="4"/>
      <c r="T391" s="5"/>
      <c r="U391" s="4"/>
      <c r="V391" s="4"/>
      <c r="W391" s="4"/>
      <c r="X391" s="67"/>
      <c r="Y391" s="67"/>
      <c r="Z391" s="67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3"/>
      <c r="M392" s="4"/>
      <c r="N392" s="3"/>
      <c r="O392" s="3"/>
      <c r="P392" s="4"/>
      <c r="Q392" s="4"/>
      <c r="R392" s="3"/>
      <c r="S392" s="4"/>
      <c r="T392" s="5"/>
      <c r="U392" s="4"/>
      <c r="V392" s="4"/>
      <c r="W392" s="4"/>
      <c r="X392" s="67"/>
      <c r="Y392" s="67"/>
      <c r="Z392" s="67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3"/>
      <c r="M393" s="4"/>
      <c r="N393" s="3"/>
      <c r="O393" s="3"/>
      <c r="P393" s="4"/>
      <c r="Q393" s="4"/>
      <c r="R393" s="3"/>
      <c r="S393" s="4"/>
      <c r="T393" s="5"/>
      <c r="U393" s="4"/>
      <c r="V393" s="4"/>
      <c r="W393" s="4"/>
      <c r="X393" s="67"/>
      <c r="Y393" s="67"/>
      <c r="Z393" s="67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3"/>
      <c r="M394" s="4"/>
      <c r="N394" s="3"/>
      <c r="O394" s="3"/>
      <c r="P394" s="4"/>
      <c r="Q394" s="4"/>
      <c r="R394" s="3"/>
      <c r="S394" s="4"/>
      <c r="T394" s="5"/>
      <c r="U394" s="4"/>
      <c r="V394" s="4"/>
      <c r="W394" s="4"/>
      <c r="X394" s="67"/>
      <c r="Y394" s="67"/>
      <c r="Z394" s="67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3"/>
      <c r="M395" s="4"/>
      <c r="N395" s="3"/>
      <c r="O395" s="3"/>
      <c r="P395" s="4"/>
      <c r="Q395" s="4"/>
      <c r="R395" s="3"/>
      <c r="S395" s="4"/>
      <c r="T395" s="5"/>
      <c r="U395" s="4"/>
      <c r="V395" s="4"/>
      <c r="W395" s="4"/>
      <c r="X395" s="67"/>
      <c r="Y395" s="67"/>
      <c r="Z395" s="67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3"/>
      <c r="M396" s="4"/>
      <c r="N396" s="3"/>
      <c r="O396" s="3"/>
      <c r="P396" s="4"/>
      <c r="Q396" s="4"/>
      <c r="R396" s="3"/>
      <c r="S396" s="4"/>
      <c r="T396" s="5"/>
      <c r="U396" s="4"/>
      <c r="V396" s="4"/>
      <c r="W396" s="4"/>
      <c r="X396" s="67"/>
      <c r="Y396" s="67"/>
      <c r="Z396" s="67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3"/>
      <c r="M397" s="4"/>
      <c r="N397" s="3"/>
      <c r="O397" s="3"/>
      <c r="P397" s="4"/>
      <c r="Q397" s="4"/>
      <c r="R397" s="3"/>
      <c r="S397" s="4"/>
      <c r="T397" s="5"/>
      <c r="U397" s="4"/>
      <c r="V397" s="4"/>
      <c r="W397" s="4"/>
      <c r="X397" s="67"/>
      <c r="Y397" s="67"/>
      <c r="Z397" s="67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3"/>
      <c r="M398" s="4"/>
      <c r="N398" s="3"/>
      <c r="O398" s="3"/>
      <c r="P398" s="4"/>
      <c r="Q398" s="4"/>
      <c r="R398" s="3"/>
      <c r="S398" s="4"/>
      <c r="T398" s="5"/>
      <c r="U398" s="4"/>
      <c r="V398" s="4"/>
      <c r="W398" s="4"/>
      <c r="X398" s="67"/>
      <c r="Y398" s="67"/>
      <c r="Z398" s="67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3"/>
      <c r="M399" s="4"/>
      <c r="N399" s="3"/>
      <c r="O399" s="3"/>
      <c r="P399" s="4"/>
      <c r="Q399" s="4"/>
      <c r="R399" s="3"/>
      <c r="S399" s="4"/>
      <c r="T399" s="5"/>
      <c r="U399" s="4"/>
      <c r="V399" s="4"/>
      <c r="W399" s="4"/>
      <c r="X399" s="67"/>
      <c r="Y399" s="67"/>
      <c r="Z399" s="67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3"/>
      <c r="M400" s="4"/>
      <c r="N400" s="3"/>
      <c r="O400" s="3"/>
      <c r="P400" s="4"/>
      <c r="Q400" s="4"/>
      <c r="R400" s="3"/>
      <c r="S400" s="4"/>
      <c r="T400" s="5"/>
      <c r="U400" s="4"/>
      <c r="V400" s="4"/>
      <c r="W400" s="4"/>
      <c r="X400" s="67"/>
      <c r="Y400" s="67"/>
      <c r="Z400" s="67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3"/>
      <c r="M401" s="4"/>
      <c r="N401" s="3"/>
      <c r="O401" s="3"/>
      <c r="P401" s="4"/>
      <c r="Q401" s="4"/>
      <c r="R401" s="3"/>
      <c r="S401" s="4"/>
      <c r="T401" s="5"/>
      <c r="U401" s="4"/>
      <c r="V401" s="4"/>
      <c r="W401" s="4"/>
      <c r="X401" s="67"/>
      <c r="Y401" s="67"/>
      <c r="Z401" s="67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3"/>
      <c r="M402" s="4"/>
      <c r="N402" s="3"/>
      <c r="O402" s="3"/>
      <c r="P402" s="4"/>
      <c r="Q402" s="4"/>
      <c r="R402" s="3"/>
      <c r="S402" s="4"/>
      <c r="T402" s="5"/>
      <c r="U402" s="4"/>
      <c r="V402" s="4"/>
      <c r="W402" s="4"/>
      <c r="X402" s="67"/>
      <c r="Y402" s="67"/>
      <c r="Z402" s="67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3"/>
      <c r="M403" s="4"/>
      <c r="N403" s="3"/>
      <c r="O403" s="3"/>
      <c r="P403" s="4"/>
      <c r="Q403" s="4"/>
      <c r="R403" s="3"/>
      <c r="S403" s="4"/>
      <c r="T403" s="5"/>
      <c r="U403" s="4"/>
      <c r="V403" s="4"/>
      <c r="W403" s="4"/>
      <c r="X403" s="67"/>
      <c r="Y403" s="67"/>
      <c r="Z403" s="67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3"/>
      <c r="M404" s="4"/>
      <c r="N404" s="3"/>
      <c r="O404" s="3"/>
      <c r="P404" s="4"/>
      <c r="Q404" s="4"/>
      <c r="R404" s="3"/>
      <c r="S404" s="4"/>
      <c r="T404" s="5"/>
      <c r="U404" s="4"/>
      <c r="V404" s="4"/>
      <c r="W404" s="4"/>
      <c r="X404" s="67"/>
      <c r="Y404" s="67"/>
      <c r="Z404" s="67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3"/>
      <c r="M405" s="4"/>
      <c r="N405" s="3"/>
      <c r="O405" s="3"/>
      <c r="P405" s="4"/>
      <c r="Q405" s="4"/>
      <c r="R405" s="3"/>
      <c r="S405" s="4"/>
      <c r="T405" s="5"/>
      <c r="U405" s="4"/>
      <c r="V405" s="4"/>
      <c r="W405" s="4"/>
      <c r="X405" s="67"/>
      <c r="Y405" s="67"/>
      <c r="Z405" s="67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3"/>
      <c r="M406" s="4"/>
      <c r="N406" s="3"/>
      <c r="O406" s="3"/>
      <c r="P406" s="4"/>
      <c r="Q406" s="4"/>
      <c r="R406" s="3"/>
      <c r="S406" s="4"/>
      <c r="T406" s="5"/>
      <c r="U406" s="4"/>
      <c r="V406" s="4"/>
      <c r="W406" s="4"/>
      <c r="X406" s="67"/>
      <c r="Y406" s="67"/>
      <c r="Z406" s="67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3"/>
      <c r="M407" s="4"/>
      <c r="N407" s="3"/>
      <c r="O407" s="3"/>
      <c r="P407" s="4"/>
      <c r="Q407" s="4"/>
      <c r="R407" s="3"/>
      <c r="S407" s="4"/>
      <c r="T407" s="5"/>
      <c r="U407" s="4"/>
      <c r="V407" s="4"/>
      <c r="W407" s="4"/>
      <c r="X407" s="67"/>
      <c r="Y407" s="67"/>
      <c r="Z407" s="67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3"/>
      <c r="M408" s="4"/>
      <c r="N408" s="3"/>
      <c r="O408" s="3"/>
      <c r="P408" s="4"/>
      <c r="Q408" s="4"/>
      <c r="R408" s="3"/>
      <c r="S408" s="4"/>
      <c r="T408" s="5"/>
      <c r="U408" s="4"/>
      <c r="V408" s="4"/>
      <c r="W408" s="4"/>
      <c r="X408" s="67"/>
      <c r="Y408" s="67"/>
      <c r="Z408" s="67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/>
      <c r="M409" s="4"/>
      <c r="N409" s="3"/>
      <c r="O409" s="3"/>
      <c r="P409" s="4"/>
      <c r="Q409" s="4"/>
      <c r="R409" s="3"/>
      <c r="S409" s="4"/>
      <c r="T409" s="5"/>
      <c r="U409" s="4"/>
      <c r="V409" s="4"/>
      <c r="W409" s="4"/>
      <c r="X409" s="67"/>
      <c r="Y409" s="67"/>
      <c r="Z409" s="67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3"/>
      <c r="M410" s="4"/>
      <c r="N410" s="3"/>
      <c r="O410" s="3"/>
      <c r="P410" s="4"/>
      <c r="Q410" s="4"/>
      <c r="R410" s="3"/>
      <c r="S410" s="4"/>
      <c r="T410" s="5"/>
      <c r="U410" s="4"/>
      <c r="V410" s="4"/>
      <c r="W410" s="4"/>
      <c r="X410" s="67"/>
      <c r="Y410" s="67"/>
      <c r="Z410" s="67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3"/>
      <c r="M411" s="4"/>
      <c r="N411" s="3"/>
      <c r="O411" s="3"/>
      <c r="P411" s="4"/>
      <c r="Q411" s="4"/>
      <c r="R411" s="3"/>
      <c r="S411" s="4"/>
      <c r="T411" s="5"/>
      <c r="U411" s="4"/>
      <c r="V411" s="4"/>
      <c r="W411" s="4"/>
      <c r="X411" s="67"/>
      <c r="Y411" s="67"/>
      <c r="Z411" s="67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3"/>
      <c r="M412" s="4"/>
      <c r="N412" s="3"/>
      <c r="O412" s="3"/>
      <c r="P412" s="4"/>
      <c r="Q412" s="4"/>
      <c r="R412" s="3"/>
      <c r="S412" s="4"/>
      <c r="T412" s="5"/>
      <c r="U412" s="4"/>
      <c r="V412" s="4"/>
      <c r="W412" s="4"/>
      <c r="X412" s="67"/>
      <c r="Y412" s="67"/>
      <c r="Z412" s="67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3"/>
      <c r="M413" s="4"/>
      <c r="N413" s="3"/>
      <c r="O413" s="3"/>
      <c r="P413" s="4"/>
      <c r="Q413" s="4"/>
      <c r="R413" s="3"/>
      <c r="S413" s="4"/>
      <c r="T413" s="5"/>
      <c r="U413" s="4"/>
      <c r="V413" s="4"/>
      <c r="W413" s="4"/>
      <c r="X413" s="67"/>
      <c r="Y413" s="67"/>
      <c r="Z413" s="67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3"/>
      <c r="M414" s="4"/>
      <c r="N414" s="3"/>
      <c r="O414" s="3"/>
      <c r="P414" s="4"/>
      <c r="Q414" s="4"/>
      <c r="R414" s="3"/>
      <c r="S414" s="4"/>
      <c r="T414" s="5"/>
      <c r="U414" s="4"/>
      <c r="V414" s="4"/>
      <c r="W414" s="4"/>
      <c r="X414" s="67"/>
      <c r="Y414" s="67"/>
      <c r="Z414" s="67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3"/>
      <c r="M415" s="4"/>
      <c r="N415" s="3"/>
      <c r="O415" s="3"/>
      <c r="P415" s="4"/>
      <c r="Q415" s="4"/>
      <c r="R415" s="3"/>
      <c r="S415" s="4"/>
      <c r="T415" s="5"/>
      <c r="U415" s="4"/>
      <c r="V415" s="4"/>
      <c r="W415" s="4"/>
      <c r="X415" s="67"/>
      <c r="Y415" s="67"/>
      <c r="Z415" s="67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3"/>
      <c r="M416" s="4"/>
      <c r="N416" s="3"/>
      <c r="O416" s="3"/>
      <c r="P416" s="4"/>
      <c r="Q416" s="4"/>
      <c r="R416" s="3"/>
      <c r="S416" s="4"/>
      <c r="T416" s="5"/>
      <c r="U416" s="4"/>
      <c r="V416" s="4"/>
      <c r="W416" s="4"/>
      <c r="X416" s="67"/>
      <c r="Y416" s="67"/>
      <c r="Z416" s="67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3"/>
      <c r="M417" s="4"/>
      <c r="N417" s="3"/>
      <c r="O417" s="3"/>
      <c r="P417" s="4"/>
      <c r="Q417" s="4"/>
      <c r="R417" s="3"/>
      <c r="S417" s="4"/>
      <c r="T417" s="5"/>
      <c r="U417" s="4"/>
      <c r="V417" s="4"/>
      <c r="W417" s="4"/>
      <c r="X417" s="67"/>
      <c r="Y417" s="67"/>
      <c r="Z417" s="67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3"/>
      <c r="M418" s="4"/>
      <c r="N418" s="3"/>
      <c r="O418" s="3"/>
      <c r="P418" s="4"/>
      <c r="Q418" s="4"/>
      <c r="R418" s="3"/>
      <c r="S418" s="4"/>
      <c r="T418" s="5"/>
      <c r="U418" s="4"/>
      <c r="V418" s="4"/>
      <c r="W418" s="4"/>
      <c r="X418" s="67"/>
      <c r="Y418" s="67"/>
      <c r="Z418" s="67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3"/>
      <c r="M419" s="4"/>
      <c r="N419" s="3"/>
      <c r="O419" s="3"/>
      <c r="P419" s="4"/>
      <c r="Q419" s="4"/>
      <c r="R419" s="3"/>
      <c r="S419" s="4"/>
      <c r="T419" s="5"/>
      <c r="U419" s="4"/>
      <c r="V419" s="4"/>
      <c r="W419" s="4"/>
      <c r="X419" s="67"/>
      <c r="Y419" s="67"/>
      <c r="Z419" s="67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/>
      <c r="M420" s="4"/>
      <c r="N420" s="3"/>
      <c r="O420" s="3"/>
      <c r="P420" s="4"/>
      <c r="Q420" s="4"/>
      <c r="R420" s="3"/>
      <c r="S420" s="4"/>
      <c r="T420" s="5"/>
      <c r="U420" s="4"/>
      <c r="V420" s="4"/>
      <c r="W420" s="4"/>
      <c r="X420" s="67"/>
      <c r="Y420" s="67"/>
      <c r="Z420" s="67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3"/>
      <c r="M421" s="4"/>
      <c r="N421" s="3"/>
      <c r="O421" s="3"/>
      <c r="P421" s="4"/>
      <c r="Q421" s="4"/>
      <c r="R421" s="3"/>
      <c r="S421" s="4"/>
      <c r="T421" s="5"/>
      <c r="U421" s="4"/>
      <c r="V421" s="4"/>
      <c r="W421" s="4"/>
      <c r="X421" s="67"/>
      <c r="Y421" s="67"/>
      <c r="Z421" s="67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3"/>
      <c r="M422" s="4"/>
      <c r="N422" s="3"/>
      <c r="O422" s="3"/>
      <c r="P422" s="4"/>
      <c r="Q422" s="4"/>
      <c r="R422" s="3"/>
      <c r="S422" s="4"/>
      <c r="T422" s="5"/>
      <c r="U422" s="4"/>
      <c r="V422" s="4"/>
      <c r="W422" s="4"/>
      <c r="X422" s="67"/>
      <c r="Y422" s="67"/>
      <c r="Z422" s="67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3"/>
      <c r="M423" s="4"/>
      <c r="N423" s="3"/>
      <c r="O423" s="3"/>
      <c r="P423" s="4"/>
      <c r="Q423" s="4"/>
      <c r="R423" s="3"/>
      <c r="S423" s="4"/>
      <c r="T423" s="5"/>
      <c r="U423" s="4"/>
      <c r="V423" s="4"/>
      <c r="W423" s="4"/>
      <c r="X423" s="67"/>
      <c r="Y423" s="67"/>
      <c r="Z423" s="67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3"/>
      <c r="M424" s="4"/>
      <c r="N424" s="3"/>
      <c r="O424" s="3"/>
      <c r="P424" s="4"/>
      <c r="Q424" s="4"/>
      <c r="R424" s="3"/>
      <c r="S424" s="4"/>
      <c r="T424" s="5"/>
      <c r="U424" s="4"/>
      <c r="V424" s="4"/>
      <c r="W424" s="4"/>
      <c r="X424" s="67"/>
      <c r="Y424" s="67"/>
      <c r="Z424" s="67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3"/>
      <c r="M425" s="4"/>
      <c r="N425" s="3"/>
      <c r="O425" s="3"/>
      <c r="P425" s="4"/>
      <c r="Q425" s="4"/>
      <c r="R425" s="3"/>
      <c r="S425" s="4"/>
      <c r="T425" s="5"/>
      <c r="U425" s="4"/>
      <c r="V425" s="4"/>
      <c r="W425" s="4"/>
      <c r="X425" s="67"/>
      <c r="Y425" s="67"/>
      <c r="Z425" s="67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3"/>
      <c r="M426" s="4"/>
      <c r="N426" s="3"/>
      <c r="O426" s="3"/>
      <c r="P426" s="4"/>
      <c r="Q426" s="4"/>
      <c r="R426" s="3"/>
      <c r="S426" s="4"/>
      <c r="T426" s="5"/>
      <c r="U426" s="4"/>
      <c r="V426" s="4"/>
      <c r="W426" s="4"/>
      <c r="X426" s="67"/>
      <c r="Y426" s="67"/>
      <c r="Z426" s="67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3"/>
      <c r="M427" s="4"/>
      <c r="N427" s="3"/>
      <c r="O427" s="3"/>
      <c r="P427" s="4"/>
      <c r="Q427" s="4"/>
      <c r="R427" s="3"/>
      <c r="S427" s="4"/>
      <c r="T427" s="5"/>
      <c r="U427" s="4"/>
      <c r="V427" s="4"/>
      <c r="W427" s="4"/>
      <c r="X427" s="67"/>
      <c r="Y427" s="67"/>
      <c r="Z427" s="67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3"/>
      <c r="M428" s="4"/>
      <c r="N428" s="3"/>
      <c r="O428" s="3"/>
      <c r="P428" s="4"/>
      <c r="Q428" s="4"/>
      <c r="R428" s="3"/>
      <c r="S428" s="4"/>
      <c r="T428" s="5"/>
      <c r="U428" s="4"/>
      <c r="V428" s="4"/>
      <c r="W428" s="4"/>
      <c r="X428" s="67"/>
      <c r="Y428" s="67"/>
      <c r="Z428" s="67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3"/>
      <c r="M429" s="4"/>
      <c r="N429" s="3"/>
      <c r="O429" s="3"/>
      <c r="P429" s="4"/>
      <c r="Q429" s="4"/>
      <c r="R429" s="3"/>
      <c r="S429" s="4"/>
      <c r="T429" s="5"/>
      <c r="U429" s="4"/>
      <c r="V429" s="4"/>
      <c r="W429" s="4"/>
      <c r="X429" s="67"/>
      <c r="Y429" s="67"/>
      <c r="Z429" s="67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3"/>
      <c r="M430" s="4"/>
      <c r="N430" s="3"/>
      <c r="O430" s="3"/>
      <c r="P430" s="4"/>
      <c r="Q430" s="4"/>
      <c r="R430" s="3"/>
      <c r="S430" s="4"/>
      <c r="T430" s="5"/>
      <c r="U430" s="4"/>
      <c r="V430" s="4"/>
      <c r="W430" s="4"/>
      <c r="X430" s="67"/>
      <c r="Y430" s="67"/>
      <c r="Z430" s="67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3"/>
      <c r="M431" s="4"/>
      <c r="N431" s="3"/>
      <c r="O431" s="3"/>
      <c r="P431" s="4"/>
      <c r="Q431" s="4"/>
      <c r="R431" s="3"/>
      <c r="S431" s="4"/>
      <c r="T431" s="5"/>
      <c r="U431" s="4"/>
      <c r="V431" s="4"/>
      <c r="W431" s="4"/>
      <c r="X431" s="67"/>
      <c r="Y431" s="67"/>
      <c r="Z431" s="67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3"/>
      <c r="M432" s="4"/>
      <c r="N432" s="3"/>
      <c r="O432" s="3"/>
      <c r="P432" s="4"/>
      <c r="Q432" s="4"/>
      <c r="R432" s="3"/>
      <c r="S432" s="4"/>
      <c r="T432" s="5"/>
      <c r="U432" s="4"/>
      <c r="V432" s="4"/>
      <c r="W432" s="4"/>
      <c r="X432" s="67"/>
      <c r="Y432" s="67"/>
      <c r="Z432" s="67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3"/>
      <c r="M433" s="4"/>
      <c r="N433" s="3"/>
      <c r="O433" s="3"/>
      <c r="P433" s="4"/>
      <c r="Q433" s="4"/>
      <c r="R433" s="3"/>
      <c r="S433" s="4"/>
      <c r="T433" s="5"/>
      <c r="U433" s="4"/>
      <c r="V433" s="4"/>
      <c r="W433" s="4"/>
      <c r="X433" s="67"/>
      <c r="Y433" s="67"/>
      <c r="Z433" s="67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3"/>
      <c r="M434" s="4"/>
      <c r="N434" s="3"/>
      <c r="O434" s="3"/>
      <c r="P434" s="4"/>
      <c r="Q434" s="4"/>
      <c r="R434" s="3"/>
      <c r="S434" s="4"/>
      <c r="T434" s="5"/>
      <c r="U434" s="4"/>
      <c r="V434" s="4"/>
      <c r="W434" s="4"/>
      <c r="X434" s="67"/>
      <c r="Y434" s="67"/>
      <c r="Z434" s="67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3"/>
      <c r="M435" s="4"/>
      <c r="N435" s="3"/>
      <c r="O435" s="3"/>
      <c r="P435" s="4"/>
      <c r="Q435" s="4"/>
      <c r="R435" s="3"/>
      <c r="S435" s="4"/>
      <c r="T435" s="5"/>
      <c r="U435" s="4"/>
      <c r="V435" s="4"/>
      <c r="W435" s="4"/>
      <c r="X435" s="67"/>
      <c r="Y435" s="67"/>
      <c r="Z435" s="67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3"/>
      <c r="M436" s="4"/>
      <c r="N436" s="3"/>
      <c r="O436" s="3"/>
      <c r="P436" s="4"/>
      <c r="Q436" s="4"/>
      <c r="R436" s="3"/>
      <c r="S436" s="4"/>
      <c r="T436" s="5"/>
      <c r="U436" s="4"/>
      <c r="V436" s="4"/>
      <c r="W436" s="4"/>
      <c r="X436" s="67"/>
      <c r="Y436" s="67"/>
      <c r="Z436" s="67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3"/>
      <c r="M437" s="4"/>
      <c r="N437" s="3"/>
      <c r="O437" s="3"/>
      <c r="P437" s="4"/>
      <c r="Q437" s="4"/>
      <c r="R437" s="3"/>
      <c r="S437" s="4"/>
      <c r="T437" s="5"/>
      <c r="U437" s="4"/>
      <c r="V437" s="4"/>
      <c r="W437" s="4"/>
      <c r="X437" s="67"/>
      <c r="Y437" s="67"/>
      <c r="Z437" s="67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3"/>
      <c r="M438" s="4"/>
      <c r="N438" s="3"/>
      <c r="O438" s="3"/>
      <c r="P438" s="4"/>
      <c r="Q438" s="4"/>
      <c r="R438" s="3"/>
      <c r="S438" s="4"/>
      <c r="T438" s="5"/>
      <c r="U438" s="4"/>
      <c r="V438" s="4"/>
      <c r="W438" s="4"/>
      <c r="X438" s="67"/>
      <c r="Y438" s="67"/>
      <c r="Z438" s="67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3"/>
      <c r="M439" s="4"/>
      <c r="N439" s="3"/>
      <c r="O439" s="3"/>
      <c r="P439" s="4"/>
      <c r="Q439" s="4"/>
      <c r="R439" s="3"/>
      <c r="S439" s="4"/>
      <c r="T439" s="5"/>
      <c r="U439" s="4"/>
      <c r="V439" s="4"/>
      <c r="W439" s="4"/>
      <c r="X439" s="67"/>
      <c r="Y439" s="67"/>
      <c r="Z439" s="67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3"/>
      <c r="M440" s="4"/>
      <c r="N440" s="3"/>
      <c r="O440" s="3"/>
      <c r="P440" s="4"/>
      <c r="Q440" s="4"/>
      <c r="R440" s="3"/>
      <c r="S440" s="4"/>
      <c r="T440" s="5"/>
      <c r="U440" s="4"/>
      <c r="V440" s="4"/>
      <c r="W440" s="4"/>
      <c r="X440" s="67"/>
      <c r="Y440" s="67"/>
      <c r="Z440" s="67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3"/>
      <c r="M441" s="4"/>
      <c r="N441" s="3"/>
      <c r="O441" s="3"/>
      <c r="P441" s="4"/>
      <c r="Q441" s="4"/>
      <c r="R441" s="3"/>
      <c r="S441" s="4"/>
      <c r="T441" s="5"/>
      <c r="U441" s="4"/>
      <c r="V441" s="4"/>
      <c r="W441" s="4"/>
      <c r="X441" s="67"/>
      <c r="Y441" s="67"/>
      <c r="Z441" s="67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3"/>
      <c r="M442" s="4"/>
      <c r="N442" s="3"/>
      <c r="O442" s="3"/>
      <c r="P442" s="4"/>
      <c r="Q442" s="4"/>
      <c r="R442" s="3"/>
      <c r="S442" s="4"/>
      <c r="T442" s="5"/>
      <c r="U442" s="4"/>
      <c r="V442" s="4"/>
      <c r="W442" s="4"/>
      <c r="X442" s="67"/>
      <c r="Y442" s="67"/>
      <c r="Z442" s="67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3"/>
      <c r="M443" s="4"/>
      <c r="N443" s="3"/>
      <c r="O443" s="3"/>
      <c r="P443" s="4"/>
      <c r="Q443" s="4"/>
      <c r="R443" s="3"/>
      <c r="S443" s="4"/>
      <c r="T443" s="5"/>
      <c r="U443" s="4"/>
      <c r="V443" s="4"/>
      <c r="W443" s="4"/>
      <c r="X443" s="67"/>
      <c r="Y443" s="67"/>
      <c r="Z443" s="67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3"/>
      <c r="M444" s="4"/>
      <c r="N444" s="3"/>
      <c r="O444" s="3"/>
      <c r="P444" s="4"/>
      <c r="Q444" s="4"/>
      <c r="R444" s="3"/>
      <c r="S444" s="4"/>
      <c r="T444" s="5"/>
      <c r="U444" s="4"/>
      <c r="V444" s="4"/>
      <c r="W444" s="4"/>
      <c r="X444" s="67"/>
      <c r="Y444" s="67"/>
      <c r="Z444" s="67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3"/>
      <c r="M445" s="4"/>
      <c r="N445" s="3"/>
      <c r="O445" s="3"/>
      <c r="P445" s="4"/>
      <c r="Q445" s="4"/>
      <c r="R445" s="3"/>
      <c r="S445" s="4"/>
      <c r="T445" s="5"/>
      <c r="U445" s="4"/>
      <c r="V445" s="4"/>
      <c r="W445" s="4"/>
      <c r="X445" s="67"/>
      <c r="Y445" s="67"/>
      <c r="Z445" s="67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3"/>
      <c r="M446" s="4"/>
      <c r="N446" s="3"/>
      <c r="O446" s="3"/>
      <c r="P446" s="4"/>
      <c r="Q446" s="4"/>
      <c r="R446" s="3"/>
      <c r="S446" s="4"/>
      <c r="T446" s="5"/>
      <c r="U446" s="4"/>
      <c r="V446" s="4"/>
      <c r="W446" s="4"/>
      <c r="X446" s="67"/>
      <c r="Y446" s="67"/>
      <c r="Z446" s="67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3"/>
      <c r="M447" s="4"/>
      <c r="N447" s="3"/>
      <c r="O447" s="3"/>
      <c r="P447" s="4"/>
      <c r="Q447" s="4"/>
      <c r="R447" s="3"/>
      <c r="S447" s="4"/>
      <c r="T447" s="5"/>
      <c r="U447" s="4"/>
      <c r="V447" s="4"/>
      <c r="W447" s="4"/>
      <c r="X447" s="67"/>
      <c r="Y447" s="67"/>
      <c r="Z447" s="67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3"/>
      <c r="M448" s="4"/>
      <c r="N448" s="3"/>
      <c r="O448" s="3"/>
      <c r="P448" s="4"/>
      <c r="Q448" s="4"/>
      <c r="R448" s="3"/>
      <c r="S448" s="4"/>
      <c r="T448" s="5"/>
      <c r="U448" s="4"/>
      <c r="V448" s="4"/>
      <c r="W448" s="4"/>
      <c r="X448" s="67"/>
      <c r="Y448" s="67"/>
      <c r="Z448" s="67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3"/>
      <c r="M449" s="4"/>
      <c r="N449" s="3"/>
      <c r="O449" s="3"/>
      <c r="P449" s="4"/>
      <c r="Q449" s="4"/>
      <c r="R449" s="3"/>
      <c r="S449" s="4"/>
      <c r="T449" s="5"/>
      <c r="U449" s="4"/>
      <c r="V449" s="4"/>
      <c r="W449" s="4"/>
      <c r="X449" s="67"/>
      <c r="Y449" s="67"/>
      <c r="Z449" s="67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3"/>
      <c r="M450" s="4"/>
      <c r="N450" s="3"/>
      <c r="O450" s="3"/>
      <c r="P450" s="4"/>
      <c r="Q450" s="4"/>
      <c r="R450" s="3"/>
      <c r="S450" s="4"/>
      <c r="T450" s="5"/>
      <c r="U450" s="4"/>
      <c r="V450" s="4"/>
      <c r="W450" s="4"/>
      <c r="X450" s="67"/>
      <c r="Y450" s="67"/>
      <c r="Z450" s="67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3"/>
      <c r="M451" s="4"/>
      <c r="N451" s="3"/>
      <c r="O451" s="3"/>
      <c r="P451" s="4"/>
      <c r="Q451" s="4"/>
      <c r="R451" s="3"/>
      <c r="S451" s="4"/>
      <c r="T451" s="5"/>
      <c r="U451" s="4"/>
      <c r="V451" s="4"/>
      <c r="W451" s="4"/>
      <c r="X451" s="67"/>
      <c r="Y451" s="67"/>
      <c r="Z451" s="67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3"/>
      <c r="M452" s="4"/>
      <c r="N452" s="3"/>
      <c r="O452" s="3"/>
      <c r="P452" s="4"/>
      <c r="Q452" s="4"/>
      <c r="R452" s="3"/>
      <c r="S452" s="4"/>
      <c r="T452" s="5"/>
      <c r="U452" s="4"/>
      <c r="V452" s="4"/>
      <c r="W452" s="4"/>
      <c r="X452" s="67"/>
      <c r="Y452" s="67"/>
      <c r="Z452" s="67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3"/>
      <c r="M453" s="4"/>
      <c r="N453" s="3"/>
      <c r="O453" s="3"/>
      <c r="P453" s="4"/>
      <c r="Q453" s="4"/>
      <c r="R453" s="3"/>
      <c r="S453" s="4"/>
      <c r="T453" s="5"/>
      <c r="U453" s="4"/>
      <c r="V453" s="4"/>
      <c r="W453" s="4"/>
      <c r="X453" s="67"/>
      <c r="Y453" s="67"/>
      <c r="Z453" s="67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3"/>
      <c r="M454" s="4"/>
      <c r="N454" s="3"/>
      <c r="O454" s="3"/>
      <c r="P454" s="4"/>
      <c r="Q454" s="4"/>
      <c r="R454" s="3"/>
      <c r="S454" s="4"/>
      <c r="T454" s="5"/>
      <c r="U454" s="4"/>
      <c r="V454" s="4"/>
      <c r="W454" s="4"/>
      <c r="X454" s="67"/>
      <c r="Y454" s="67"/>
      <c r="Z454" s="67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3"/>
      <c r="M455" s="4"/>
      <c r="N455" s="3"/>
      <c r="O455" s="3"/>
      <c r="P455" s="4"/>
      <c r="Q455" s="4"/>
      <c r="R455" s="3"/>
      <c r="S455" s="4"/>
      <c r="T455" s="5"/>
      <c r="U455" s="4"/>
      <c r="V455" s="4"/>
      <c r="W455" s="4"/>
      <c r="X455" s="67"/>
      <c r="Y455" s="67"/>
      <c r="Z455" s="67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3"/>
      <c r="M456" s="4"/>
      <c r="N456" s="3"/>
      <c r="O456" s="3"/>
      <c r="P456" s="4"/>
      <c r="Q456" s="4"/>
      <c r="R456" s="3"/>
      <c r="S456" s="4"/>
      <c r="T456" s="5"/>
      <c r="U456" s="4"/>
      <c r="V456" s="4"/>
      <c r="W456" s="4"/>
      <c r="X456" s="67"/>
      <c r="Y456" s="67"/>
      <c r="Z456" s="67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3"/>
      <c r="M457" s="4"/>
      <c r="N457" s="3"/>
      <c r="O457" s="3"/>
      <c r="P457" s="4"/>
      <c r="Q457" s="4"/>
      <c r="R457" s="3"/>
      <c r="S457" s="4"/>
      <c r="T457" s="5"/>
      <c r="U457" s="4"/>
      <c r="V457" s="4"/>
      <c r="W457" s="4"/>
      <c r="X457" s="67"/>
      <c r="Y457" s="67"/>
      <c r="Z457" s="67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3"/>
      <c r="M458" s="4"/>
      <c r="N458" s="3"/>
      <c r="O458" s="3"/>
      <c r="P458" s="4"/>
      <c r="Q458" s="4"/>
      <c r="R458" s="3"/>
      <c r="S458" s="4"/>
      <c r="T458" s="5"/>
      <c r="U458" s="4"/>
      <c r="V458" s="4"/>
      <c r="W458" s="4"/>
      <c r="X458" s="67"/>
      <c r="Y458" s="67"/>
      <c r="Z458" s="67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3"/>
      <c r="M459" s="4"/>
      <c r="N459" s="3"/>
      <c r="O459" s="3"/>
      <c r="P459" s="4"/>
      <c r="Q459" s="4"/>
      <c r="R459" s="3"/>
      <c r="S459" s="4"/>
      <c r="T459" s="5"/>
      <c r="U459" s="4"/>
      <c r="V459" s="4"/>
      <c r="W459" s="4"/>
      <c r="X459" s="67"/>
      <c r="Y459" s="67"/>
      <c r="Z459" s="67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3"/>
      <c r="M460" s="4"/>
      <c r="N460" s="3"/>
      <c r="O460" s="3"/>
      <c r="P460" s="4"/>
      <c r="Q460" s="4"/>
      <c r="R460" s="3"/>
      <c r="S460" s="4"/>
      <c r="T460" s="5"/>
      <c r="U460" s="4"/>
      <c r="V460" s="4"/>
      <c r="W460" s="4"/>
      <c r="X460" s="67"/>
      <c r="Y460" s="67"/>
      <c r="Z460" s="67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3"/>
      <c r="M461" s="4"/>
      <c r="N461" s="3"/>
      <c r="O461" s="3"/>
      <c r="P461" s="4"/>
      <c r="Q461" s="4"/>
      <c r="R461" s="3"/>
      <c r="S461" s="4"/>
      <c r="T461" s="5"/>
      <c r="U461" s="4"/>
      <c r="V461" s="4"/>
      <c r="W461" s="4"/>
      <c r="X461" s="67"/>
      <c r="Y461" s="67"/>
      <c r="Z461" s="67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3"/>
      <c r="M462" s="4"/>
      <c r="N462" s="3"/>
      <c r="O462" s="3"/>
      <c r="P462" s="4"/>
      <c r="Q462" s="4"/>
      <c r="R462" s="3"/>
      <c r="S462" s="4"/>
      <c r="T462" s="5"/>
      <c r="U462" s="4"/>
      <c r="V462" s="4"/>
      <c r="W462" s="4"/>
      <c r="X462" s="67"/>
      <c r="Y462" s="67"/>
      <c r="Z462" s="67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3"/>
      <c r="M463" s="4"/>
      <c r="N463" s="3"/>
      <c r="O463" s="3"/>
      <c r="P463" s="4"/>
      <c r="Q463" s="4"/>
      <c r="R463" s="3"/>
      <c r="S463" s="4"/>
      <c r="T463" s="5"/>
      <c r="U463" s="4"/>
      <c r="V463" s="4"/>
      <c r="W463" s="4"/>
      <c r="X463" s="67"/>
      <c r="Y463" s="67"/>
      <c r="Z463" s="67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3"/>
      <c r="M464" s="4"/>
      <c r="N464" s="3"/>
      <c r="O464" s="3"/>
      <c r="P464" s="4"/>
      <c r="Q464" s="4"/>
      <c r="R464" s="3"/>
      <c r="S464" s="4"/>
      <c r="T464" s="5"/>
      <c r="U464" s="4"/>
      <c r="V464" s="4"/>
      <c r="W464" s="4"/>
      <c r="X464" s="67"/>
      <c r="Y464" s="67"/>
      <c r="Z464" s="67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3"/>
      <c r="M465" s="4"/>
      <c r="N465" s="3"/>
      <c r="O465" s="3"/>
      <c r="P465" s="4"/>
      <c r="Q465" s="4"/>
      <c r="R465" s="3"/>
      <c r="S465" s="4"/>
      <c r="T465" s="5"/>
      <c r="U465" s="4"/>
      <c r="V465" s="4"/>
      <c r="W465" s="4"/>
      <c r="X465" s="67"/>
      <c r="Y465" s="67"/>
      <c r="Z465" s="67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3"/>
      <c r="M466" s="4"/>
      <c r="N466" s="3"/>
      <c r="O466" s="3"/>
      <c r="P466" s="4"/>
      <c r="Q466" s="4"/>
      <c r="R466" s="3"/>
      <c r="S466" s="4"/>
      <c r="T466" s="5"/>
      <c r="U466" s="4"/>
      <c r="V466" s="4"/>
      <c r="W466" s="4"/>
      <c r="X466" s="67"/>
      <c r="Y466" s="67"/>
      <c r="Z466" s="67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3"/>
      <c r="M467" s="4"/>
      <c r="N467" s="3"/>
      <c r="O467" s="3"/>
      <c r="P467" s="4"/>
      <c r="Q467" s="4"/>
      <c r="R467" s="3"/>
      <c r="S467" s="4"/>
      <c r="T467" s="5"/>
      <c r="U467" s="4"/>
      <c r="V467" s="4"/>
      <c r="W467" s="4"/>
      <c r="X467" s="67"/>
      <c r="Y467" s="67"/>
      <c r="Z467" s="67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3"/>
      <c r="M468" s="4"/>
      <c r="N468" s="3"/>
      <c r="O468" s="3"/>
      <c r="P468" s="4"/>
      <c r="Q468" s="4"/>
      <c r="R468" s="3"/>
      <c r="S468" s="4"/>
      <c r="T468" s="5"/>
      <c r="U468" s="4"/>
      <c r="V468" s="4"/>
      <c r="W468" s="4"/>
      <c r="X468" s="67"/>
      <c r="Y468" s="67"/>
      <c r="Z468" s="67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3"/>
      <c r="M469" s="4"/>
      <c r="N469" s="3"/>
      <c r="O469" s="3"/>
      <c r="P469" s="4"/>
      <c r="Q469" s="4"/>
      <c r="R469" s="3"/>
      <c r="S469" s="4"/>
      <c r="T469" s="5"/>
      <c r="U469" s="4"/>
      <c r="V469" s="4"/>
      <c r="W469" s="4"/>
      <c r="X469" s="67"/>
      <c r="Y469" s="67"/>
      <c r="Z469" s="67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3"/>
      <c r="M470" s="4"/>
      <c r="N470" s="3"/>
      <c r="O470" s="3"/>
      <c r="P470" s="4"/>
      <c r="Q470" s="4"/>
      <c r="R470" s="3"/>
      <c r="S470" s="4"/>
      <c r="T470" s="5"/>
      <c r="U470" s="4"/>
      <c r="V470" s="4"/>
      <c r="W470" s="4"/>
      <c r="X470" s="67"/>
      <c r="Y470" s="67"/>
      <c r="Z470" s="67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3"/>
      <c r="M471" s="4"/>
      <c r="N471" s="3"/>
      <c r="O471" s="3"/>
      <c r="P471" s="4"/>
      <c r="Q471" s="4"/>
      <c r="R471" s="3"/>
      <c r="S471" s="4"/>
      <c r="T471" s="5"/>
      <c r="U471" s="4"/>
      <c r="V471" s="4"/>
      <c r="W471" s="4"/>
      <c r="X471" s="67"/>
      <c r="Y471" s="67"/>
      <c r="Z471" s="67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3"/>
      <c r="M472" s="4"/>
      <c r="N472" s="3"/>
      <c r="O472" s="3"/>
      <c r="P472" s="4"/>
      <c r="Q472" s="4"/>
      <c r="R472" s="3"/>
      <c r="S472" s="4"/>
      <c r="T472" s="5"/>
      <c r="U472" s="4"/>
      <c r="V472" s="4"/>
      <c r="W472" s="4"/>
      <c r="X472" s="67"/>
      <c r="Y472" s="67"/>
      <c r="Z472" s="67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3"/>
      <c r="M473" s="4"/>
      <c r="N473" s="3"/>
      <c r="O473" s="3"/>
      <c r="P473" s="4"/>
      <c r="Q473" s="4"/>
      <c r="R473" s="3"/>
      <c r="S473" s="4"/>
      <c r="T473" s="5"/>
      <c r="U473" s="4"/>
      <c r="V473" s="4"/>
      <c r="W473" s="4"/>
      <c r="X473" s="67"/>
      <c r="Y473" s="67"/>
      <c r="Z473" s="67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3"/>
      <c r="M474" s="4"/>
      <c r="N474" s="3"/>
      <c r="O474" s="3"/>
      <c r="P474" s="4"/>
      <c r="Q474" s="4"/>
      <c r="R474" s="3"/>
      <c r="S474" s="4"/>
      <c r="T474" s="5"/>
      <c r="U474" s="4"/>
      <c r="V474" s="4"/>
      <c r="W474" s="4"/>
      <c r="X474" s="67"/>
      <c r="Y474" s="67"/>
      <c r="Z474" s="67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3"/>
      <c r="M475" s="4"/>
      <c r="N475" s="3"/>
      <c r="O475" s="3"/>
      <c r="P475" s="4"/>
      <c r="Q475" s="4"/>
      <c r="R475" s="3"/>
      <c r="S475" s="4"/>
      <c r="T475" s="5"/>
      <c r="U475" s="4"/>
      <c r="V475" s="4"/>
      <c r="W475" s="4"/>
      <c r="X475" s="67"/>
      <c r="Y475" s="67"/>
      <c r="Z475" s="67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3"/>
      <c r="M476" s="4"/>
      <c r="N476" s="3"/>
      <c r="O476" s="3"/>
      <c r="P476" s="4"/>
      <c r="Q476" s="4"/>
      <c r="R476" s="3"/>
      <c r="S476" s="4"/>
      <c r="T476" s="5"/>
      <c r="U476" s="4"/>
      <c r="V476" s="4"/>
      <c r="W476" s="4"/>
      <c r="X476" s="67"/>
      <c r="Y476" s="67"/>
      <c r="Z476" s="67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3"/>
      <c r="M477" s="4"/>
      <c r="N477" s="3"/>
      <c r="O477" s="3"/>
      <c r="P477" s="4"/>
      <c r="Q477" s="4"/>
      <c r="R477" s="3"/>
      <c r="S477" s="4"/>
      <c r="T477" s="5"/>
      <c r="U477" s="4"/>
      <c r="V477" s="4"/>
      <c r="W477" s="4"/>
      <c r="X477" s="67"/>
      <c r="Y477" s="67"/>
      <c r="Z477" s="67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3"/>
      <c r="M478" s="4"/>
      <c r="N478" s="3"/>
      <c r="O478" s="3"/>
      <c r="P478" s="4"/>
      <c r="Q478" s="4"/>
      <c r="R478" s="3"/>
      <c r="S478" s="4"/>
      <c r="T478" s="5"/>
      <c r="U478" s="4"/>
      <c r="V478" s="4"/>
      <c r="W478" s="4"/>
      <c r="X478" s="67"/>
      <c r="Y478" s="67"/>
      <c r="Z478" s="67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/>
      <c r="M479" s="4"/>
      <c r="N479" s="3"/>
      <c r="O479" s="3"/>
      <c r="P479" s="4"/>
      <c r="Q479" s="4"/>
      <c r="R479" s="3"/>
      <c r="S479" s="4"/>
      <c r="T479" s="5"/>
      <c r="U479" s="4"/>
      <c r="V479" s="4"/>
      <c r="W479" s="4"/>
      <c r="X479" s="67"/>
      <c r="Y479" s="67"/>
      <c r="Z479" s="67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3"/>
      <c r="M480" s="4"/>
      <c r="N480" s="3"/>
      <c r="O480" s="3"/>
      <c r="P480" s="4"/>
      <c r="Q480" s="4"/>
      <c r="R480" s="3"/>
      <c r="S480" s="4"/>
      <c r="T480" s="5"/>
      <c r="U480" s="4"/>
      <c r="V480" s="4"/>
      <c r="W480" s="4"/>
      <c r="X480" s="67"/>
      <c r="Y480" s="67"/>
      <c r="Z480" s="67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3"/>
      <c r="M481" s="4"/>
      <c r="N481" s="3"/>
      <c r="O481" s="3"/>
      <c r="P481" s="4"/>
      <c r="Q481" s="4"/>
      <c r="R481" s="3"/>
      <c r="S481" s="4"/>
      <c r="T481" s="5"/>
      <c r="U481" s="4"/>
      <c r="V481" s="4"/>
      <c r="W481" s="4"/>
      <c r="X481" s="67"/>
      <c r="Y481" s="67"/>
      <c r="Z481" s="67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3"/>
      <c r="M482" s="4"/>
      <c r="N482" s="3"/>
      <c r="O482" s="3"/>
      <c r="P482" s="4"/>
      <c r="Q482" s="4"/>
      <c r="R482" s="3"/>
      <c r="S482" s="4"/>
      <c r="T482" s="5"/>
      <c r="U482" s="4"/>
      <c r="V482" s="4"/>
      <c r="W482" s="4"/>
      <c r="X482" s="67"/>
      <c r="Y482" s="67"/>
      <c r="Z482" s="67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3"/>
      <c r="M483" s="4"/>
      <c r="N483" s="3"/>
      <c r="O483" s="3"/>
      <c r="P483" s="4"/>
      <c r="Q483" s="4"/>
      <c r="R483" s="3"/>
      <c r="S483" s="4"/>
      <c r="T483" s="5"/>
      <c r="U483" s="4"/>
      <c r="V483" s="4"/>
      <c r="W483" s="4"/>
      <c r="X483" s="67"/>
      <c r="Y483" s="67"/>
      <c r="Z483" s="67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3"/>
      <c r="M484" s="4"/>
      <c r="N484" s="3"/>
      <c r="O484" s="3"/>
      <c r="P484" s="4"/>
      <c r="Q484" s="4"/>
      <c r="R484" s="3"/>
      <c r="S484" s="4"/>
      <c r="T484" s="5"/>
      <c r="U484" s="4"/>
      <c r="V484" s="4"/>
      <c r="W484" s="4"/>
      <c r="X484" s="67"/>
      <c r="Y484" s="67"/>
      <c r="Z484" s="67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3"/>
      <c r="M485" s="4"/>
      <c r="N485" s="3"/>
      <c r="O485" s="3"/>
      <c r="P485" s="4"/>
      <c r="Q485" s="4"/>
      <c r="R485" s="3"/>
      <c r="S485" s="4"/>
      <c r="T485" s="5"/>
      <c r="U485" s="4"/>
      <c r="V485" s="4"/>
      <c r="W485" s="4"/>
      <c r="X485" s="67"/>
      <c r="Y485" s="67"/>
      <c r="Z485" s="67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3"/>
      <c r="M486" s="4"/>
      <c r="N486" s="3"/>
      <c r="O486" s="3"/>
      <c r="P486" s="4"/>
      <c r="Q486" s="4"/>
      <c r="R486" s="3"/>
      <c r="S486" s="4"/>
      <c r="T486" s="5"/>
      <c r="U486" s="4"/>
      <c r="V486" s="4"/>
      <c r="W486" s="4"/>
      <c r="X486" s="67"/>
      <c r="Y486" s="67"/>
      <c r="Z486" s="67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3"/>
      <c r="M487" s="4"/>
      <c r="N487" s="3"/>
      <c r="O487" s="3"/>
      <c r="P487" s="4"/>
      <c r="Q487" s="4"/>
      <c r="R487" s="3"/>
      <c r="S487" s="4"/>
      <c r="T487" s="5"/>
      <c r="U487" s="4"/>
      <c r="V487" s="4"/>
      <c r="W487" s="4"/>
      <c r="X487" s="67"/>
      <c r="Y487" s="67"/>
      <c r="Z487" s="67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3"/>
      <c r="M488" s="4"/>
      <c r="N488" s="3"/>
      <c r="O488" s="3"/>
      <c r="P488" s="4"/>
      <c r="Q488" s="4"/>
      <c r="R488" s="3"/>
      <c r="S488" s="4"/>
      <c r="T488" s="5"/>
      <c r="U488" s="4"/>
      <c r="V488" s="4"/>
      <c r="W488" s="4"/>
      <c r="X488" s="67"/>
      <c r="Y488" s="67"/>
      <c r="Z488" s="67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/>
      <c r="M489" s="4"/>
      <c r="N489" s="3"/>
      <c r="O489" s="3"/>
      <c r="P489" s="4"/>
      <c r="Q489" s="4"/>
      <c r="R489" s="3"/>
      <c r="S489" s="4"/>
      <c r="T489" s="5"/>
      <c r="U489" s="4"/>
      <c r="V489" s="4"/>
      <c r="W489" s="4"/>
      <c r="X489" s="67"/>
      <c r="Y489" s="67"/>
      <c r="Z489" s="67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3"/>
      <c r="M490" s="4"/>
      <c r="N490" s="3"/>
      <c r="O490" s="3"/>
      <c r="P490" s="4"/>
      <c r="Q490" s="4"/>
      <c r="R490" s="3"/>
      <c r="S490" s="4"/>
      <c r="T490" s="5"/>
      <c r="U490" s="4"/>
      <c r="V490" s="4"/>
      <c r="W490" s="4"/>
      <c r="X490" s="67"/>
      <c r="Y490" s="67"/>
      <c r="Z490" s="67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3"/>
      <c r="M491" s="4"/>
      <c r="N491" s="3"/>
      <c r="O491" s="3"/>
      <c r="P491" s="4"/>
      <c r="Q491" s="4"/>
      <c r="R491" s="3"/>
      <c r="S491" s="4"/>
      <c r="T491" s="5"/>
      <c r="U491" s="4"/>
      <c r="V491" s="4"/>
      <c r="W491" s="4"/>
      <c r="X491" s="67"/>
      <c r="Y491" s="67"/>
      <c r="Z491" s="67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3"/>
      <c r="M492" s="4"/>
      <c r="N492" s="3"/>
      <c r="O492" s="3"/>
      <c r="P492" s="4"/>
      <c r="Q492" s="4"/>
      <c r="R492" s="3"/>
      <c r="S492" s="4"/>
      <c r="T492" s="5"/>
      <c r="U492" s="4"/>
      <c r="V492" s="4"/>
      <c r="W492" s="4"/>
      <c r="X492" s="67"/>
      <c r="Y492" s="67"/>
      <c r="Z492" s="67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3"/>
      <c r="M493" s="4"/>
      <c r="N493" s="3"/>
      <c r="O493" s="3"/>
      <c r="P493" s="4"/>
      <c r="Q493" s="4"/>
      <c r="R493" s="3"/>
      <c r="S493" s="4"/>
      <c r="T493" s="5"/>
      <c r="U493" s="4"/>
      <c r="V493" s="4"/>
      <c r="W493" s="4"/>
      <c r="X493" s="67"/>
      <c r="Y493" s="67"/>
      <c r="Z493" s="67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3"/>
      <c r="M494" s="4"/>
      <c r="N494" s="3"/>
      <c r="O494" s="3"/>
      <c r="P494" s="4"/>
      <c r="Q494" s="4"/>
      <c r="R494" s="3"/>
      <c r="S494" s="4"/>
      <c r="T494" s="5"/>
      <c r="U494" s="4"/>
      <c r="V494" s="4"/>
      <c r="W494" s="4"/>
      <c r="X494" s="67"/>
      <c r="Y494" s="67"/>
      <c r="Z494" s="67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3"/>
      <c r="M495" s="4"/>
      <c r="N495" s="3"/>
      <c r="O495" s="3"/>
      <c r="P495" s="4"/>
      <c r="Q495" s="4"/>
      <c r="R495" s="3"/>
      <c r="S495" s="4"/>
      <c r="T495" s="5"/>
      <c r="U495" s="4"/>
      <c r="V495" s="4"/>
      <c r="W495" s="4"/>
      <c r="X495" s="67"/>
      <c r="Y495" s="67"/>
      <c r="Z495" s="67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3"/>
      <c r="M496" s="4"/>
      <c r="N496" s="3"/>
      <c r="O496" s="3"/>
      <c r="P496" s="4"/>
      <c r="Q496" s="4"/>
      <c r="R496" s="3"/>
      <c r="S496" s="4"/>
      <c r="T496" s="5"/>
      <c r="U496" s="4"/>
      <c r="V496" s="4"/>
      <c r="W496" s="4"/>
      <c r="X496" s="67"/>
      <c r="Y496" s="67"/>
      <c r="Z496" s="67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3"/>
      <c r="M497" s="4"/>
      <c r="N497" s="3"/>
      <c r="O497" s="3"/>
      <c r="P497" s="4"/>
      <c r="Q497" s="4"/>
      <c r="R497" s="3"/>
      <c r="S497" s="4"/>
      <c r="T497" s="5"/>
      <c r="U497" s="4"/>
      <c r="V497" s="4"/>
      <c r="W497" s="4"/>
      <c r="X497" s="67"/>
      <c r="Y497" s="67"/>
      <c r="Z497" s="67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3"/>
      <c r="M498" s="4"/>
      <c r="N498" s="3"/>
      <c r="O498" s="3"/>
      <c r="P498" s="4"/>
      <c r="Q498" s="4"/>
      <c r="R498" s="3"/>
      <c r="S498" s="4"/>
      <c r="T498" s="5"/>
      <c r="U498" s="4"/>
      <c r="V498" s="4"/>
      <c r="W498" s="4"/>
      <c r="X498" s="67"/>
      <c r="Y498" s="67"/>
      <c r="Z498" s="67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3"/>
      <c r="M499" s="4"/>
      <c r="N499" s="3"/>
      <c r="O499" s="3"/>
      <c r="P499" s="4"/>
      <c r="Q499" s="4"/>
      <c r="R499" s="3"/>
      <c r="S499" s="4"/>
      <c r="T499" s="5"/>
      <c r="U499" s="4"/>
      <c r="V499" s="4"/>
      <c r="W499" s="4"/>
      <c r="X499" s="67"/>
      <c r="Y499" s="67"/>
      <c r="Z499" s="67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3"/>
      <c r="M500" s="4"/>
      <c r="N500" s="3"/>
      <c r="O500" s="3"/>
      <c r="P500" s="4"/>
      <c r="Q500" s="4"/>
      <c r="R500" s="3"/>
      <c r="S500" s="4"/>
      <c r="T500" s="5"/>
      <c r="U500" s="4"/>
      <c r="V500" s="4"/>
      <c r="W500" s="4"/>
      <c r="X500" s="67"/>
      <c r="Y500" s="67"/>
      <c r="Z500" s="67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3"/>
      <c r="M501" s="4"/>
      <c r="N501" s="3"/>
      <c r="O501" s="3"/>
      <c r="P501" s="4"/>
      <c r="Q501" s="4"/>
      <c r="R501" s="3"/>
      <c r="S501" s="4"/>
      <c r="T501" s="5"/>
      <c r="U501" s="4"/>
      <c r="V501" s="4"/>
      <c r="W501" s="4"/>
      <c r="X501" s="67"/>
      <c r="Y501" s="67"/>
      <c r="Z501" s="67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3"/>
      <c r="M502" s="4"/>
      <c r="N502" s="3"/>
      <c r="O502" s="3"/>
      <c r="P502" s="4"/>
      <c r="Q502" s="4"/>
      <c r="R502" s="3"/>
      <c r="S502" s="4"/>
      <c r="T502" s="5"/>
      <c r="U502" s="4"/>
      <c r="V502" s="4"/>
      <c r="W502" s="4"/>
      <c r="X502" s="67"/>
      <c r="Y502" s="67"/>
      <c r="Z502" s="67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3"/>
      <c r="M503" s="4"/>
      <c r="N503" s="3"/>
      <c r="O503" s="3"/>
      <c r="P503" s="4"/>
      <c r="Q503" s="4"/>
      <c r="R503" s="3"/>
      <c r="S503" s="4"/>
      <c r="T503" s="5"/>
      <c r="U503" s="4"/>
      <c r="V503" s="4"/>
      <c r="W503" s="4"/>
      <c r="X503" s="67"/>
      <c r="Y503" s="67"/>
      <c r="Z503" s="67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3"/>
      <c r="M504" s="4"/>
      <c r="N504" s="3"/>
      <c r="O504" s="3"/>
      <c r="P504" s="4"/>
      <c r="Q504" s="4"/>
      <c r="R504" s="3"/>
      <c r="S504" s="4"/>
      <c r="T504" s="5"/>
      <c r="U504" s="4"/>
      <c r="V504" s="4"/>
      <c r="W504" s="4"/>
      <c r="X504" s="67"/>
      <c r="Y504" s="67"/>
      <c r="Z504" s="67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3"/>
      <c r="M505" s="4"/>
      <c r="N505" s="3"/>
      <c r="O505" s="3"/>
      <c r="P505" s="4"/>
      <c r="Q505" s="4"/>
      <c r="R505" s="3"/>
      <c r="S505" s="4"/>
      <c r="T505" s="5"/>
      <c r="U505" s="4"/>
      <c r="V505" s="4"/>
      <c r="W505" s="4"/>
      <c r="X505" s="67"/>
      <c r="Y505" s="67"/>
      <c r="Z505" s="67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3"/>
      <c r="M506" s="4"/>
      <c r="N506" s="3"/>
      <c r="O506" s="3"/>
      <c r="P506" s="4"/>
      <c r="Q506" s="4"/>
      <c r="R506" s="3"/>
      <c r="S506" s="4"/>
      <c r="T506" s="5"/>
      <c r="U506" s="4"/>
      <c r="V506" s="4"/>
      <c r="W506" s="4"/>
      <c r="X506" s="67"/>
      <c r="Y506" s="67"/>
      <c r="Z506" s="67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3"/>
      <c r="M507" s="4"/>
      <c r="N507" s="3"/>
      <c r="O507" s="3"/>
      <c r="P507" s="4"/>
      <c r="Q507" s="4"/>
      <c r="R507" s="3"/>
      <c r="S507" s="4"/>
      <c r="T507" s="5"/>
      <c r="U507" s="4"/>
      <c r="V507" s="4"/>
      <c r="W507" s="4"/>
      <c r="X507" s="67"/>
      <c r="Y507" s="67"/>
      <c r="Z507" s="67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3"/>
      <c r="M508" s="4"/>
      <c r="N508" s="3"/>
      <c r="O508" s="3"/>
      <c r="P508" s="4"/>
      <c r="Q508" s="4"/>
      <c r="R508" s="3"/>
      <c r="S508" s="4"/>
      <c r="T508" s="5"/>
      <c r="U508" s="4"/>
      <c r="V508" s="4"/>
      <c r="W508" s="4"/>
      <c r="X508" s="67"/>
      <c r="Y508" s="67"/>
      <c r="Z508" s="67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3"/>
      <c r="M509" s="4"/>
      <c r="N509" s="3"/>
      <c r="O509" s="3"/>
      <c r="P509" s="4"/>
      <c r="Q509" s="4"/>
      <c r="R509" s="3"/>
      <c r="S509" s="4"/>
      <c r="T509" s="5"/>
      <c r="U509" s="4"/>
      <c r="V509" s="4"/>
      <c r="W509" s="4"/>
      <c r="X509" s="67"/>
      <c r="Y509" s="67"/>
      <c r="Z509" s="67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3"/>
      <c r="M510" s="4"/>
      <c r="N510" s="3"/>
      <c r="O510" s="3"/>
      <c r="P510" s="4"/>
      <c r="Q510" s="4"/>
      <c r="R510" s="3"/>
      <c r="S510" s="4"/>
      <c r="T510" s="5"/>
      <c r="U510" s="4"/>
      <c r="V510" s="4"/>
      <c r="W510" s="4"/>
      <c r="X510" s="67"/>
      <c r="Y510" s="67"/>
      <c r="Z510" s="67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3"/>
      <c r="M511" s="4"/>
      <c r="N511" s="3"/>
      <c r="O511" s="3"/>
      <c r="P511" s="4"/>
      <c r="Q511" s="4"/>
      <c r="R511" s="3"/>
      <c r="S511" s="4"/>
      <c r="T511" s="5"/>
      <c r="U511" s="4"/>
      <c r="V511" s="4"/>
      <c r="W511" s="4"/>
      <c r="X511" s="67"/>
      <c r="Y511" s="67"/>
      <c r="Z511" s="67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3"/>
      <c r="M512" s="4"/>
      <c r="N512" s="3"/>
      <c r="O512" s="3"/>
      <c r="P512" s="4"/>
      <c r="Q512" s="4"/>
      <c r="R512" s="3"/>
      <c r="S512" s="4"/>
      <c r="T512" s="5"/>
      <c r="U512" s="4"/>
      <c r="V512" s="4"/>
      <c r="W512" s="4"/>
      <c r="X512" s="67"/>
      <c r="Y512" s="67"/>
      <c r="Z512" s="67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3"/>
      <c r="M513" s="4"/>
      <c r="N513" s="3"/>
      <c r="O513" s="3"/>
      <c r="P513" s="4"/>
      <c r="Q513" s="4"/>
      <c r="R513" s="3"/>
      <c r="S513" s="4"/>
      <c r="T513" s="5"/>
      <c r="U513" s="4"/>
      <c r="V513" s="4"/>
      <c r="W513" s="4"/>
      <c r="X513" s="67"/>
      <c r="Y513" s="67"/>
      <c r="Z513" s="67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3"/>
      <c r="M514" s="4"/>
      <c r="N514" s="3"/>
      <c r="O514" s="3"/>
      <c r="P514" s="4"/>
      <c r="Q514" s="4"/>
      <c r="R514" s="3"/>
      <c r="S514" s="4"/>
      <c r="T514" s="5"/>
      <c r="U514" s="4"/>
      <c r="V514" s="4"/>
      <c r="W514" s="4"/>
      <c r="X514" s="67"/>
      <c r="Y514" s="67"/>
      <c r="Z514" s="67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3"/>
      <c r="M515" s="4"/>
      <c r="N515" s="3"/>
      <c r="O515" s="3"/>
      <c r="P515" s="4"/>
      <c r="Q515" s="4"/>
      <c r="R515" s="3"/>
      <c r="S515" s="4"/>
      <c r="T515" s="5"/>
      <c r="U515" s="4"/>
      <c r="V515" s="4"/>
      <c r="W515" s="4"/>
      <c r="X515" s="67"/>
      <c r="Y515" s="67"/>
      <c r="Z515" s="67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3"/>
      <c r="M516" s="4"/>
      <c r="N516" s="3"/>
      <c r="O516" s="3"/>
      <c r="P516" s="4"/>
      <c r="Q516" s="4"/>
      <c r="R516" s="3"/>
      <c r="S516" s="4"/>
      <c r="T516" s="5"/>
      <c r="U516" s="4"/>
      <c r="V516" s="4"/>
      <c r="W516" s="4"/>
      <c r="X516" s="67"/>
      <c r="Y516" s="67"/>
      <c r="Z516" s="67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3"/>
      <c r="M517" s="4"/>
      <c r="N517" s="3"/>
      <c r="O517" s="3"/>
      <c r="P517" s="4"/>
      <c r="Q517" s="4"/>
      <c r="R517" s="3"/>
      <c r="S517" s="4"/>
      <c r="T517" s="5"/>
      <c r="U517" s="4"/>
      <c r="V517" s="4"/>
      <c r="W517" s="4"/>
      <c r="X517" s="67"/>
      <c r="Y517" s="67"/>
      <c r="Z517" s="67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3"/>
      <c r="M518" s="4"/>
      <c r="N518" s="3"/>
      <c r="O518" s="3"/>
      <c r="P518" s="4"/>
      <c r="Q518" s="4"/>
      <c r="R518" s="3"/>
      <c r="S518" s="4"/>
      <c r="T518" s="5"/>
      <c r="U518" s="4"/>
      <c r="V518" s="4"/>
      <c r="W518" s="4"/>
      <c r="X518" s="67"/>
      <c r="Y518" s="67"/>
      <c r="Z518" s="67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3"/>
      <c r="M519" s="4"/>
      <c r="N519" s="3"/>
      <c r="O519" s="3"/>
      <c r="P519" s="4"/>
      <c r="Q519" s="4"/>
      <c r="R519" s="3"/>
      <c r="S519" s="4"/>
      <c r="T519" s="5"/>
      <c r="U519" s="4"/>
      <c r="V519" s="4"/>
      <c r="W519" s="4"/>
      <c r="X519" s="67"/>
      <c r="Y519" s="67"/>
      <c r="Z519" s="67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3"/>
      <c r="M520" s="4"/>
      <c r="N520" s="3"/>
      <c r="O520" s="3"/>
      <c r="P520" s="4"/>
      <c r="Q520" s="4"/>
      <c r="R520" s="3"/>
      <c r="S520" s="4"/>
      <c r="T520" s="5"/>
      <c r="U520" s="4"/>
      <c r="V520" s="4"/>
      <c r="W520" s="4"/>
      <c r="X520" s="67"/>
      <c r="Y520" s="67"/>
      <c r="Z520" s="67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3"/>
      <c r="M521" s="4"/>
      <c r="N521" s="3"/>
      <c r="O521" s="3"/>
      <c r="P521" s="4"/>
      <c r="Q521" s="4"/>
      <c r="R521" s="3"/>
      <c r="S521" s="4"/>
      <c r="T521" s="5"/>
      <c r="U521" s="4"/>
      <c r="V521" s="4"/>
      <c r="W521" s="4"/>
      <c r="X521" s="67"/>
      <c r="Y521" s="67"/>
      <c r="Z521" s="67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3"/>
      <c r="M522" s="4"/>
      <c r="N522" s="3"/>
      <c r="O522" s="3"/>
      <c r="P522" s="4"/>
      <c r="Q522" s="4"/>
      <c r="R522" s="3"/>
      <c r="S522" s="4"/>
      <c r="T522" s="5"/>
      <c r="U522" s="4"/>
      <c r="V522" s="4"/>
      <c r="W522" s="4"/>
      <c r="X522" s="67"/>
      <c r="Y522" s="67"/>
      <c r="Z522" s="67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3"/>
      <c r="M523" s="4"/>
      <c r="N523" s="3"/>
      <c r="O523" s="3"/>
      <c r="P523" s="4"/>
      <c r="Q523" s="4"/>
      <c r="R523" s="3"/>
      <c r="S523" s="4"/>
      <c r="T523" s="5"/>
      <c r="U523" s="4"/>
      <c r="V523" s="4"/>
      <c r="W523" s="4"/>
      <c r="X523" s="67"/>
      <c r="Y523" s="67"/>
      <c r="Z523" s="67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3"/>
      <c r="M524" s="4"/>
      <c r="N524" s="3"/>
      <c r="O524" s="3"/>
      <c r="P524" s="4"/>
      <c r="Q524" s="4"/>
      <c r="R524" s="3"/>
      <c r="S524" s="4"/>
      <c r="T524" s="5"/>
      <c r="U524" s="4"/>
      <c r="V524" s="4"/>
      <c r="W524" s="4"/>
      <c r="X524" s="67"/>
      <c r="Y524" s="67"/>
      <c r="Z524" s="67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3"/>
      <c r="M525" s="4"/>
      <c r="N525" s="3"/>
      <c r="O525" s="3"/>
      <c r="P525" s="4"/>
      <c r="Q525" s="4"/>
      <c r="R525" s="3"/>
      <c r="S525" s="4"/>
      <c r="T525" s="5"/>
      <c r="U525" s="4"/>
      <c r="V525" s="4"/>
      <c r="W525" s="4"/>
      <c r="X525" s="67"/>
      <c r="Y525" s="67"/>
      <c r="Z525" s="67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3"/>
      <c r="M526" s="4"/>
      <c r="N526" s="3"/>
      <c r="O526" s="3"/>
      <c r="P526" s="4"/>
      <c r="Q526" s="4"/>
      <c r="R526" s="3"/>
      <c r="S526" s="4"/>
      <c r="T526" s="5"/>
      <c r="U526" s="4"/>
      <c r="V526" s="4"/>
      <c r="W526" s="4"/>
      <c r="X526" s="67"/>
      <c r="Y526" s="67"/>
      <c r="Z526" s="67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3"/>
      <c r="M527" s="4"/>
      <c r="N527" s="3"/>
      <c r="O527" s="3"/>
      <c r="P527" s="4"/>
      <c r="Q527" s="4"/>
      <c r="R527" s="3"/>
      <c r="S527" s="4"/>
      <c r="T527" s="5"/>
      <c r="U527" s="4"/>
      <c r="V527" s="4"/>
      <c r="W527" s="4"/>
      <c r="X527" s="67"/>
      <c r="Y527" s="67"/>
      <c r="Z527" s="67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3"/>
      <c r="M528" s="4"/>
      <c r="N528" s="3"/>
      <c r="O528" s="3"/>
      <c r="P528" s="4"/>
      <c r="Q528" s="4"/>
      <c r="R528" s="3"/>
      <c r="S528" s="4"/>
      <c r="T528" s="5"/>
      <c r="U528" s="4"/>
      <c r="V528" s="4"/>
      <c r="W528" s="4"/>
      <c r="X528" s="67"/>
      <c r="Y528" s="67"/>
      <c r="Z528" s="67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3"/>
      <c r="M529" s="4"/>
      <c r="N529" s="3"/>
      <c r="O529" s="3"/>
      <c r="P529" s="4"/>
      <c r="Q529" s="4"/>
      <c r="R529" s="3"/>
      <c r="S529" s="4"/>
      <c r="T529" s="5"/>
      <c r="U529" s="4"/>
      <c r="V529" s="4"/>
      <c r="W529" s="4"/>
      <c r="X529" s="67"/>
      <c r="Y529" s="67"/>
      <c r="Z529" s="67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3"/>
      <c r="M530" s="4"/>
      <c r="N530" s="3"/>
      <c r="O530" s="3"/>
      <c r="P530" s="4"/>
      <c r="Q530" s="4"/>
      <c r="R530" s="3"/>
      <c r="S530" s="4"/>
      <c r="T530" s="5"/>
      <c r="U530" s="4"/>
      <c r="V530" s="4"/>
      <c r="W530" s="4"/>
      <c r="X530" s="67"/>
      <c r="Y530" s="67"/>
      <c r="Z530" s="67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3"/>
      <c r="M531" s="4"/>
      <c r="N531" s="3"/>
      <c r="O531" s="3"/>
      <c r="P531" s="4"/>
      <c r="Q531" s="4"/>
      <c r="R531" s="3"/>
      <c r="S531" s="4"/>
      <c r="T531" s="5"/>
      <c r="U531" s="4"/>
      <c r="V531" s="4"/>
      <c r="W531" s="4"/>
      <c r="X531" s="67"/>
      <c r="Y531" s="67"/>
      <c r="Z531" s="67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3"/>
      <c r="M532" s="4"/>
      <c r="N532" s="3"/>
      <c r="O532" s="3"/>
      <c r="P532" s="4"/>
      <c r="Q532" s="4"/>
      <c r="R532" s="3"/>
      <c r="S532" s="4"/>
      <c r="T532" s="5"/>
      <c r="U532" s="4"/>
      <c r="V532" s="4"/>
      <c r="W532" s="4"/>
      <c r="X532" s="67"/>
      <c r="Y532" s="67"/>
      <c r="Z532" s="67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3"/>
      <c r="M533" s="4"/>
      <c r="N533" s="3"/>
      <c r="O533" s="3"/>
      <c r="P533" s="4"/>
      <c r="Q533" s="4"/>
      <c r="R533" s="3"/>
      <c r="S533" s="4"/>
      <c r="T533" s="5"/>
      <c r="U533" s="4"/>
      <c r="V533" s="4"/>
      <c r="W533" s="4"/>
      <c r="X533" s="67"/>
      <c r="Y533" s="67"/>
      <c r="Z533" s="67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3"/>
      <c r="M534" s="4"/>
      <c r="N534" s="3"/>
      <c r="O534" s="3"/>
      <c r="P534" s="4"/>
      <c r="Q534" s="4"/>
      <c r="R534" s="3"/>
      <c r="S534" s="4"/>
      <c r="T534" s="5"/>
      <c r="U534" s="4"/>
      <c r="V534" s="4"/>
      <c r="W534" s="4"/>
      <c r="X534" s="67"/>
      <c r="Y534" s="67"/>
      <c r="Z534" s="67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3"/>
      <c r="M535" s="4"/>
      <c r="N535" s="3"/>
      <c r="O535" s="3"/>
      <c r="P535" s="4"/>
      <c r="Q535" s="4"/>
      <c r="R535" s="3"/>
      <c r="S535" s="4"/>
      <c r="T535" s="5"/>
      <c r="U535" s="4"/>
      <c r="V535" s="4"/>
      <c r="W535" s="4"/>
      <c r="X535" s="67"/>
      <c r="Y535" s="67"/>
      <c r="Z535" s="67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3"/>
      <c r="M536" s="4"/>
      <c r="N536" s="3"/>
      <c r="O536" s="3"/>
      <c r="P536" s="4"/>
      <c r="Q536" s="4"/>
      <c r="R536" s="3"/>
      <c r="S536" s="4"/>
      <c r="T536" s="5"/>
      <c r="U536" s="4"/>
      <c r="V536" s="4"/>
      <c r="W536" s="4"/>
      <c r="X536" s="67"/>
      <c r="Y536" s="67"/>
      <c r="Z536" s="67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3"/>
      <c r="M537" s="4"/>
      <c r="N537" s="3"/>
      <c r="O537" s="3"/>
      <c r="P537" s="4"/>
      <c r="Q537" s="4"/>
      <c r="R537" s="3"/>
      <c r="S537" s="4"/>
      <c r="T537" s="5"/>
      <c r="U537" s="4"/>
      <c r="V537" s="4"/>
      <c r="W537" s="4"/>
      <c r="X537" s="67"/>
      <c r="Y537" s="67"/>
      <c r="Z537" s="67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3"/>
      <c r="M538" s="4"/>
      <c r="N538" s="3"/>
      <c r="O538" s="3"/>
      <c r="P538" s="4"/>
      <c r="Q538" s="4"/>
      <c r="R538" s="3"/>
      <c r="S538" s="4"/>
      <c r="T538" s="5"/>
      <c r="U538" s="4"/>
      <c r="V538" s="4"/>
      <c r="W538" s="4"/>
      <c r="X538" s="67"/>
      <c r="Y538" s="67"/>
      <c r="Z538" s="67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3"/>
      <c r="M539" s="4"/>
      <c r="N539" s="3"/>
      <c r="O539" s="3"/>
      <c r="P539" s="4"/>
      <c r="Q539" s="4"/>
      <c r="R539" s="3"/>
      <c r="S539" s="4"/>
      <c r="T539" s="5"/>
      <c r="U539" s="4"/>
      <c r="V539" s="4"/>
      <c r="W539" s="4"/>
      <c r="X539" s="67"/>
      <c r="Y539" s="67"/>
      <c r="Z539" s="67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3"/>
      <c r="M540" s="4"/>
      <c r="N540" s="3"/>
      <c r="O540" s="3"/>
      <c r="P540" s="4"/>
      <c r="Q540" s="4"/>
      <c r="R540" s="3"/>
      <c r="S540" s="4"/>
      <c r="T540" s="5"/>
      <c r="U540" s="4"/>
      <c r="V540" s="4"/>
      <c r="W540" s="4"/>
      <c r="X540" s="67"/>
      <c r="Y540" s="67"/>
      <c r="Z540" s="67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3"/>
      <c r="M541" s="4"/>
      <c r="N541" s="3"/>
      <c r="O541" s="3"/>
      <c r="P541" s="4"/>
      <c r="Q541" s="4"/>
      <c r="R541" s="3"/>
      <c r="S541" s="4"/>
      <c r="T541" s="5"/>
      <c r="U541" s="4"/>
      <c r="V541" s="4"/>
      <c r="W541" s="4"/>
      <c r="X541" s="67"/>
      <c r="Y541" s="67"/>
      <c r="Z541" s="67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3"/>
      <c r="M542" s="4"/>
      <c r="N542" s="3"/>
      <c r="O542" s="3"/>
      <c r="P542" s="4"/>
      <c r="Q542" s="4"/>
      <c r="R542" s="3"/>
      <c r="S542" s="4"/>
      <c r="T542" s="5"/>
      <c r="U542" s="4"/>
      <c r="V542" s="4"/>
      <c r="W542" s="4"/>
      <c r="X542" s="67"/>
      <c r="Y542" s="67"/>
      <c r="Z542" s="67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/>
      <c r="M543" s="4"/>
      <c r="N543" s="3"/>
      <c r="O543" s="3"/>
      <c r="P543" s="4"/>
      <c r="Q543" s="4"/>
      <c r="R543" s="3"/>
      <c r="S543" s="4"/>
      <c r="T543" s="5"/>
      <c r="U543" s="4"/>
      <c r="V543" s="4"/>
      <c r="W543" s="4"/>
      <c r="X543" s="67"/>
      <c r="Y543" s="67"/>
      <c r="Z543" s="67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/>
      <c r="M544" s="4"/>
      <c r="N544" s="3"/>
      <c r="O544" s="3"/>
      <c r="P544" s="4"/>
      <c r="Q544" s="4"/>
      <c r="R544" s="3"/>
      <c r="S544" s="4"/>
      <c r="T544" s="5"/>
      <c r="U544" s="4"/>
      <c r="V544" s="4"/>
      <c r="W544" s="4"/>
      <c r="X544" s="67"/>
      <c r="Y544" s="67"/>
      <c r="Z544" s="67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3"/>
      <c r="M545" s="4"/>
      <c r="N545" s="3"/>
      <c r="O545" s="3"/>
      <c r="P545" s="4"/>
      <c r="Q545" s="4"/>
      <c r="R545" s="3"/>
      <c r="S545" s="4"/>
      <c r="T545" s="5"/>
      <c r="U545" s="4"/>
      <c r="V545" s="4"/>
      <c r="W545" s="4"/>
      <c r="X545" s="67"/>
      <c r="Y545" s="67"/>
      <c r="Z545" s="67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3"/>
      <c r="M546" s="4"/>
      <c r="N546" s="3"/>
      <c r="O546" s="3"/>
      <c r="P546" s="4"/>
      <c r="Q546" s="4"/>
      <c r="R546" s="3"/>
      <c r="S546" s="4"/>
      <c r="T546" s="5"/>
      <c r="U546" s="4"/>
      <c r="V546" s="4"/>
      <c r="W546" s="4"/>
      <c r="X546" s="67"/>
      <c r="Y546" s="67"/>
      <c r="Z546" s="67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3"/>
      <c r="M547" s="4"/>
      <c r="N547" s="3"/>
      <c r="O547" s="3"/>
      <c r="P547" s="4"/>
      <c r="Q547" s="4"/>
      <c r="R547" s="3"/>
      <c r="S547" s="4"/>
      <c r="T547" s="5"/>
      <c r="U547" s="4"/>
      <c r="V547" s="4"/>
      <c r="W547" s="4"/>
      <c r="X547" s="67"/>
      <c r="Y547" s="67"/>
      <c r="Z547" s="67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3"/>
      <c r="M548" s="4"/>
      <c r="N548" s="3"/>
      <c r="O548" s="3"/>
      <c r="P548" s="4"/>
      <c r="Q548" s="4"/>
      <c r="R548" s="3"/>
      <c r="S548" s="4"/>
      <c r="T548" s="5"/>
      <c r="U548" s="4"/>
      <c r="V548" s="4"/>
      <c r="W548" s="4"/>
      <c r="X548" s="67"/>
      <c r="Y548" s="67"/>
      <c r="Z548" s="67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3"/>
      <c r="M549" s="4"/>
      <c r="N549" s="3"/>
      <c r="O549" s="3"/>
      <c r="P549" s="4"/>
      <c r="Q549" s="4"/>
      <c r="R549" s="3"/>
      <c r="S549" s="4"/>
      <c r="T549" s="5"/>
      <c r="U549" s="4"/>
      <c r="V549" s="4"/>
      <c r="W549" s="4"/>
      <c r="X549" s="67"/>
      <c r="Y549" s="67"/>
      <c r="Z549" s="67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/>
      <c r="M550" s="4"/>
      <c r="N550" s="3"/>
      <c r="O550" s="3"/>
      <c r="P550" s="4"/>
      <c r="Q550" s="4"/>
      <c r="R550" s="3"/>
      <c r="S550" s="4"/>
      <c r="T550" s="5"/>
      <c r="U550" s="4"/>
      <c r="V550" s="4"/>
      <c r="W550" s="4"/>
      <c r="X550" s="67"/>
      <c r="Y550" s="67"/>
      <c r="Z550" s="67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3"/>
      <c r="M551" s="4"/>
      <c r="N551" s="3"/>
      <c r="O551" s="3"/>
      <c r="P551" s="4"/>
      <c r="Q551" s="4"/>
      <c r="R551" s="3"/>
      <c r="S551" s="4"/>
      <c r="T551" s="5"/>
      <c r="U551" s="4"/>
      <c r="V551" s="4"/>
      <c r="W551" s="4"/>
      <c r="X551" s="67"/>
      <c r="Y551" s="67"/>
      <c r="Z551" s="67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/>
      <c r="M552" s="4"/>
      <c r="N552" s="3"/>
      <c r="O552" s="3"/>
      <c r="P552" s="4"/>
      <c r="Q552" s="4"/>
      <c r="R552" s="3"/>
      <c r="S552" s="4"/>
      <c r="T552" s="5"/>
      <c r="U552" s="4"/>
      <c r="V552" s="4"/>
      <c r="W552" s="4"/>
      <c r="X552" s="67"/>
      <c r="Y552" s="67"/>
      <c r="Z552" s="67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3"/>
      <c r="M553" s="4"/>
      <c r="N553" s="3"/>
      <c r="O553" s="3"/>
      <c r="P553" s="4"/>
      <c r="Q553" s="4"/>
      <c r="R553" s="3"/>
      <c r="S553" s="4"/>
      <c r="T553" s="5"/>
      <c r="U553" s="4"/>
      <c r="V553" s="4"/>
      <c r="W553" s="4"/>
      <c r="X553" s="67"/>
      <c r="Y553" s="67"/>
      <c r="Z553" s="67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/>
      <c r="M554" s="4"/>
      <c r="N554" s="3"/>
      <c r="O554" s="3"/>
      <c r="P554" s="4"/>
      <c r="Q554" s="4"/>
      <c r="R554" s="3"/>
      <c r="S554" s="4"/>
      <c r="T554" s="5"/>
      <c r="U554" s="4"/>
      <c r="V554" s="4"/>
      <c r="W554" s="4"/>
      <c r="X554" s="67"/>
      <c r="Y554" s="67"/>
      <c r="Z554" s="67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/>
      <c r="M555" s="4"/>
      <c r="N555" s="3"/>
      <c r="O555" s="3"/>
      <c r="P555" s="4"/>
      <c r="Q555" s="4"/>
      <c r="R555" s="3"/>
      <c r="S555" s="4"/>
      <c r="T555" s="5"/>
      <c r="U555" s="4"/>
      <c r="V555" s="4"/>
      <c r="W555" s="4"/>
      <c r="X555" s="67"/>
      <c r="Y555" s="67"/>
      <c r="Z555" s="67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/>
      <c r="M556" s="4"/>
      <c r="N556" s="3"/>
      <c r="O556" s="3"/>
      <c r="P556" s="4"/>
      <c r="Q556" s="4"/>
      <c r="R556" s="3"/>
      <c r="S556" s="4"/>
      <c r="T556" s="5"/>
      <c r="U556" s="4"/>
      <c r="V556" s="4"/>
      <c r="W556" s="4"/>
      <c r="X556" s="67"/>
      <c r="Y556" s="67"/>
      <c r="Z556" s="67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3"/>
      <c r="M557" s="4"/>
      <c r="N557" s="3"/>
      <c r="O557" s="3"/>
      <c r="P557" s="4"/>
      <c r="Q557" s="4"/>
      <c r="R557" s="3"/>
      <c r="S557" s="4"/>
      <c r="T557" s="5"/>
      <c r="U557" s="4"/>
      <c r="V557" s="4"/>
      <c r="W557" s="4"/>
      <c r="X557" s="67"/>
      <c r="Y557" s="67"/>
      <c r="Z557" s="67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/>
      <c r="M558" s="4"/>
      <c r="N558" s="3"/>
      <c r="O558" s="3"/>
      <c r="P558" s="4"/>
      <c r="Q558" s="4"/>
      <c r="R558" s="3"/>
      <c r="S558" s="4"/>
      <c r="T558" s="5"/>
      <c r="U558" s="4"/>
      <c r="V558" s="4"/>
      <c r="W558" s="4"/>
      <c r="X558" s="67"/>
      <c r="Y558" s="67"/>
      <c r="Z558" s="67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3"/>
      <c r="M559" s="4"/>
      <c r="N559" s="3"/>
      <c r="O559" s="3"/>
      <c r="P559" s="4"/>
      <c r="Q559" s="4"/>
      <c r="R559" s="3"/>
      <c r="S559" s="4"/>
      <c r="T559" s="5"/>
      <c r="U559" s="4"/>
      <c r="V559" s="4"/>
      <c r="W559" s="4"/>
      <c r="X559" s="67"/>
      <c r="Y559" s="67"/>
      <c r="Z559" s="67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3"/>
      <c r="M560" s="4"/>
      <c r="N560" s="3"/>
      <c r="O560" s="3"/>
      <c r="P560" s="4"/>
      <c r="Q560" s="4"/>
      <c r="R560" s="3"/>
      <c r="S560" s="4"/>
      <c r="T560" s="5"/>
      <c r="U560" s="4"/>
      <c r="V560" s="4"/>
      <c r="W560" s="4"/>
      <c r="X560" s="67"/>
      <c r="Y560" s="67"/>
      <c r="Z560" s="67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3"/>
      <c r="M561" s="4"/>
      <c r="N561" s="3"/>
      <c r="O561" s="3"/>
      <c r="P561" s="4"/>
      <c r="Q561" s="4"/>
      <c r="R561" s="3"/>
      <c r="S561" s="4"/>
      <c r="T561" s="5"/>
      <c r="U561" s="4"/>
      <c r="V561" s="4"/>
      <c r="W561" s="4"/>
      <c r="X561" s="67"/>
      <c r="Y561" s="67"/>
      <c r="Z561" s="67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3"/>
      <c r="M562" s="4"/>
      <c r="N562" s="3"/>
      <c r="O562" s="3"/>
      <c r="P562" s="4"/>
      <c r="Q562" s="4"/>
      <c r="R562" s="3"/>
      <c r="S562" s="4"/>
      <c r="T562" s="5"/>
      <c r="U562" s="4"/>
      <c r="V562" s="4"/>
      <c r="W562" s="4"/>
      <c r="X562" s="67"/>
      <c r="Y562" s="67"/>
      <c r="Z562" s="67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/>
      <c r="M563" s="4"/>
      <c r="N563" s="3"/>
      <c r="O563" s="3"/>
      <c r="P563" s="4"/>
      <c r="Q563" s="4"/>
      <c r="R563" s="3"/>
      <c r="S563" s="4"/>
      <c r="T563" s="5"/>
      <c r="U563" s="4"/>
      <c r="V563" s="4"/>
      <c r="W563" s="4"/>
      <c r="X563" s="67"/>
      <c r="Y563" s="67"/>
      <c r="Z563" s="67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3"/>
      <c r="M564" s="4"/>
      <c r="N564" s="3"/>
      <c r="O564" s="3"/>
      <c r="P564" s="4"/>
      <c r="Q564" s="4"/>
      <c r="R564" s="3"/>
      <c r="S564" s="4"/>
      <c r="T564" s="5"/>
      <c r="U564" s="4"/>
      <c r="V564" s="4"/>
      <c r="W564" s="4"/>
      <c r="X564" s="67"/>
      <c r="Y564" s="67"/>
      <c r="Z564" s="67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/>
      <c r="M565" s="4"/>
      <c r="N565" s="3"/>
      <c r="O565" s="3"/>
      <c r="P565" s="4"/>
      <c r="Q565" s="4"/>
      <c r="R565" s="3"/>
      <c r="S565" s="4"/>
      <c r="T565" s="5"/>
      <c r="U565" s="4"/>
      <c r="V565" s="4"/>
      <c r="W565" s="4"/>
      <c r="X565" s="67"/>
      <c r="Y565" s="67"/>
      <c r="Z565" s="67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3"/>
      <c r="M566" s="4"/>
      <c r="N566" s="3"/>
      <c r="O566" s="3"/>
      <c r="P566" s="4"/>
      <c r="Q566" s="4"/>
      <c r="R566" s="3"/>
      <c r="S566" s="4"/>
      <c r="T566" s="5"/>
      <c r="U566" s="4"/>
      <c r="V566" s="4"/>
      <c r="W566" s="4"/>
      <c r="X566" s="67"/>
      <c r="Y566" s="67"/>
      <c r="Z566" s="67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3"/>
      <c r="M567" s="4"/>
      <c r="N567" s="3"/>
      <c r="O567" s="3"/>
      <c r="P567" s="4"/>
      <c r="Q567" s="4"/>
      <c r="R567" s="3"/>
      <c r="S567" s="4"/>
      <c r="T567" s="5"/>
      <c r="U567" s="4"/>
      <c r="V567" s="4"/>
      <c r="W567" s="4"/>
      <c r="X567" s="67"/>
      <c r="Y567" s="67"/>
      <c r="Z567" s="67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3"/>
      <c r="M568" s="4"/>
      <c r="N568" s="3"/>
      <c r="O568" s="3"/>
      <c r="P568" s="4"/>
      <c r="Q568" s="4"/>
      <c r="R568" s="3"/>
      <c r="S568" s="4"/>
      <c r="T568" s="5"/>
      <c r="U568" s="4"/>
      <c r="V568" s="4"/>
      <c r="W568" s="4"/>
      <c r="X568" s="67"/>
      <c r="Y568" s="67"/>
      <c r="Z568" s="67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3"/>
      <c r="M569" s="4"/>
      <c r="N569" s="3"/>
      <c r="O569" s="3"/>
      <c r="P569" s="4"/>
      <c r="Q569" s="4"/>
      <c r="R569" s="3"/>
      <c r="S569" s="4"/>
      <c r="T569" s="5"/>
      <c r="U569" s="4"/>
      <c r="V569" s="4"/>
      <c r="W569" s="4"/>
      <c r="X569" s="67"/>
      <c r="Y569" s="67"/>
      <c r="Z569" s="67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3"/>
      <c r="M570" s="4"/>
      <c r="N570" s="3"/>
      <c r="O570" s="3"/>
      <c r="P570" s="4"/>
      <c r="Q570" s="4"/>
      <c r="R570" s="3"/>
      <c r="S570" s="4"/>
      <c r="T570" s="5"/>
      <c r="U570" s="4"/>
      <c r="V570" s="4"/>
      <c r="W570" s="4"/>
      <c r="X570" s="67"/>
      <c r="Y570" s="67"/>
      <c r="Z570" s="67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3"/>
      <c r="M571" s="4"/>
      <c r="N571" s="3"/>
      <c r="O571" s="3"/>
      <c r="P571" s="4"/>
      <c r="Q571" s="4"/>
      <c r="R571" s="3"/>
      <c r="S571" s="4"/>
      <c r="T571" s="5"/>
      <c r="U571" s="4"/>
      <c r="V571" s="4"/>
      <c r="W571" s="4"/>
      <c r="X571" s="67"/>
      <c r="Y571" s="67"/>
      <c r="Z571" s="67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3"/>
      <c r="M572" s="4"/>
      <c r="N572" s="3"/>
      <c r="O572" s="3"/>
      <c r="P572" s="4"/>
      <c r="Q572" s="4"/>
      <c r="R572" s="3"/>
      <c r="S572" s="4"/>
      <c r="T572" s="5"/>
      <c r="U572" s="4"/>
      <c r="V572" s="4"/>
      <c r="W572" s="4"/>
      <c r="X572" s="67"/>
      <c r="Y572" s="67"/>
      <c r="Z572" s="67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3"/>
      <c r="M573" s="4"/>
      <c r="N573" s="3"/>
      <c r="O573" s="3"/>
      <c r="P573" s="4"/>
      <c r="Q573" s="4"/>
      <c r="R573" s="3"/>
      <c r="S573" s="4"/>
      <c r="T573" s="5"/>
      <c r="U573" s="4"/>
      <c r="V573" s="4"/>
      <c r="W573" s="4"/>
      <c r="X573" s="67"/>
      <c r="Y573" s="67"/>
      <c r="Z573" s="67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3"/>
      <c r="M574" s="4"/>
      <c r="N574" s="3"/>
      <c r="O574" s="3"/>
      <c r="P574" s="4"/>
      <c r="Q574" s="4"/>
      <c r="R574" s="3"/>
      <c r="S574" s="4"/>
      <c r="T574" s="5"/>
      <c r="U574" s="4"/>
      <c r="V574" s="4"/>
      <c r="W574" s="4"/>
      <c r="X574" s="67"/>
      <c r="Y574" s="67"/>
      <c r="Z574" s="67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3"/>
      <c r="M575" s="4"/>
      <c r="N575" s="3"/>
      <c r="O575" s="3"/>
      <c r="P575" s="4"/>
      <c r="Q575" s="4"/>
      <c r="R575" s="3"/>
      <c r="S575" s="4"/>
      <c r="T575" s="5"/>
      <c r="U575" s="4"/>
      <c r="V575" s="4"/>
      <c r="W575" s="4"/>
      <c r="X575" s="67"/>
      <c r="Y575" s="67"/>
      <c r="Z575" s="67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3"/>
      <c r="M576" s="4"/>
      <c r="N576" s="3"/>
      <c r="O576" s="3"/>
      <c r="P576" s="4"/>
      <c r="Q576" s="4"/>
      <c r="R576" s="3"/>
      <c r="S576" s="4"/>
      <c r="T576" s="5"/>
      <c r="U576" s="4"/>
      <c r="V576" s="4"/>
      <c r="W576" s="4"/>
      <c r="X576" s="67"/>
      <c r="Y576" s="67"/>
      <c r="Z576" s="67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3"/>
      <c r="M577" s="4"/>
      <c r="N577" s="3"/>
      <c r="O577" s="3"/>
      <c r="P577" s="4"/>
      <c r="Q577" s="4"/>
      <c r="R577" s="3"/>
      <c r="S577" s="4"/>
      <c r="T577" s="5"/>
      <c r="U577" s="4"/>
      <c r="V577" s="4"/>
      <c r="W577" s="4"/>
      <c r="X577" s="67"/>
      <c r="Y577" s="67"/>
      <c r="Z577" s="67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3"/>
      <c r="M578" s="4"/>
      <c r="N578" s="3"/>
      <c r="O578" s="3"/>
      <c r="P578" s="4"/>
      <c r="Q578" s="4"/>
      <c r="R578" s="3"/>
      <c r="S578" s="4"/>
      <c r="T578" s="5"/>
      <c r="U578" s="4"/>
      <c r="V578" s="4"/>
      <c r="W578" s="4"/>
      <c r="X578" s="67"/>
      <c r="Y578" s="67"/>
      <c r="Z578" s="67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3"/>
      <c r="M579" s="4"/>
      <c r="N579" s="3"/>
      <c r="O579" s="3"/>
      <c r="P579" s="4"/>
      <c r="Q579" s="4"/>
      <c r="R579" s="3"/>
      <c r="S579" s="4"/>
      <c r="T579" s="5"/>
      <c r="U579" s="4"/>
      <c r="V579" s="4"/>
      <c r="W579" s="4"/>
      <c r="X579" s="67"/>
      <c r="Y579" s="67"/>
      <c r="Z579" s="67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3"/>
      <c r="M580" s="4"/>
      <c r="N580" s="3"/>
      <c r="O580" s="3"/>
      <c r="P580" s="4"/>
      <c r="Q580" s="4"/>
      <c r="R580" s="3"/>
      <c r="S580" s="4"/>
      <c r="T580" s="5"/>
      <c r="U580" s="4"/>
      <c r="V580" s="4"/>
      <c r="W580" s="4"/>
      <c r="X580" s="67"/>
      <c r="Y580" s="67"/>
      <c r="Z580" s="67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3"/>
      <c r="M581" s="4"/>
      <c r="N581" s="3"/>
      <c r="O581" s="3"/>
      <c r="P581" s="4"/>
      <c r="Q581" s="4"/>
      <c r="R581" s="3"/>
      <c r="S581" s="4"/>
      <c r="T581" s="5"/>
      <c r="U581" s="4"/>
      <c r="V581" s="4"/>
      <c r="W581" s="4"/>
      <c r="X581" s="67"/>
      <c r="Y581" s="67"/>
      <c r="Z581" s="67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3"/>
      <c r="M582" s="4"/>
      <c r="N582" s="3"/>
      <c r="O582" s="3"/>
      <c r="P582" s="4"/>
      <c r="Q582" s="4"/>
      <c r="R582" s="3"/>
      <c r="S582" s="4"/>
      <c r="T582" s="5"/>
      <c r="U582" s="4"/>
      <c r="V582" s="4"/>
      <c r="W582" s="4"/>
      <c r="X582" s="67"/>
      <c r="Y582" s="67"/>
      <c r="Z582" s="67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3"/>
      <c r="M583" s="4"/>
      <c r="N583" s="3"/>
      <c r="O583" s="3"/>
      <c r="P583" s="4"/>
      <c r="Q583" s="4"/>
      <c r="R583" s="3"/>
      <c r="S583" s="4"/>
      <c r="T583" s="5"/>
      <c r="U583" s="4"/>
      <c r="V583" s="4"/>
      <c r="W583" s="4"/>
      <c r="X583" s="67"/>
      <c r="Y583" s="67"/>
      <c r="Z583" s="67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3"/>
      <c r="M584" s="4"/>
      <c r="N584" s="3"/>
      <c r="O584" s="3"/>
      <c r="P584" s="4"/>
      <c r="Q584" s="4"/>
      <c r="R584" s="3"/>
      <c r="S584" s="4"/>
      <c r="T584" s="5"/>
      <c r="U584" s="4"/>
      <c r="V584" s="4"/>
      <c r="W584" s="4"/>
      <c r="X584" s="67"/>
      <c r="Y584" s="67"/>
      <c r="Z584" s="67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3"/>
      <c r="M585" s="4"/>
      <c r="N585" s="3"/>
      <c r="O585" s="3"/>
      <c r="P585" s="4"/>
      <c r="Q585" s="4"/>
      <c r="R585" s="3"/>
      <c r="S585" s="4"/>
      <c r="T585" s="5"/>
      <c r="U585" s="4"/>
      <c r="V585" s="4"/>
      <c r="W585" s="4"/>
      <c r="X585" s="67"/>
      <c r="Y585" s="67"/>
      <c r="Z585" s="67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3"/>
      <c r="M586" s="4"/>
      <c r="N586" s="3"/>
      <c r="O586" s="3"/>
      <c r="P586" s="4"/>
      <c r="Q586" s="4"/>
      <c r="R586" s="3"/>
      <c r="S586" s="4"/>
      <c r="T586" s="5"/>
      <c r="U586" s="4"/>
      <c r="V586" s="4"/>
      <c r="W586" s="4"/>
      <c r="X586" s="67"/>
      <c r="Y586" s="67"/>
      <c r="Z586" s="67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3"/>
      <c r="M587" s="4"/>
      <c r="N587" s="3"/>
      <c r="O587" s="3"/>
      <c r="P587" s="4"/>
      <c r="Q587" s="4"/>
      <c r="R587" s="3"/>
      <c r="S587" s="4"/>
      <c r="T587" s="5"/>
      <c r="U587" s="4"/>
      <c r="V587" s="4"/>
      <c r="W587" s="4"/>
      <c r="X587" s="67"/>
      <c r="Y587" s="67"/>
      <c r="Z587" s="67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3"/>
      <c r="M588" s="4"/>
      <c r="N588" s="3"/>
      <c r="O588" s="3"/>
      <c r="P588" s="4"/>
      <c r="Q588" s="4"/>
      <c r="R588" s="3"/>
      <c r="S588" s="4"/>
      <c r="T588" s="5"/>
      <c r="U588" s="4"/>
      <c r="V588" s="4"/>
      <c r="W588" s="4"/>
      <c r="X588" s="67"/>
      <c r="Y588" s="67"/>
      <c r="Z588" s="67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3"/>
      <c r="M589" s="4"/>
      <c r="N589" s="3"/>
      <c r="O589" s="3"/>
      <c r="P589" s="4"/>
      <c r="Q589" s="4"/>
      <c r="R589" s="3"/>
      <c r="S589" s="4"/>
      <c r="T589" s="5"/>
      <c r="U589" s="4"/>
      <c r="V589" s="4"/>
      <c r="W589" s="4"/>
      <c r="X589" s="67"/>
      <c r="Y589" s="67"/>
      <c r="Z589" s="67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3"/>
      <c r="M590" s="4"/>
      <c r="N590" s="3"/>
      <c r="O590" s="3"/>
      <c r="P590" s="4"/>
      <c r="Q590" s="4"/>
      <c r="R590" s="3"/>
      <c r="S590" s="4"/>
      <c r="T590" s="5"/>
      <c r="U590" s="4"/>
      <c r="V590" s="4"/>
      <c r="W590" s="4"/>
      <c r="X590" s="67"/>
      <c r="Y590" s="67"/>
      <c r="Z590" s="67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3"/>
      <c r="M591" s="4"/>
      <c r="N591" s="3"/>
      <c r="O591" s="3"/>
      <c r="P591" s="4"/>
      <c r="Q591" s="4"/>
      <c r="R591" s="3"/>
      <c r="S591" s="4"/>
      <c r="T591" s="5"/>
      <c r="U591" s="4"/>
      <c r="V591" s="4"/>
      <c r="W591" s="4"/>
      <c r="X591" s="67"/>
      <c r="Y591" s="67"/>
      <c r="Z591" s="67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3"/>
      <c r="M592" s="4"/>
      <c r="N592" s="3"/>
      <c r="O592" s="3"/>
      <c r="P592" s="4"/>
      <c r="Q592" s="4"/>
      <c r="R592" s="3"/>
      <c r="S592" s="4"/>
      <c r="T592" s="5"/>
      <c r="U592" s="4"/>
      <c r="V592" s="4"/>
      <c r="W592" s="4"/>
      <c r="X592" s="67"/>
      <c r="Y592" s="67"/>
      <c r="Z592" s="67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3"/>
      <c r="M593" s="4"/>
      <c r="N593" s="3"/>
      <c r="O593" s="3"/>
      <c r="P593" s="4"/>
      <c r="Q593" s="4"/>
      <c r="R593" s="3"/>
      <c r="S593" s="4"/>
      <c r="T593" s="5"/>
      <c r="U593" s="4"/>
      <c r="V593" s="4"/>
      <c r="W593" s="4"/>
      <c r="X593" s="67"/>
      <c r="Y593" s="67"/>
      <c r="Z593" s="67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3"/>
      <c r="M594" s="4"/>
      <c r="N594" s="3"/>
      <c r="O594" s="3"/>
      <c r="P594" s="4"/>
      <c r="Q594" s="4"/>
      <c r="R594" s="3"/>
      <c r="S594" s="4"/>
      <c r="T594" s="5"/>
      <c r="U594" s="4"/>
      <c r="V594" s="4"/>
      <c r="W594" s="4"/>
      <c r="X594" s="67"/>
      <c r="Y594" s="67"/>
      <c r="Z594" s="67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3"/>
      <c r="M595" s="4"/>
      <c r="N595" s="3"/>
      <c r="O595" s="3"/>
      <c r="P595" s="4"/>
      <c r="Q595" s="4"/>
      <c r="R595" s="3"/>
      <c r="S595" s="4"/>
      <c r="T595" s="5"/>
      <c r="U595" s="4"/>
      <c r="V595" s="4"/>
      <c r="W595" s="4"/>
      <c r="X595" s="67"/>
      <c r="Y595" s="67"/>
      <c r="Z595" s="67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3"/>
      <c r="M596" s="4"/>
      <c r="N596" s="3"/>
      <c r="O596" s="3"/>
      <c r="P596" s="4"/>
      <c r="Q596" s="4"/>
      <c r="R596" s="3"/>
      <c r="S596" s="4"/>
      <c r="T596" s="5"/>
      <c r="U596" s="4"/>
      <c r="V596" s="4"/>
      <c r="W596" s="4"/>
      <c r="X596" s="67"/>
      <c r="Y596" s="67"/>
      <c r="Z596" s="67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3"/>
      <c r="M597" s="4"/>
      <c r="N597" s="3"/>
      <c r="O597" s="3"/>
      <c r="P597" s="4"/>
      <c r="Q597" s="4"/>
      <c r="R597" s="3"/>
      <c r="S597" s="4"/>
      <c r="T597" s="5"/>
      <c r="U597" s="4"/>
      <c r="V597" s="4"/>
      <c r="W597" s="4"/>
      <c r="X597" s="67"/>
      <c r="Y597" s="67"/>
      <c r="Z597" s="67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3"/>
      <c r="M598" s="4"/>
      <c r="N598" s="3"/>
      <c r="O598" s="3"/>
      <c r="P598" s="4"/>
      <c r="Q598" s="4"/>
      <c r="R598" s="3"/>
      <c r="S598" s="4"/>
      <c r="T598" s="5"/>
      <c r="U598" s="4"/>
      <c r="V598" s="4"/>
      <c r="W598" s="4"/>
      <c r="X598" s="67"/>
      <c r="Y598" s="67"/>
      <c r="Z598" s="67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3"/>
      <c r="M599" s="4"/>
      <c r="N599" s="3"/>
      <c r="O599" s="3"/>
      <c r="P599" s="4"/>
      <c r="Q599" s="4"/>
      <c r="R599" s="3"/>
      <c r="S599" s="4"/>
      <c r="T599" s="5"/>
      <c r="U599" s="4"/>
      <c r="V599" s="4"/>
      <c r="W599" s="4"/>
      <c r="X599" s="67"/>
      <c r="Y599" s="67"/>
      <c r="Z599" s="67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3"/>
      <c r="M600" s="4"/>
      <c r="N600" s="3"/>
      <c r="O600" s="3"/>
      <c r="P600" s="4"/>
      <c r="Q600" s="4"/>
      <c r="R600" s="3"/>
      <c r="S600" s="4"/>
      <c r="T600" s="5"/>
      <c r="U600" s="4"/>
      <c r="V600" s="4"/>
      <c r="W600" s="4"/>
      <c r="X600" s="67"/>
      <c r="Y600" s="67"/>
      <c r="Z600" s="67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3"/>
      <c r="M601" s="4"/>
      <c r="N601" s="3"/>
      <c r="O601" s="3"/>
      <c r="P601" s="4"/>
      <c r="Q601" s="4"/>
      <c r="R601" s="3"/>
      <c r="S601" s="4"/>
      <c r="T601" s="5"/>
      <c r="U601" s="4"/>
      <c r="V601" s="4"/>
      <c r="W601" s="4"/>
      <c r="X601" s="67"/>
      <c r="Y601" s="67"/>
      <c r="Z601" s="67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3"/>
      <c r="M602" s="4"/>
      <c r="N602" s="3"/>
      <c r="O602" s="3"/>
      <c r="P602" s="4"/>
      <c r="Q602" s="4"/>
      <c r="R602" s="3"/>
      <c r="S602" s="4"/>
      <c r="T602" s="5"/>
      <c r="U602" s="4"/>
      <c r="V602" s="4"/>
      <c r="W602" s="4"/>
      <c r="X602" s="67"/>
      <c r="Y602" s="67"/>
      <c r="Z602" s="67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3"/>
      <c r="M603" s="4"/>
      <c r="N603" s="3"/>
      <c r="O603" s="3"/>
      <c r="P603" s="4"/>
      <c r="Q603" s="4"/>
      <c r="R603" s="3"/>
      <c r="S603" s="4"/>
      <c r="T603" s="5"/>
      <c r="U603" s="4"/>
      <c r="V603" s="4"/>
      <c r="W603" s="4"/>
      <c r="X603" s="67"/>
      <c r="Y603" s="67"/>
      <c r="Z603" s="67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3"/>
      <c r="M604" s="4"/>
      <c r="N604" s="3"/>
      <c r="O604" s="3"/>
      <c r="P604" s="4"/>
      <c r="Q604" s="4"/>
      <c r="R604" s="3"/>
      <c r="S604" s="4"/>
      <c r="T604" s="5"/>
      <c r="U604" s="4"/>
      <c r="V604" s="4"/>
      <c r="W604" s="4"/>
      <c r="X604" s="67"/>
      <c r="Y604" s="67"/>
      <c r="Z604" s="67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3"/>
      <c r="M605" s="4"/>
      <c r="N605" s="3"/>
      <c r="O605" s="3"/>
      <c r="P605" s="4"/>
      <c r="Q605" s="4"/>
      <c r="R605" s="3"/>
      <c r="S605" s="4"/>
      <c r="T605" s="5"/>
      <c r="U605" s="4"/>
      <c r="V605" s="4"/>
      <c r="W605" s="4"/>
      <c r="X605" s="67"/>
      <c r="Y605" s="67"/>
      <c r="Z605" s="67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3"/>
      <c r="M606" s="4"/>
      <c r="N606" s="3"/>
      <c r="O606" s="3"/>
      <c r="P606" s="4"/>
      <c r="Q606" s="4"/>
      <c r="R606" s="3"/>
      <c r="S606" s="4"/>
      <c r="T606" s="5"/>
      <c r="U606" s="4"/>
      <c r="V606" s="4"/>
      <c r="W606" s="4"/>
      <c r="X606" s="67"/>
      <c r="Y606" s="67"/>
      <c r="Z606" s="67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3"/>
      <c r="M607" s="4"/>
      <c r="N607" s="3"/>
      <c r="O607" s="3"/>
      <c r="P607" s="4"/>
      <c r="Q607" s="4"/>
      <c r="R607" s="3"/>
      <c r="S607" s="4"/>
      <c r="T607" s="5"/>
      <c r="U607" s="4"/>
      <c r="V607" s="4"/>
      <c r="W607" s="4"/>
      <c r="X607" s="67"/>
      <c r="Y607" s="67"/>
      <c r="Z607" s="67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3"/>
      <c r="M608" s="4"/>
      <c r="N608" s="3"/>
      <c r="O608" s="3"/>
      <c r="P608" s="4"/>
      <c r="Q608" s="4"/>
      <c r="R608" s="3"/>
      <c r="S608" s="4"/>
      <c r="T608" s="5"/>
      <c r="U608" s="4"/>
      <c r="V608" s="4"/>
      <c r="W608" s="4"/>
      <c r="X608" s="67"/>
      <c r="Y608" s="67"/>
      <c r="Z608" s="67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  <c r="M609" s="4"/>
      <c r="N609" s="3"/>
      <c r="O609" s="3"/>
      <c r="P609" s="4"/>
      <c r="Q609" s="4"/>
      <c r="R609" s="3"/>
      <c r="S609" s="4"/>
      <c r="T609" s="5"/>
      <c r="U609" s="4"/>
      <c r="V609" s="4"/>
      <c r="W609" s="4"/>
      <c r="X609" s="67"/>
      <c r="Y609" s="67"/>
      <c r="Z609" s="67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  <c r="M610" s="4"/>
      <c r="N610" s="3"/>
      <c r="O610" s="3"/>
      <c r="P610" s="4"/>
      <c r="Q610" s="4"/>
      <c r="R610" s="3"/>
      <c r="S610" s="4"/>
      <c r="T610" s="5"/>
      <c r="U610" s="4"/>
      <c r="V610" s="4"/>
      <c r="W610" s="4"/>
      <c r="X610" s="67"/>
      <c r="Y610" s="67"/>
      <c r="Z610" s="67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  <c r="M611" s="4"/>
      <c r="N611" s="3"/>
      <c r="O611" s="3"/>
      <c r="P611" s="4"/>
      <c r="Q611" s="4"/>
      <c r="R611" s="3"/>
      <c r="S611" s="4"/>
      <c r="T611" s="5"/>
      <c r="U611" s="4"/>
      <c r="V611" s="4"/>
      <c r="W611" s="4"/>
      <c r="X611" s="67"/>
      <c r="Y611" s="67"/>
      <c r="Z611" s="67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  <c r="M612" s="4"/>
      <c r="N612" s="3"/>
      <c r="O612" s="3"/>
      <c r="P612" s="4"/>
      <c r="Q612" s="4"/>
      <c r="R612" s="3"/>
      <c r="S612" s="4"/>
      <c r="T612" s="5"/>
      <c r="U612" s="4"/>
      <c r="V612" s="4"/>
      <c r="W612" s="4"/>
      <c r="X612" s="67"/>
      <c r="Y612" s="67"/>
      <c r="Z612" s="67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  <c r="M613" s="4"/>
      <c r="N613" s="3"/>
      <c r="O613" s="3"/>
      <c r="P613" s="4"/>
      <c r="Q613" s="4"/>
      <c r="R613" s="3"/>
      <c r="S613" s="4"/>
      <c r="T613" s="5"/>
      <c r="U613" s="4"/>
      <c r="V613" s="4"/>
      <c r="W613" s="4"/>
      <c r="X613" s="67"/>
      <c r="Y613" s="67"/>
      <c r="Z613" s="67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  <c r="M614" s="4"/>
      <c r="N614" s="3"/>
      <c r="O614" s="3"/>
      <c r="P614" s="4"/>
      <c r="Q614" s="4"/>
      <c r="R614" s="3"/>
      <c r="S614" s="4"/>
      <c r="T614" s="5"/>
      <c r="U614" s="4"/>
      <c r="V614" s="4"/>
      <c r="W614" s="4"/>
      <c r="X614" s="67"/>
      <c r="Y614" s="67"/>
      <c r="Z614" s="67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  <c r="M615" s="4"/>
      <c r="N615" s="3"/>
      <c r="O615" s="3"/>
      <c r="P615" s="4"/>
      <c r="Q615" s="4"/>
      <c r="R615" s="3"/>
      <c r="S615" s="4"/>
      <c r="T615" s="5"/>
      <c r="U615" s="4"/>
      <c r="V615" s="4"/>
      <c r="W615" s="4"/>
      <c r="X615" s="67"/>
      <c r="Y615" s="67"/>
      <c r="Z615" s="67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  <c r="M616" s="4"/>
      <c r="N616" s="3"/>
      <c r="O616" s="3"/>
      <c r="P616" s="4"/>
      <c r="Q616" s="4"/>
      <c r="R616" s="3"/>
      <c r="S616" s="4"/>
      <c r="T616" s="5"/>
      <c r="U616" s="4"/>
      <c r="V616" s="4"/>
      <c r="W616" s="4"/>
      <c r="X616" s="67"/>
      <c r="Y616" s="67"/>
      <c r="Z616" s="67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  <c r="M617" s="4"/>
      <c r="N617" s="3"/>
      <c r="O617" s="3"/>
      <c r="P617" s="4"/>
      <c r="Q617" s="4"/>
      <c r="R617" s="3"/>
      <c r="S617" s="4"/>
      <c r="T617" s="5"/>
      <c r="U617" s="4"/>
      <c r="V617" s="4"/>
      <c r="W617" s="4"/>
      <c r="X617" s="67"/>
      <c r="Y617" s="67"/>
      <c r="Z617" s="67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  <c r="M618" s="4"/>
      <c r="N618" s="3"/>
      <c r="O618" s="3"/>
      <c r="P618" s="4"/>
      <c r="Q618" s="4"/>
      <c r="R618" s="3"/>
      <c r="S618" s="4"/>
      <c r="T618" s="5"/>
      <c r="U618" s="4"/>
      <c r="V618" s="4"/>
      <c r="W618" s="4"/>
      <c r="X618" s="67"/>
      <c r="Y618" s="67"/>
      <c r="Z618" s="67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  <c r="M619" s="4"/>
      <c r="N619" s="3"/>
      <c r="O619" s="3"/>
      <c r="P619" s="4"/>
      <c r="Q619" s="4"/>
      <c r="R619" s="3"/>
      <c r="S619" s="4"/>
      <c r="T619" s="5"/>
      <c r="U619" s="4"/>
      <c r="V619" s="4"/>
      <c r="W619" s="4"/>
      <c r="X619" s="67"/>
      <c r="Y619" s="67"/>
      <c r="Z619" s="67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  <c r="M620" s="4"/>
      <c r="N620" s="3"/>
      <c r="O620" s="3"/>
      <c r="P620" s="4"/>
      <c r="Q620" s="4"/>
      <c r="R620" s="3"/>
      <c r="S620" s="4"/>
      <c r="T620" s="5"/>
      <c r="U620" s="4"/>
      <c r="V620" s="4"/>
      <c r="W620" s="4"/>
      <c r="X620" s="67"/>
      <c r="Y620" s="67"/>
      <c r="Z620" s="67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  <c r="M621" s="4"/>
      <c r="N621" s="3"/>
      <c r="O621" s="3"/>
      <c r="P621" s="4"/>
      <c r="Q621" s="4"/>
      <c r="R621" s="3"/>
      <c r="S621" s="4"/>
      <c r="T621" s="5"/>
      <c r="U621" s="4"/>
      <c r="V621" s="4"/>
      <c r="W621" s="4"/>
      <c r="X621" s="67"/>
      <c r="Y621" s="67"/>
      <c r="Z621" s="67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  <c r="M622" s="4"/>
      <c r="N622" s="3"/>
      <c r="O622" s="3"/>
      <c r="P622" s="4"/>
      <c r="Q622" s="4"/>
      <c r="R622" s="3"/>
      <c r="S622" s="4"/>
      <c r="T622" s="5"/>
      <c r="U622" s="4"/>
      <c r="V622" s="4"/>
      <c r="W622" s="4"/>
      <c r="X622" s="67"/>
      <c r="Y622" s="67"/>
      <c r="Z622" s="67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  <c r="M623" s="4"/>
      <c r="N623" s="3"/>
      <c r="O623" s="3"/>
      <c r="P623" s="4"/>
      <c r="Q623" s="4"/>
      <c r="R623" s="3"/>
      <c r="S623" s="4"/>
      <c r="T623" s="5"/>
      <c r="U623" s="4"/>
      <c r="V623" s="4"/>
      <c r="W623" s="4"/>
      <c r="X623" s="67"/>
      <c r="Y623" s="67"/>
      <c r="Z623" s="67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  <c r="M624" s="4"/>
      <c r="N624" s="3"/>
      <c r="O624" s="3"/>
      <c r="P624" s="4"/>
      <c r="Q624" s="4"/>
      <c r="R624" s="3"/>
      <c r="S624" s="4"/>
      <c r="T624" s="5"/>
      <c r="U624" s="4"/>
      <c r="V624" s="4"/>
      <c r="W624" s="4"/>
      <c r="X624" s="67"/>
      <c r="Y624" s="67"/>
      <c r="Z624" s="67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  <c r="M625" s="4"/>
      <c r="N625" s="3"/>
      <c r="O625" s="3"/>
      <c r="P625" s="4"/>
      <c r="Q625" s="4"/>
      <c r="R625" s="3"/>
      <c r="S625" s="4"/>
      <c r="T625" s="5"/>
      <c r="U625" s="4"/>
      <c r="V625" s="4"/>
      <c r="W625" s="4"/>
      <c r="X625" s="67"/>
      <c r="Y625" s="67"/>
      <c r="Z625" s="67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  <c r="M626" s="4"/>
      <c r="N626" s="3"/>
      <c r="O626" s="3"/>
      <c r="P626" s="4"/>
      <c r="Q626" s="4"/>
      <c r="R626" s="3"/>
      <c r="S626" s="4"/>
      <c r="T626" s="5"/>
      <c r="U626" s="4"/>
      <c r="V626" s="4"/>
      <c r="W626" s="4"/>
      <c r="X626" s="67"/>
      <c r="Y626" s="67"/>
      <c r="Z626" s="67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  <c r="M627" s="4"/>
      <c r="N627" s="3"/>
      <c r="O627" s="3"/>
      <c r="P627" s="4"/>
      <c r="Q627" s="4"/>
      <c r="R627" s="3"/>
      <c r="S627" s="4"/>
      <c r="T627" s="5"/>
      <c r="U627" s="4"/>
      <c r="V627" s="4"/>
      <c r="W627" s="4"/>
      <c r="X627" s="67"/>
      <c r="Y627" s="67"/>
      <c r="Z627" s="67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  <c r="M628" s="4"/>
      <c r="N628" s="3"/>
      <c r="O628" s="3"/>
      <c r="P628" s="4"/>
      <c r="Q628" s="4"/>
      <c r="R628" s="3"/>
      <c r="S628" s="4"/>
      <c r="T628" s="5"/>
      <c r="U628" s="4"/>
      <c r="V628" s="4"/>
      <c r="W628" s="4"/>
      <c r="X628" s="67"/>
      <c r="Y628" s="67"/>
      <c r="Z628" s="67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  <c r="M629" s="4"/>
      <c r="N629" s="3"/>
      <c r="O629" s="3"/>
      <c r="P629" s="4"/>
      <c r="Q629" s="4"/>
      <c r="R629" s="3"/>
      <c r="S629" s="4"/>
      <c r="T629" s="5"/>
      <c r="U629" s="4"/>
      <c r="V629" s="4"/>
      <c r="W629" s="4"/>
      <c r="X629" s="67"/>
      <c r="Y629" s="67"/>
      <c r="Z629" s="67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  <c r="M630" s="4"/>
      <c r="N630" s="3"/>
      <c r="O630" s="3"/>
      <c r="P630" s="4"/>
      <c r="Q630" s="4"/>
      <c r="R630" s="3"/>
      <c r="S630" s="4"/>
      <c r="T630" s="5"/>
      <c r="U630" s="4"/>
      <c r="V630" s="4"/>
      <c r="W630" s="4"/>
      <c r="X630" s="67"/>
      <c r="Y630" s="67"/>
      <c r="Z630" s="67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  <c r="M631" s="4"/>
      <c r="N631" s="3"/>
      <c r="O631" s="3"/>
      <c r="P631" s="4"/>
      <c r="Q631" s="4"/>
      <c r="R631" s="3"/>
      <c r="S631" s="4"/>
      <c r="T631" s="5"/>
      <c r="U631" s="4"/>
      <c r="V631" s="4"/>
      <c r="W631" s="4"/>
      <c r="X631" s="67"/>
      <c r="Y631" s="67"/>
      <c r="Z631" s="67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  <c r="M632" s="4"/>
      <c r="N632" s="3"/>
      <c r="O632" s="3"/>
      <c r="P632" s="4"/>
      <c r="Q632" s="4"/>
      <c r="R632" s="3"/>
      <c r="S632" s="4"/>
      <c r="T632" s="5"/>
      <c r="U632" s="4"/>
      <c r="V632" s="4"/>
      <c r="W632" s="4"/>
      <c r="X632" s="67"/>
      <c r="Y632" s="67"/>
      <c r="Z632" s="67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3"/>
      <c r="M633" s="4"/>
      <c r="N633" s="3"/>
      <c r="O633" s="3"/>
      <c r="P633" s="4"/>
      <c r="Q633" s="4"/>
      <c r="R633" s="3"/>
      <c r="S633" s="4"/>
      <c r="T633" s="5"/>
      <c r="U633" s="4"/>
      <c r="V633" s="4"/>
      <c r="W633" s="4"/>
      <c r="X633" s="67"/>
      <c r="Y633" s="67"/>
      <c r="Z633" s="67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3"/>
      <c r="M634" s="4"/>
      <c r="N634" s="3"/>
      <c r="O634" s="3"/>
      <c r="P634" s="4"/>
      <c r="Q634" s="4"/>
      <c r="R634" s="3"/>
      <c r="S634" s="4"/>
      <c r="T634" s="5"/>
      <c r="U634" s="4"/>
      <c r="V634" s="4"/>
      <c r="W634" s="4"/>
      <c r="X634" s="67"/>
      <c r="Y634" s="67"/>
      <c r="Z634" s="67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3"/>
      <c r="M635" s="4"/>
      <c r="N635" s="3"/>
      <c r="O635" s="3"/>
      <c r="P635" s="4"/>
      <c r="Q635" s="4"/>
      <c r="R635" s="3"/>
      <c r="S635" s="4"/>
      <c r="T635" s="5"/>
      <c r="U635" s="4"/>
      <c r="V635" s="4"/>
      <c r="W635" s="4"/>
      <c r="X635" s="67"/>
      <c r="Y635" s="67"/>
      <c r="Z635" s="67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3"/>
      <c r="M636" s="4"/>
      <c r="N636" s="3"/>
      <c r="O636" s="3"/>
      <c r="P636" s="4"/>
      <c r="Q636" s="4"/>
      <c r="R636" s="3"/>
      <c r="S636" s="4"/>
      <c r="T636" s="5"/>
      <c r="U636" s="4"/>
      <c r="V636" s="4"/>
      <c r="W636" s="4"/>
      <c r="X636" s="67"/>
      <c r="Y636" s="67"/>
      <c r="Z636" s="67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3"/>
      <c r="M637" s="4"/>
      <c r="N637" s="3"/>
      <c r="O637" s="3"/>
      <c r="P637" s="4"/>
      <c r="Q637" s="4"/>
      <c r="R637" s="3"/>
      <c r="S637" s="4"/>
      <c r="T637" s="5"/>
      <c r="U637" s="4"/>
      <c r="V637" s="4"/>
      <c r="W637" s="4"/>
      <c r="X637" s="67"/>
      <c r="Y637" s="67"/>
      <c r="Z637" s="67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3"/>
      <c r="M638" s="4"/>
      <c r="N638" s="3"/>
      <c r="O638" s="3"/>
      <c r="P638" s="4"/>
      <c r="Q638" s="4"/>
      <c r="R638" s="3"/>
      <c r="S638" s="4"/>
      <c r="T638" s="5"/>
      <c r="U638" s="4"/>
      <c r="V638" s="4"/>
      <c r="W638" s="4"/>
      <c r="X638" s="67"/>
      <c r="Y638" s="67"/>
      <c r="Z638" s="67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3"/>
      <c r="M639" s="4"/>
      <c r="N639" s="3"/>
      <c r="O639" s="3"/>
      <c r="P639" s="4"/>
      <c r="Q639" s="4"/>
      <c r="R639" s="3"/>
      <c r="S639" s="4"/>
      <c r="T639" s="5"/>
      <c r="U639" s="4"/>
      <c r="V639" s="4"/>
      <c r="W639" s="4"/>
      <c r="X639" s="67"/>
      <c r="Y639" s="67"/>
      <c r="Z639" s="67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3"/>
      <c r="M640" s="4"/>
      <c r="N640" s="3"/>
      <c r="O640" s="3"/>
      <c r="P640" s="4"/>
      <c r="Q640" s="4"/>
      <c r="R640" s="3"/>
      <c r="S640" s="4"/>
      <c r="T640" s="5"/>
      <c r="U640" s="4"/>
      <c r="V640" s="4"/>
      <c r="W640" s="4"/>
      <c r="X640" s="67"/>
      <c r="Y640" s="67"/>
      <c r="Z640" s="67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3"/>
      <c r="M641" s="4"/>
      <c r="N641" s="3"/>
      <c r="O641" s="3"/>
      <c r="P641" s="4"/>
      <c r="Q641" s="4"/>
      <c r="R641" s="3"/>
      <c r="S641" s="4"/>
      <c r="T641" s="5"/>
      <c r="U641" s="4"/>
      <c r="V641" s="4"/>
      <c r="W641" s="4"/>
      <c r="X641" s="67"/>
      <c r="Y641" s="67"/>
      <c r="Z641" s="67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3"/>
      <c r="M642" s="4"/>
      <c r="N642" s="3"/>
      <c r="O642" s="3"/>
      <c r="P642" s="4"/>
      <c r="Q642" s="4"/>
      <c r="R642" s="3"/>
      <c r="S642" s="4"/>
      <c r="T642" s="5"/>
      <c r="U642" s="4"/>
      <c r="V642" s="4"/>
      <c r="W642" s="4"/>
      <c r="X642" s="67"/>
      <c r="Y642" s="67"/>
      <c r="Z642" s="67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3"/>
      <c r="M643" s="4"/>
      <c r="N643" s="3"/>
      <c r="O643" s="3"/>
      <c r="P643" s="4"/>
      <c r="Q643" s="4"/>
      <c r="R643" s="3"/>
      <c r="S643" s="4"/>
      <c r="T643" s="5"/>
      <c r="U643" s="4"/>
      <c r="V643" s="4"/>
      <c r="W643" s="4"/>
      <c r="X643" s="67"/>
      <c r="Y643" s="67"/>
      <c r="Z643" s="67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3"/>
      <c r="M644" s="4"/>
      <c r="N644" s="3"/>
      <c r="O644" s="3"/>
      <c r="P644" s="4"/>
      <c r="Q644" s="4"/>
      <c r="R644" s="3"/>
      <c r="S644" s="4"/>
      <c r="T644" s="5"/>
      <c r="U644" s="4"/>
      <c r="V644" s="4"/>
      <c r="W644" s="4"/>
      <c r="X644" s="67"/>
      <c r="Y644" s="67"/>
      <c r="Z644" s="67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3"/>
      <c r="M645" s="4"/>
      <c r="N645" s="3"/>
      <c r="O645" s="3"/>
      <c r="P645" s="4"/>
      <c r="Q645" s="4"/>
      <c r="R645" s="3"/>
      <c r="S645" s="4"/>
      <c r="T645" s="5"/>
      <c r="U645" s="4"/>
      <c r="V645" s="4"/>
      <c r="W645" s="4"/>
      <c r="X645" s="67"/>
      <c r="Y645" s="67"/>
      <c r="Z645" s="67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3"/>
      <c r="M646" s="4"/>
      <c r="N646" s="3"/>
      <c r="O646" s="3"/>
      <c r="P646" s="4"/>
      <c r="Q646" s="4"/>
      <c r="R646" s="3"/>
      <c r="S646" s="4"/>
      <c r="T646" s="5"/>
      <c r="U646" s="4"/>
      <c r="V646" s="4"/>
      <c r="W646" s="4"/>
      <c r="X646" s="67"/>
      <c r="Y646" s="67"/>
      <c r="Z646" s="67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3"/>
      <c r="M647" s="4"/>
      <c r="N647" s="3"/>
      <c r="O647" s="3"/>
      <c r="P647" s="4"/>
      <c r="Q647" s="4"/>
      <c r="R647" s="3"/>
      <c r="S647" s="4"/>
      <c r="T647" s="5"/>
      <c r="U647" s="4"/>
      <c r="V647" s="4"/>
      <c r="W647" s="4"/>
      <c r="X647" s="67"/>
      <c r="Y647" s="67"/>
      <c r="Z647" s="67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3"/>
      <c r="M648" s="4"/>
      <c r="N648" s="3"/>
      <c r="O648" s="3"/>
      <c r="P648" s="4"/>
      <c r="Q648" s="4"/>
      <c r="R648" s="3"/>
      <c r="S648" s="4"/>
      <c r="T648" s="5"/>
      <c r="U648" s="4"/>
      <c r="V648" s="4"/>
      <c r="W648" s="4"/>
      <c r="X648" s="67"/>
      <c r="Y648" s="67"/>
      <c r="Z648" s="67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3"/>
      <c r="M649" s="4"/>
      <c r="N649" s="3"/>
      <c r="O649" s="3"/>
      <c r="P649" s="4"/>
      <c r="Q649" s="4"/>
      <c r="R649" s="3"/>
      <c r="S649" s="4"/>
      <c r="T649" s="5"/>
      <c r="U649" s="4"/>
      <c r="V649" s="4"/>
      <c r="W649" s="4"/>
      <c r="X649" s="67"/>
      <c r="Y649" s="67"/>
      <c r="Z649" s="67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3"/>
      <c r="M650" s="4"/>
      <c r="N650" s="3"/>
      <c r="O650" s="3"/>
      <c r="P650" s="4"/>
      <c r="Q650" s="4"/>
      <c r="R650" s="3"/>
      <c r="S650" s="4"/>
      <c r="T650" s="5"/>
      <c r="U650" s="4"/>
      <c r="V650" s="4"/>
      <c r="W650" s="4"/>
      <c r="X650" s="67"/>
      <c r="Y650" s="67"/>
      <c r="Z650" s="67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3"/>
      <c r="M651" s="4"/>
      <c r="N651" s="3"/>
      <c r="O651" s="3"/>
      <c r="P651" s="4"/>
      <c r="Q651" s="4"/>
      <c r="R651" s="3"/>
      <c r="S651" s="4"/>
      <c r="T651" s="5"/>
      <c r="U651" s="4"/>
      <c r="V651" s="4"/>
      <c r="W651" s="4"/>
      <c r="X651" s="67"/>
      <c r="Y651" s="67"/>
      <c r="Z651" s="67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3"/>
      <c r="M652" s="4"/>
      <c r="N652" s="3"/>
      <c r="O652" s="3"/>
      <c r="P652" s="4"/>
      <c r="Q652" s="4"/>
      <c r="R652" s="3"/>
      <c r="S652" s="4"/>
      <c r="T652" s="5"/>
      <c r="U652" s="4"/>
      <c r="V652" s="4"/>
      <c r="W652" s="4"/>
      <c r="X652" s="67"/>
      <c r="Y652" s="67"/>
      <c r="Z652" s="67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3"/>
      <c r="M653" s="4"/>
      <c r="N653" s="3"/>
      <c r="O653" s="3"/>
      <c r="P653" s="4"/>
      <c r="Q653" s="4"/>
      <c r="R653" s="3"/>
      <c r="S653" s="4"/>
      <c r="T653" s="5"/>
      <c r="U653" s="4"/>
      <c r="V653" s="4"/>
      <c r="W653" s="4"/>
      <c r="X653" s="67"/>
      <c r="Y653" s="67"/>
      <c r="Z653" s="67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3"/>
      <c r="M654" s="4"/>
      <c r="N654" s="3"/>
      <c r="O654" s="3"/>
      <c r="P654" s="4"/>
      <c r="Q654" s="4"/>
      <c r="R654" s="3"/>
      <c r="S654" s="4"/>
      <c r="T654" s="5"/>
      <c r="U654" s="4"/>
      <c r="V654" s="4"/>
      <c r="W654" s="4"/>
      <c r="X654" s="67"/>
      <c r="Y654" s="67"/>
      <c r="Z654" s="67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3"/>
      <c r="M655" s="4"/>
      <c r="N655" s="3"/>
      <c r="O655" s="3"/>
      <c r="P655" s="4"/>
      <c r="Q655" s="4"/>
      <c r="R655" s="3"/>
      <c r="S655" s="4"/>
      <c r="T655" s="5"/>
      <c r="U655" s="4"/>
      <c r="V655" s="4"/>
      <c r="W655" s="4"/>
      <c r="X655" s="67"/>
      <c r="Y655" s="67"/>
      <c r="Z655" s="67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3"/>
      <c r="M656" s="4"/>
      <c r="N656" s="3"/>
      <c r="O656" s="3"/>
      <c r="P656" s="4"/>
      <c r="Q656" s="4"/>
      <c r="R656" s="3"/>
      <c r="S656" s="4"/>
      <c r="T656" s="5"/>
      <c r="U656" s="4"/>
      <c r="V656" s="4"/>
      <c r="W656" s="4"/>
      <c r="X656" s="67"/>
      <c r="Y656" s="67"/>
      <c r="Z656" s="67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3"/>
      <c r="M657" s="4"/>
      <c r="N657" s="3"/>
      <c r="O657" s="3"/>
      <c r="P657" s="4"/>
      <c r="Q657" s="4"/>
      <c r="R657" s="3"/>
      <c r="S657" s="4"/>
      <c r="T657" s="5"/>
      <c r="U657" s="4"/>
      <c r="V657" s="4"/>
      <c r="W657" s="4"/>
      <c r="X657" s="67"/>
      <c r="Y657" s="67"/>
      <c r="Z657" s="67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3"/>
      <c r="M658" s="4"/>
      <c r="N658" s="3"/>
      <c r="O658" s="3"/>
      <c r="P658" s="4"/>
      <c r="Q658" s="4"/>
      <c r="R658" s="3"/>
      <c r="S658" s="4"/>
      <c r="T658" s="5"/>
      <c r="U658" s="4"/>
      <c r="V658" s="4"/>
      <c r="W658" s="4"/>
      <c r="X658" s="67"/>
      <c r="Y658" s="67"/>
      <c r="Z658" s="67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3"/>
      <c r="M659" s="4"/>
      <c r="N659" s="3"/>
      <c r="O659" s="3"/>
      <c r="P659" s="4"/>
      <c r="Q659" s="4"/>
      <c r="R659" s="3"/>
      <c r="S659" s="4"/>
      <c r="T659" s="5"/>
      <c r="U659" s="4"/>
      <c r="V659" s="4"/>
      <c r="W659" s="4"/>
      <c r="X659" s="67"/>
      <c r="Y659" s="67"/>
      <c r="Z659" s="67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3"/>
      <c r="M660" s="4"/>
      <c r="N660" s="3"/>
      <c r="O660" s="3"/>
      <c r="P660" s="4"/>
      <c r="Q660" s="4"/>
      <c r="R660" s="3"/>
      <c r="S660" s="4"/>
      <c r="T660" s="5"/>
      <c r="U660" s="4"/>
      <c r="V660" s="4"/>
      <c r="W660" s="4"/>
      <c r="X660" s="67"/>
      <c r="Y660" s="67"/>
      <c r="Z660" s="67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3"/>
      <c r="M661" s="4"/>
      <c r="N661" s="3"/>
      <c r="O661" s="3"/>
      <c r="P661" s="4"/>
      <c r="Q661" s="4"/>
      <c r="R661" s="3"/>
      <c r="S661" s="4"/>
      <c r="T661" s="5"/>
      <c r="U661" s="4"/>
      <c r="V661" s="4"/>
      <c r="W661" s="4"/>
      <c r="X661" s="67"/>
      <c r="Y661" s="67"/>
      <c r="Z661" s="67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3"/>
      <c r="M662" s="4"/>
      <c r="N662" s="3"/>
      <c r="O662" s="3"/>
      <c r="P662" s="4"/>
      <c r="Q662" s="4"/>
      <c r="R662" s="3"/>
      <c r="S662" s="4"/>
      <c r="T662" s="5"/>
      <c r="U662" s="4"/>
      <c r="V662" s="4"/>
      <c r="W662" s="4"/>
      <c r="X662" s="67"/>
      <c r="Y662" s="67"/>
      <c r="Z662" s="67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3"/>
      <c r="M663" s="4"/>
      <c r="N663" s="3"/>
      <c r="O663" s="3"/>
      <c r="P663" s="4"/>
      <c r="Q663" s="4"/>
      <c r="R663" s="3"/>
      <c r="S663" s="4"/>
      <c r="T663" s="5"/>
      <c r="U663" s="4"/>
      <c r="V663" s="4"/>
      <c r="W663" s="4"/>
      <c r="X663" s="67"/>
      <c r="Y663" s="67"/>
      <c r="Z663" s="67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3"/>
      <c r="M664" s="4"/>
      <c r="N664" s="3"/>
      <c r="O664" s="3"/>
      <c r="P664" s="4"/>
      <c r="Q664" s="4"/>
      <c r="R664" s="3"/>
      <c r="S664" s="4"/>
      <c r="T664" s="5"/>
      <c r="U664" s="4"/>
      <c r="V664" s="4"/>
      <c r="W664" s="4"/>
      <c r="X664" s="67"/>
      <c r="Y664" s="67"/>
      <c r="Z664" s="67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3"/>
      <c r="M665" s="4"/>
      <c r="N665" s="3"/>
      <c r="O665" s="3"/>
      <c r="P665" s="4"/>
      <c r="Q665" s="4"/>
      <c r="R665" s="3"/>
      <c r="S665" s="4"/>
      <c r="T665" s="5"/>
      <c r="U665" s="4"/>
      <c r="V665" s="4"/>
      <c r="W665" s="4"/>
      <c r="X665" s="67"/>
      <c r="Y665" s="67"/>
      <c r="Z665" s="67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3"/>
      <c r="M666" s="4"/>
      <c r="N666" s="3"/>
      <c r="O666" s="3"/>
      <c r="P666" s="4"/>
      <c r="Q666" s="4"/>
      <c r="R666" s="3"/>
      <c r="S666" s="4"/>
      <c r="T666" s="5"/>
      <c r="U666" s="4"/>
      <c r="V666" s="4"/>
      <c r="W666" s="4"/>
      <c r="X666" s="67"/>
      <c r="Y666" s="67"/>
      <c r="Z666" s="67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3"/>
      <c r="M667" s="4"/>
      <c r="N667" s="3"/>
      <c r="O667" s="3"/>
      <c r="P667" s="4"/>
      <c r="Q667" s="4"/>
      <c r="R667" s="3"/>
      <c r="S667" s="4"/>
      <c r="T667" s="5"/>
      <c r="U667" s="4"/>
      <c r="V667" s="4"/>
      <c r="W667" s="4"/>
      <c r="X667" s="67"/>
      <c r="Y667" s="67"/>
      <c r="Z667" s="67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3"/>
      <c r="M668" s="4"/>
      <c r="N668" s="3"/>
      <c r="O668" s="3"/>
      <c r="P668" s="4"/>
      <c r="Q668" s="4"/>
      <c r="R668" s="3"/>
      <c r="S668" s="4"/>
      <c r="T668" s="5"/>
      <c r="U668" s="4"/>
      <c r="V668" s="4"/>
      <c r="W668" s="4"/>
      <c r="X668" s="67"/>
      <c r="Y668" s="67"/>
      <c r="Z668" s="67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3"/>
      <c r="M669" s="4"/>
      <c r="N669" s="3"/>
      <c r="O669" s="3"/>
      <c r="P669" s="4"/>
      <c r="Q669" s="4"/>
      <c r="R669" s="3"/>
      <c r="S669" s="4"/>
      <c r="T669" s="5"/>
      <c r="U669" s="4"/>
      <c r="V669" s="4"/>
      <c r="W669" s="4"/>
      <c r="X669" s="67"/>
      <c r="Y669" s="67"/>
      <c r="Z669" s="67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3"/>
      <c r="M670" s="4"/>
      <c r="N670" s="3"/>
      <c r="O670" s="3"/>
      <c r="P670" s="4"/>
      <c r="Q670" s="4"/>
      <c r="R670" s="3"/>
      <c r="S670" s="4"/>
      <c r="T670" s="5"/>
      <c r="U670" s="4"/>
      <c r="V670" s="4"/>
      <c r="W670" s="4"/>
      <c r="X670" s="67"/>
      <c r="Y670" s="67"/>
      <c r="Z670" s="67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3"/>
      <c r="M671" s="4"/>
      <c r="N671" s="3"/>
      <c r="O671" s="3"/>
      <c r="P671" s="4"/>
      <c r="Q671" s="4"/>
      <c r="R671" s="3"/>
      <c r="S671" s="4"/>
      <c r="T671" s="5"/>
      <c r="U671" s="4"/>
      <c r="V671" s="4"/>
      <c r="W671" s="4"/>
      <c r="X671" s="67"/>
      <c r="Y671" s="67"/>
      <c r="Z671" s="67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3"/>
      <c r="M672" s="4"/>
      <c r="N672" s="3"/>
      <c r="O672" s="3"/>
      <c r="P672" s="4"/>
      <c r="Q672" s="4"/>
      <c r="R672" s="3"/>
      <c r="S672" s="4"/>
      <c r="T672" s="5"/>
      <c r="U672" s="4"/>
      <c r="V672" s="4"/>
      <c r="W672" s="4"/>
      <c r="X672" s="67"/>
      <c r="Y672" s="67"/>
      <c r="Z672" s="67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3"/>
      <c r="M673" s="4"/>
      <c r="N673" s="3"/>
      <c r="O673" s="3"/>
      <c r="P673" s="4"/>
      <c r="Q673" s="4"/>
      <c r="R673" s="3"/>
      <c r="S673" s="4"/>
      <c r="T673" s="5"/>
      <c r="U673" s="4"/>
      <c r="V673" s="4"/>
      <c r="W673" s="4"/>
      <c r="X673" s="67"/>
      <c r="Y673" s="67"/>
      <c r="Z673" s="67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3"/>
      <c r="M674" s="4"/>
      <c r="N674" s="3"/>
      <c r="O674" s="3"/>
      <c r="P674" s="4"/>
      <c r="Q674" s="4"/>
      <c r="R674" s="3"/>
      <c r="S674" s="4"/>
      <c r="T674" s="5"/>
      <c r="U674" s="4"/>
      <c r="V674" s="4"/>
      <c r="W674" s="4"/>
      <c r="X674" s="67"/>
      <c r="Y674" s="67"/>
      <c r="Z674" s="67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3"/>
      <c r="M675" s="4"/>
      <c r="N675" s="3"/>
      <c r="O675" s="3"/>
      <c r="P675" s="4"/>
      <c r="Q675" s="4"/>
      <c r="R675" s="3"/>
      <c r="S675" s="4"/>
      <c r="T675" s="5"/>
      <c r="U675" s="4"/>
      <c r="V675" s="4"/>
      <c r="W675" s="4"/>
      <c r="X675" s="67"/>
      <c r="Y675" s="67"/>
      <c r="Z675" s="67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3"/>
      <c r="M676" s="4"/>
      <c r="N676" s="3"/>
      <c r="O676" s="3"/>
      <c r="P676" s="4"/>
      <c r="Q676" s="4"/>
      <c r="R676" s="3"/>
      <c r="S676" s="4"/>
      <c r="T676" s="5"/>
      <c r="U676" s="4"/>
      <c r="V676" s="4"/>
      <c r="W676" s="4"/>
      <c r="X676" s="67"/>
      <c r="Y676" s="67"/>
      <c r="Z676" s="67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3"/>
      <c r="M677" s="4"/>
      <c r="N677" s="3"/>
      <c r="O677" s="3"/>
      <c r="P677" s="4"/>
      <c r="Q677" s="4"/>
      <c r="R677" s="3"/>
      <c r="S677" s="4"/>
      <c r="T677" s="5"/>
      <c r="U677" s="4"/>
      <c r="V677" s="4"/>
      <c r="W677" s="4"/>
      <c r="X677" s="67"/>
      <c r="Y677" s="67"/>
      <c r="Z677" s="67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4"/>
      <c r="N678" s="3"/>
      <c r="O678" s="3"/>
      <c r="P678" s="4"/>
      <c r="Q678" s="4"/>
      <c r="R678" s="3"/>
      <c r="S678" s="4"/>
      <c r="T678" s="5"/>
      <c r="U678" s="4"/>
      <c r="V678" s="4"/>
      <c r="W678" s="4"/>
      <c r="X678" s="67"/>
      <c r="Y678" s="67"/>
      <c r="Z678" s="67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4"/>
      <c r="N679" s="3"/>
      <c r="O679" s="3"/>
      <c r="P679" s="4"/>
      <c r="Q679" s="4"/>
      <c r="R679" s="3"/>
      <c r="S679" s="4"/>
      <c r="T679" s="5"/>
      <c r="U679" s="4"/>
      <c r="V679" s="4"/>
      <c r="W679" s="4"/>
      <c r="X679" s="67"/>
      <c r="Y679" s="67"/>
      <c r="Z679" s="67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4"/>
      <c r="N680" s="3"/>
      <c r="O680" s="3"/>
      <c r="P680" s="4"/>
      <c r="Q680" s="4"/>
      <c r="R680" s="3"/>
      <c r="S680" s="4"/>
      <c r="T680" s="5"/>
      <c r="U680" s="4"/>
      <c r="V680" s="4"/>
      <c r="W680" s="4"/>
      <c r="X680" s="67"/>
      <c r="Y680" s="67"/>
      <c r="Z680" s="67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4"/>
      <c r="N681" s="3"/>
      <c r="O681" s="3"/>
      <c r="P681" s="4"/>
      <c r="Q681" s="4"/>
      <c r="R681" s="3"/>
      <c r="S681" s="4"/>
      <c r="T681" s="5"/>
      <c r="U681" s="4"/>
      <c r="V681" s="4"/>
      <c r="W681" s="4"/>
      <c r="X681" s="67"/>
      <c r="Y681" s="67"/>
      <c r="Z681" s="67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4"/>
      <c r="N682" s="3"/>
      <c r="O682" s="3"/>
      <c r="P682" s="4"/>
      <c r="Q682" s="4"/>
      <c r="R682" s="3"/>
      <c r="S682" s="4"/>
      <c r="T682" s="5"/>
      <c r="U682" s="4"/>
      <c r="V682" s="4"/>
      <c r="W682" s="4"/>
      <c r="X682" s="67"/>
      <c r="Y682" s="67"/>
      <c r="Z682" s="67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4"/>
      <c r="N683" s="3"/>
      <c r="O683" s="3"/>
      <c r="P683" s="4"/>
      <c r="Q683" s="4"/>
      <c r="R683" s="3"/>
      <c r="S683" s="4"/>
      <c r="T683" s="5"/>
      <c r="U683" s="4"/>
      <c r="V683" s="4"/>
      <c r="W683" s="4"/>
      <c r="X683" s="67"/>
      <c r="Y683" s="67"/>
      <c r="Z683" s="67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4"/>
      <c r="N684" s="3"/>
      <c r="O684" s="3"/>
      <c r="P684" s="4"/>
      <c r="Q684" s="4"/>
      <c r="R684" s="3"/>
      <c r="S684" s="4"/>
      <c r="T684" s="5"/>
      <c r="U684" s="4"/>
      <c r="V684" s="4"/>
      <c r="W684" s="4"/>
      <c r="X684" s="67"/>
      <c r="Y684" s="67"/>
      <c r="Z684" s="67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4"/>
      <c r="N685" s="3"/>
      <c r="O685" s="3"/>
      <c r="P685" s="4"/>
      <c r="Q685" s="4"/>
      <c r="R685" s="3"/>
      <c r="S685" s="4"/>
      <c r="T685" s="5"/>
      <c r="U685" s="4"/>
      <c r="V685" s="4"/>
      <c r="W685" s="4"/>
      <c r="X685" s="67"/>
      <c r="Y685" s="67"/>
      <c r="Z685" s="67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4"/>
      <c r="N686" s="3"/>
      <c r="O686" s="3"/>
      <c r="P686" s="4"/>
      <c r="Q686" s="4"/>
      <c r="R686" s="3"/>
      <c r="S686" s="4"/>
      <c r="T686" s="5"/>
      <c r="U686" s="4"/>
      <c r="V686" s="4"/>
      <c r="W686" s="4"/>
      <c r="X686" s="67"/>
      <c r="Y686" s="67"/>
      <c r="Z686" s="67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3"/>
      <c r="M687" s="4"/>
      <c r="N687" s="3"/>
      <c r="O687" s="3"/>
      <c r="P687" s="4"/>
      <c r="Q687" s="4"/>
      <c r="R687" s="3"/>
      <c r="S687" s="4"/>
      <c r="T687" s="5"/>
      <c r="U687" s="4"/>
      <c r="V687" s="4"/>
      <c r="W687" s="4"/>
      <c r="X687" s="67"/>
      <c r="Y687" s="67"/>
      <c r="Z687" s="67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3"/>
      <c r="M688" s="4"/>
      <c r="N688" s="3"/>
      <c r="O688" s="3"/>
      <c r="P688" s="4"/>
      <c r="Q688" s="4"/>
      <c r="R688" s="3"/>
      <c r="S688" s="4"/>
      <c r="T688" s="5"/>
      <c r="U688" s="4"/>
      <c r="V688" s="4"/>
      <c r="W688" s="4"/>
      <c r="X688" s="67"/>
      <c r="Y688" s="67"/>
      <c r="Z688" s="67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3"/>
      <c r="M689" s="4"/>
      <c r="N689" s="3"/>
      <c r="O689" s="3"/>
      <c r="P689" s="4"/>
      <c r="Q689" s="4"/>
      <c r="R689" s="3"/>
      <c r="S689" s="4"/>
      <c r="T689" s="5"/>
      <c r="U689" s="4"/>
      <c r="V689" s="4"/>
      <c r="W689" s="4"/>
      <c r="X689" s="67"/>
      <c r="Y689" s="67"/>
      <c r="Z689" s="67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3"/>
      <c r="M690" s="4"/>
      <c r="N690" s="3"/>
      <c r="O690" s="3"/>
      <c r="P690" s="4"/>
      <c r="Q690" s="4"/>
      <c r="R690" s="3"/>
      <c r="S690" s="4"/>
      <c r="T690" s="5"/>
      <c r="U690" s="4"/>
      <c r="V690" s="4"/>
      <c r="W690" s="4"/>
      <c r="X690" s="67"/>
      <c r="Y690" s="67"/>
      <c r="Z690" s="67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3"/>
      <c r="M691" s="4"/>
      <c r="N691" s="3"/>
      <c r="O691" s="3"/>
      <c r="P691" s="4"/>
      <c r="Q691" s="4"/>
      <c r="R691" s="3"/>
      <c r="S691" s="4"/>
      <c r="T691" s="5"/>
      <c r="U691" s="4"/>
      <c r="V691" s="4"/>
      <c r="W691" s="4"/>
      <c r="X691" s="67"/>
      <c r="Y691" s="67"/>
      <c r="Z691" s="67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3"/>
      <c r="M692" s="4"/>
      <c r="N692" s="3"/>
      <c r="O692" s="3"/>
      <c r="P692" s="4"/>
      <c r="Q692" s="4"/>
      <c r="R692" s="3"/>
      <c r="S692" s="4"/>
      <c r="T692" s="5"/>
      <c r="U692" s="4"/>
      <c r="V692" s="4"/>
      <c r="W692" s="4"/>
      <c r="X692" s="67"/>
      <c r="Y692" s="67"/>
      <c r="Z692" s="67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3"/>
      <c r="M693" s="4"/>
      <c r="N693" s="3"/>
      <c r="O693" s="3"/>
      <c r="P693" s="4"/>
      <c r="Q693" s="4"/>
      <c r="R693" s="3"/>
      <c r="S693" s="4"/>
      <c r="T693" s="5"/>
      <c r="U693" s="4"/>
      <c r="V693" s="4"/>
      <c r="W693" s="4"/>
      <c r="X693" s="67"/>
      <c r="Y693" s="67"/>
      <c r="Z693" s="67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3"/>
      <c r="M694" s="4"/>
      <c r="N694" s="3"/>
      <c r="O694" s="3"/>
      <c r="P694" s="4"/>
      <c r="Q694" s="4"/>
      <c r="R694" s="3"/>
      <c r="S694" s="4"/>
      <c r="T694" s="5"/>
      <c r="U694" s="4"/>
      <c r="V694" s="4"/>
      <c r="W694" s="4"/>
      <c r="X694" s="67"/>
      <c r="Y694" s="67"/>
      <c r="Z694" s="67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3"/>
      <c r="M695" s="4"/>
      <c r="N695" s="3"/>
      <c r="O695" s="3"/>
      <c r="P695" s="4"/>
      <c r="Q695" s="4"/>
      <c r="R695" s="3"/>
      <c r="S695" s="4"/>
      <c r="T695" s="5"/>
      <c r="U695" s="4"/>
      <c r="V695" s="4"/>
      <c r="W695" s="4"/>
      <c r="X695" s="67"/>
      <c r="Y695" s="67"/>
      <c r="Z695" s="67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3"/>
      <c r="M696" s="4"/>
      <c r="N696" s="3"/>
      <c r="O696" s="3"/>
      <c r="P696" s="4"/>
      <c r="Q696" s="4"/>
      <c r="R696" s="3"/>
      <c r="S696" s="4"/>
      <c r="T696" s="5"/>
      <c r="U696" s="4"/>
      <c r="V696" s="4"/>
      <c r="W696" s="4"/>
      <c r="X696" s="67"/>
      <c r="Y696" s="67"/>
      <c r="Z696" s="67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3"/>
      <c r="M697" s="4"/>
      <c r="N697" s="3"/>
      <c r="O697" s="3"/>
      <c r="P697" s="4"/>
      <c r="Q697" s="4"/>
      <c r="R697" s="3"/>
      <c r="S697" s="4"/>
      <c r="T697" s="5"/>
      <c r="U697" s="4"/>
      <c r="V697" s="4"/>
      <c r="W697" s="4"/>
      <c r="X697" s="67"/>
      <c r="Y697" s="67"/>
      <c r="Z697" s="67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3"/>
      <c r="M698" s="4"/>
      <c r="N698" s="3"/>
      <c r="O698" s="3"/>
      <c r="P698" s="4"/>
      <c r="Q698" s="4"/>
      <c r="R698" s="3"/>
      <c r="S698" s="4"/>
      <c r="T698" s="5"/>
      <c r="U698" s="4"/>
      <c r="V698" s="4"/>
      <c r="W698" s="4"/>
      <c r="X698" s="67"/>
      <c r="Y698" s="67"/>
      <c r="Z698" s="67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3"/>
      <c r="M699" s="4"/>
      <c r="N699" s="3"/>
      <c r="O699" s="3"/>
      <c r="P699" s="4"/>
      <c r="Q699" s="4"/>
      <c r="R699" s="3"/>
      <c r="S699" s="4"/>
      <c r="T699" s="5"/>
      <c r="U699" s="4"/>
      <c r="V699" s="4"/>
      <c r="W699" s="4"/>
      <c r="X699" s="67"/>
      <c r="Y699" s="67"/>
      <c r="Z699" s="67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3"/>
      <c r="M700" s="4"/>
      <c r="N700" s="3"/>
      <c r="O700" s="3"/>
      <c r="P700" s="4"/>
      <c r="Q700" s="4"/>
      <c r="R700" s="3"/>
      <c r="S700" s="4"/>
      <c r="T700" s="5"/>
      <c r="U700" s="4"/>
      <c r="V700" s="4"/>
      <c r="W700" s="4"/>
      <c r="X700" s="67"/>
      <c r="Y700" s="67"/>
      <c r="Z700" s="67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3"/>
      <c r="M701" s="4"/>
      <c r="N701" s="3"/>
      <c r="O701" s="3"/>
      <c r="P701" s="4"/>
      <c r="Q701" s="4"/>
      <c r="R701" s="3"/>
      <c r="S701" s="4"/>
      <c r="T701" s="5"/>
      <c r="U701" s="4"/>
      <c r="V701" s="4"/>
      <c r="W701" s="4"/>
      <c r="X701" s="67"/>
      <c r="Y701" s="67"/>
      <c r="Z701" s="67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3"/>
      <c r="M702" s="4"/>
      <c r="N702" s="3"/>
      <c r="O702" s="3"/>
      <c r="P702" s="4"/>
      <c r="Q702" s="4"/>
      <c r="R702" s="3"/>
      <c r="S702" s="4"/>
      <c r="T702" s="5"/>
      <c r="U702" s="4"/>
      <c r="V702" s="4"/>
      <c r="W702" s="4"/>
      <c r="X702" s="67"/>
      <c r="Y702" s="67"/>
      <c r="Z702" s="67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3"/>
      <c r="M703" s="4"/>
      <c r="N703" s="3"/>
      <c r="O703" s="3"/>
      <c r="P703" s="4"/>
      <c r="Q703" s="4"/>
      <c r="R703" s="3"/>
      <c r="S703" s="4"/>
      <c r="T703" s="5"/>
      <c r="U703" s="4"/>
      <c r="V703" s="4"/>
      <c r="W703" s="4"/>
      <c r="X703" s="67"/>
      <c r="Y703" s="67"/>
      <c r="Z703" s="67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3"/>
      <c r="M704" s="4"/>
      <c r="N704" s="3"/>
      <c r="O704" s="3"/>
      <c r="P704" s="4"/>
      <c r="Q704" s="4"/>
      <c r="R704" s="3"/>
      <c r="S704" s="4"/>
      <c r="T704" s="5"/>
      <c r="U704" s="4"/>
      <c r="V704" s="4"/>
      <c r="W704" s="4"/>
      <c r="X704" s="67"/>
      <c r="Y704" s="67"/>
      <c r="Z704" s="67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3"/>
      <c r="M705" s="4"/>
      <c r="N705" s="3"/>
      <c r="O705" s="3"/>
      <c r="P705" s="4"/>
      <c r="Q705" s="4"/>
      <c r="R705" s="3"/>
      <c r="S705" s="4"/>
      <c r="T705" s="5"/>
      <c r="U705" s="4"/>
      <c r="V705" s="4"/>
      <c r="W705" s="4"/>
      <c r="X705" s="67"/>
      <c r="Y705" s="67"/>
      <c r="Z705" s="67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3"/>
      <c r="M706" s="4"/>
      <c r="N706" s="3"/>
      <c r="O706" s="3"/>
      <c r="P706" s="4"/>
      <c r="Q706" s="4"/>
      <c r="R706" s="3"/>
      <c r="S706" s="4"/>
      <c r="T706" s="5"/>
      <c r="U706" s="4"/>
      <c r="V706" s="4"/>
      <c r="W706" s="4"/>
      <c r="X706" s="67"/>
      <c r="Y706" s="67"/>
      <c r="Z706" s="67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3"/>
      <c r="M707" s="4"/>
      <c r="N707" s="3"/>
      <c r="O707" s="3"/>
      <c r="P707" s="4"/>
      <c r="Q707" s="4"/>
      <c r="R707" s="3"/>
      <c r="S707" s="4"/>
      <c r="T707" s="5"/>
      <c r="U707" s="4"/>
      <c r="V707" s="4"/>
      <c r="W707" s="4"/>
      <c r="X707" s="67"/>
      <c r="Y707" s="67"/>
      <c r="Z707" s="67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3"/>
      <c r="M708" s="4"/>
      <c r="N708" s="3"/>
      <c r="O708" s="3"/>
      <c r="P708" s="4"/>
      <c r="Q708" s="4"/>
      <c r="R708" s="3"/>
      <c r="S708" s="4"/>
      <c r="T708" s="5"/>
      <c r="U708" s="4"/>
      <c r="V708" s="4"/>
      <c r="W708" s="4"/>
      <c r="X708" s="67"/>
      <c r="Y708" s="67"/>
      <c r="Z708" s="67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4"/>
      <c r="N709" s="3"/>
      <c r="O709" s="3"/>
      <c r="P709" s="4"/>
      <c r="Q709" s="4"/>
      <c r="R709" s="3"/>
      <c r="S709" s="4"/>
      <c r="T709" s="5"/>
      <c r="U709" s="4"/>
      <c r="V709" s="4"/>
      <c r="W709" s="4"/>
      <c r="X709" s="67"/>
      <c r="Y709" s="67"/>
      <c r="Z709" s="67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4"/>
      <c r="N710" s="3"/>
      <c r="O710" s="3"/>
      <c r="P710" s="4"/>
      <c r="Q710" s="4"/>
      <c r="R710" s="3"/>
      <c r="S710" s="4"/>
      <c r="T710" s="5"/>
      <c r="U710" s="4"/>
      <c r="V710" s="4"/>
      <c r="W710" s="4"/>
      <c r="X710" s="67"/>
      <c r="Y710" s="67"/>
      <c r="Z710" s="67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4"/>
      <c r="N711" s="3"/>
      <c r="O711" s="3"/>
      <c r="P711" s="4"/>
      <c r="Q711" s="4"/>
      <c r="R711" s="3"/>
      <c r="S711" s="4"/>
      <c r="T711" s="5"/>
      <c r="U711" s="4"/>
      <c r="V711" s="4"/>
      <c r="W711" s="4"/>
      <c r="X711" s="67"/>
      <c r="Y711" s="67"/>
      <c r="Z711" s="67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4"/>
      <c r="N712" s="3"/>
      <c r="O712" s="3"/>
      <c r="P712" s="4"/>
      <c r="Q712" s="4"/>
      <c r="R712" s="3"/>
      <c r="S712" s="4"/>
      <c r="T712" s="5"/>
      <c r="U712" s="4"/>
      <c r="V712" s="4"/>
      <c r="W712" s="4"/>
      <c r="X712" s="67"/>
      <c r="Y712" s="67"/>
      <c r="Z712" s="67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3"/>
      <c r="M713" s="4"/>
      <c r="N713" s="3"/>
      <c r="O713" s="3"/>
      <c r="P713" s="4"/>
      <c r="Q713" s="4"/>
      <c r="R713" s="3"/>
      <c r="S713" s="4"/>
      <c r="T713" s="5"/>
      <c r="U713" s="4"/>
      <c r="V713" s="4"/>
      <c r="W713" s="4"/>
      <c r="X713" s="67"/>
      <c r="Y713" s="67"/>
      <c r="Z713" s="67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3"/>
      <c r="M714" s="4"/>
      <c r="N714" s="3"/>
      <c r="O714" s="3"/>
      <c r="P714" s="4"/>
      <c r="Q714" s="4"/>
      <c r="R714" s="3"/>
      <c r="S714" s="4"/>
      <c r="T714" s="5"/>
      <c r="U714" s="4"/>
      <c r="V714" s="4"/>
      <c r="W714" s="4"/>
      <c r="X714" s="67"/>
      <c r="Y714" s="67"/>
      <c r="Z714" s="67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3"/>
      <c r="M715" s="4"/>
      <c r="N715" s="3"/>
      <c r="O715" s="3"/>
      <c r="P715" s="4"/>
      <c r="Q715" s="4"/>
      <c r="R715" s="3"/>
      <c r="S715" s="4"/>
      <c r="T715" s="5"/>
      <c r="U715" s="4"/>
      <c r="V715" s="4"/>
      <c r="W715" s="4"/>
      <c r="X715" s="67"/>
      <c r="Y715" s="67"/>
      <c r="Z715" s="67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4"/>
      <c r="N716" s="3"/>
      <c r="O716" s="3"/>
      <c r="P716" s="4"/>
      <c r="Q716" s="4"/>
      <c r="R716" s="3"/>
      <c r="S716" s="4"/>
      <c r="T716" s="5"/>
      <c r="U716" s="4"/>
      <c r="V716" s="4"/>
      <c r="W716" s="4"/>
      <c r="X716" s="67"/>
      <c r="Y716" s="67"/>
      <c r="Z716" s="67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4"/>
      <c r="N717" s="3"/>
      <c r="O717" s="3"/>
      <c r="P717" s="4"/>
      <c r="Q717" s="4"/>
      <c r="R717" s="3"/>
      <c r="S717" s="4"/>
      <c r="T717" s="5"/>
      <c r="U717" s="4"/>
      <c r="V717" s="4"/>
      <c r="W717" s="4"/>
      <c r="X717" s="67"/>
      <c r="Y717" s="67"/>
      <c r="Z717" s="67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3"/>
      <c r="M718" s="4"/>
      <c r="N718" s="3"/>
      <c r="O718" s="3"/>
      <c r="P718" s="4"/>
      <c r="Q718" s="4"/>
      <c r="R718" s="3"/>
      <c r="S718" s="4"/>
      <c r="T718" s="5"/>
      <c r="U718" s="4"/>
      <c r="V718" s="4"/>
      <c r="W718" s="4"/>
      <c r="X718" s="67"/>
      <c r="Y718" s="67"/>
      <c r="Z718" s="67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3"/>
      <c r="M719" s="4"/>
      <c r="N719" s="3"/>
      <c r="O719" s="3"/>
      <c r="P719" s="4"/>
      <c r="Q719" s="4"/>
      <c r="R719" s="3"/>
      <c r="S719" s="4"/>
      <c r="T719" s="5"/>
      <c r="U719" s="4"/>
      <c r="V719" s="4"/>
      <c r="W719" s="4"/>
      <c r="X719" s="67"/>
      <c r="Y719" s="67"/>
      <c r="Z719" s="67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3"/>
      <c r="M720" s="4"/>
      <c r="N720" s="3"/>
      <c r="O720" s="3"/>
      <c r="P720" s="4"/>
      <c r="Q720" s="4"/>
      <c r="R720" s="3"/>
      <c r="S720" s="4"/>
      <c r="T720" s="5"/>
      <c r="U720" s="4"/>
      <c r="V720" s="4"/>
      <c r="W720" s="4"/>
      <c r="X720" s="67"/>
      <c r="Y720" s="67"/>
      <c r="Z720" s="67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3"/>
      <c r="M721" s="4"/>
      <c r="N721" s="3"/>
      <c r="O721" s="3"/>
      <c r="P721" s="4"/>
      <c r="Q721" s="4"/>
      <c r="R721" s="3"/>
      <c r="S721" s="4"/>
      <c r="T721" s="5"/>
      <c r="U721" s="4"/>
      <c r="V721" s="4"/>
      <c r="W721" s="4"/>
      <c r="X721" s="67"/>
      <c r="Y721" s="67"/>
      <c r="Z721" s="67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3"/>
      <c r="M722" s="4"/>
      <c r="N722" s="3"/>
      <c r="O722" s="3"/>
      <c r="P722" s="4"/>
      <c r="Q722" s="4"/>
      <c r="R722" s="3"/>
      <c r="S722" s="4"/>
      <c r="T722" s="5"/>
      <c r="U722" s="4"/>
      <c r="V722" s="4"/>
      <c r="W722" s="4"/>
      <c r="X722" s="67"/>
      <c r="Y722" s="67"/>
      <c r="Z722" s="67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4"/>
      <c r="N723" s="3"/>
      <c r="O723" s="3"/>
      <c r="P723" s="4"/>
      <c r="Q723" s="4"/>
      <c r="R723" s="3"/>
      <c r="S723" s="4"/>
      <c r="T723" s="5"/>
      <c r="U723" s="4"/>
      <c r="V723" s="4"/>
      <c r="W723" s="4"/>
      <c r="X723" s="67"/>
      <c r="Y723" s="67"/>
      <c r="Z723" s="67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4"/>
      <c r="N724" s="3"/>
      <c r="O724" s="3"/>
      <c r="P724" s="4"/>
      <c r="Q724" s="4"/>
      <c r="R724" s="3"/>
      <c r="S724" s="4"/>
      <c r="T724" s="5"/>
      <c r="U724" s="4"/>
      <c r="V724" s="4"/>
      <c r="W724" s="4"/>
      <c r="X724" s="67"/>
      <c r="Y724" s="67"/>
      <c r="Z724" s="67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4"/>
      <c r="N725" s="3"/>
      <c r="O725" s="3"/>
      <c r="P725" s="4"/>
      <c r="Q725" s="4"/>
      <c r="R725" s="3"/>
      <c r="S725" s="4"/>
      <c r="T725" s="5"/>
      <c r="U725" s="4"/>
      <c r="V725" s="4"/>
      <c r="W725" s="4"/>
      <c r="X725" s="67"/>
      <c r="Y725" s="67"/>
      <c r="Z725" s="67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4"/>
      <c r="N726" s="3"/>
      <c r="O726" s="3"/>
      <c r="P726" s="4"/>
      <c r="Q726" s="4"/>
      <c r="R726" s="3"/>
      <c r="S726" s="4"/>
      <c r="T726" s="5"/>
      <c r="U726" s="4"/>
      <c r="V726" s="4"/>
      <c r="W726" s="4"/>
      <c r="X726" s="67"/>
      <c r="Y726" s="67"/>
      <c r="Z726" s="67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4"/>
      <c r="N727" s="3"/>
      <c r="O727" s="3"/>
      <c r="P727" s="4"/>
      <c r="Q727" s="4"/>
      <c r="R727" s="3"/>
      <c r="S727" s="4"/>
      <c r="T727" s="5"/>
      <c r="U727" s="4"/>
      <c r="V727" s="4"/>
      <c r="W727" s="4"/>
      <c r="X727" s="67"/>
      <c r="Y727" s="67"/>
      <c r="Z727" s="67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4"/>
      <c r="N728" s="3"/>
      <c r="O728" s="3"/>
      <c r="P728" s="4"/>
      <c r="Q728" s="4"/>
      <c r="R728" s="3"/>
      <c r="S728" s="4"/>
      <c r="T728" s="5"/>
      <c r="U728" s="4"/>
      <c r="V728" s="4"/>
      <c r="W728" s="4"/>
      <c r="X728" s="67"/>
      <c r="Y728" s="67"/>
      <c r="Z728" s="67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3"/>
      <c r="M729" s="4"/>
      <c r="N729" s="3"/>
      <c r="O729" s="3"/>
      <c r="P729" s="4"/>
      <c r="Q729" s="4"/>
      <c r="R729" s="3"/>
      <c r="S729" s="4"/>
      <c r="T729" s="5"/>
      <c r="U729" s="4"/>
      <c r="V729" s="4"/>
      <c r="W729" s="4"/>
      <c r="X729" s="67"/>
      <c r="Y729" s="67"/>
      <c r="Z729" s="67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3"/>
      <c r="M730" s="4"/>
      <c r="N730" s="3"/>
      <c r="O730" s="3"/>
      <c r="P730" s="4"/>
      <c r="Q730" s="4"/>
      <c r="R730" s="3"/>
      <c r="S730" s="4"/>
      <c r="T730" s="5"/>
      <c r="U730" s="4"/>
      <c r="V730" s="4"/>
      <c r="W730" s="4"/>
      <c r="X730" s="67"/>
      <c r="Y730" s="67"/>
      <c r="Z730" s="67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3"/>
      <c r="M731" s="4"/>
      <c r="N731" s="3"/>
      <c r="O731" s="3"/>
      <c r="P731" s="4"/>
      <c r="Q731" s="4"/>
      <c r="R731" s="3"/>
      <c r="S731" s="4"/>
      <c r="T731" s="5"/>
      <c r="U731" s="4"/>
      <c r="V731" s="4"/>
      <c r="W731" s="4"/>
      <c r="X731" s="67"/>
      <c r="Y731" s="67"/>
      <c r="Z731" s="67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3"/>
      <c r="M732" s="4"/>
      <c r="N732" s="3"/>
      <c r="O732" s="3"/>
      <c r="P732" s="4"/>
      <c r="Q732" s="4"/>
      <c r="R732" s="3"/>
      <c r="S732" s="4"/>
      <c r="T732" s="5"/>
      <c r="U732" s="4"/>
      <c r="V732" s="4"/>
      <c r="W732" s="4"/>
      <c r="X732" s="67"/>
      <c r="Y732" s="67"/>
      <c r="Z732" s="67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3"/>
      <c r="M733" s="4"/>
      <c r="N733" s="3"/>
      <c r="O733" s="3"/>
      <c r="P733" s="4"/>
      <c r="Q733" s="4"/>
      <c r="R733" s="3"/>
      <c r="S733" s="4"/>
      <c r="T733" s="5"/>
      <c r="U733" s="4"/>
      <c r="V733" s="4"/>
      <c r="W733" s="4"/>
      <c r="X733" s="67"/>
      <c r="Y733" s="67"/>
      <c r="Z733" s="67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3"/>
      <c r="M734" s="4"/>
      <c r="N734" s="3"/>
      <c r="O734" s="3"/>
      <c r="P734" s="4"/>
      <c r="Q734" s="4"/>
      <c r="R734" s="3"/>
      <c r="S734" s="4"/>
      <c r="T734" s="5"/>
      <c r="U734" s="4"/>
      <c r="V734" s="4"/>
      <c r="W734" s="4"/>
      <c r="X734" s="67"/>
      <c r="Y734" s="67"/>
      <c r="Z734" s="67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4"/>
      <c r="N735" s="3"/>
      <c r="O735" s="3"/>
      <c r="P735" s="4"/>
      <c r="Q735" s="4"/>
      <c r="R735" s="3"/>
      <c r="S735" s="4"/>
      <c r="T735" s="5"/>
      <c r="U735" s="4"/>
      <c r="V735" s="4"/>
      <c r="W735" s="4"/>
      <c r="X735" s="67"/>
      <c r="Y735" s="67"/>
      <c r="Z735" s="67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3"/>
      <c r="M736" s="4"/>
      <c r="N736" s="3"/>
      <c r="O736" s="3"/>
      <c r="P736" s="4"/>
      <c r="Q736" s="4"/>
      <c r="R736" s="3"/>
      <c r="S736" s="4"/>
      <c r="T736" s="5"/>
      <c r="U736" s="4"/>
      <c r="V736" s="4"/>
      <c r="W736" s="4"/>
      <c r="X736" s="67"/>
      <c r="Y736" s="67"/>
      <c r="Z736" s="67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3"/>
      <c r="M737" s="4"/>
      <c r="N737" s="3"/>
      <c r="O737" s="3"/>
      <c r="P737" s="4"/>
      <c r="Q737" s="4"/>
      <c r="R737" s="3"/>
      <c r="S737" s="4"/>
      <c r="T737" s="5"/>
      <c r="U737" s="4"/>
      <c r="V737" s="4"/>
      <c r="W737" s="4"/>
      <c r="X737" s="67"/>
      <c r="Y737" s="67"/>
      <c r="Z737" s="67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3"/>
      <c r="M738" s="4"/>
      <c r="N738" s="3"/>
      <c r="O738" s="3"/>
      <c r="P738" s="4"/>
      <c r="Q738" s="4"/>
      <c r="R738" s="3"/>
      <c r="S738" s="4"/>
      <c r="T738" s="5"/>
      <c r="U738" s="4"/>
      <c r="V738" s="4"/>
      <c r="W738" s="4"/>
      <c r="X738" s="67"/>
      <c r="Y738" s="67"/>
      <c r="Z738" s="67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3"/>
      <c r="M739" s="4"/>
      <c r="N739" s="3"/>
      <c r="O739" s="3"/>
      <c r="P739" s="4"/>
      <c r="Q739" s="4"/>
      <c r="R739" s="3"/>
      <c r="S739" s="4"/>
      <c r="T739" s="5"/>
      <c r="U739" s="4"/>
      <c r="V739" s="4"/>
      <c r="W739" s="4"/>
      <c r="X739" s="67"/>
      <c r="Y739" s="67"/>
      <c r="Z739" s="67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3"/>
      <c r="M740" s="4"/>
      <c r="N740" s="3"/>
      <c r="O740" s="3"/>
      <c r="P740" s="4"/>
      <c r="Q740" s="4"/>
      <c r="R740" s="3"/>
      <c r="S740" s="4"/>
      <c r="T740" s="5"/>
      <c r="U740" s="4"/>
      <c r="V740" s="4"/>
      <c r="W740" s="4"/>
      <c r="X740" s="67"/>
      <c r="Y740" s="67"/>
      <c r="Z740" s="67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3"/>
      <c r="M741" s="4"/>
      <c r="N741" s="3"/>
      <c r="O741" s="3"/>
      <c r="P741" s="4"/>
      <c r="Q741" s="4"/>
      <c r="R741" s="3"/>
      <c r="S741" s="4"/>
      <c r="T741" s="5"/>
      <c r="U741" s="4"/>
      <c r="V741" s="4"/>
      <c r="W741" s="4"/>
      <c r="X741" s="67"/>
      <c r="Y741" s="67"/>
      <c r="Z741" s="67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3"/>
      <c r="M742" s="4"/>
      <c r="N742" s="3"/>
      <c r="O742" s="3"/>
      <c r="P742" s="4"/>
      <c r="Q742" s="4"/>
      <c r="R742" s="3"/>
      <c r="S742" s="4"/>
      <c r="T742" s="5"/>
      <c r="U742" s="4"/>
      <c r="V742" s="4"/>
      <c r="W742" s="4"/>
      <c r="X742" s="67"/>
      <c r="Y742" s="67"/>
      <c r="Z742" s="67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3"/>
      <c r="M743" s="4"/>
      <c r="N743" s="3"/>
      <c r="O743" s="3"/>
      <c r="P743" s="4"/>
      <c r="Q743" s="4"/>
      <c r="R743" s="3"/>
      <c r="S743" s="4"/>
      <c r="T743" s="5"/>
      <c r="U743" s="4"/>
      <c r="V743" s="4"/>
      <c r="W743" s="4"/>
      <c r="X743" s="67"/>
      <c r="Y743" s="67"/>
      <c r="Z743" s="67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3"/>
      <c r="M744" s="4"/>
      <c r="N744" s="3"/>
      <c r="O744" s="3"/>
      <c r="P744" s="4"/>
      <c r="Q744" s="4"/>
      <c r="R744" s="3"/>
      <c r="S744" s="4"/>
      <c r="T744" s="5"/>
      <c r="U744" s="4"/>
      <c r="V744" s="4"/>
      <c r="W744" s="4"/>
      <c r="X744" s="67"/>
      <c r="Y744" s="67"/>
      <c r="Z744" s="67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3"/>
      <c r="M745" s="4"/>
      <c r="N745" s="3"/>
      <c r="O745" s="3"/>
      <c r="P745" s="4"/>
      <c r="Q745" s="4"/>
      <c r="R745" s="3"/>
      <c r="S745" s="4"/>
      <c r="T745" s="5"/>
      <c r="U745" s="4"/>
      <c r="V745" s="4"/>
      <c r="W745" s="4"/>
      <c r="X745" s="67"/>
      <c r="Y745" s="67"/>
      <c r="Z745" s="67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3"/>
      <c r="M746" s="4"/>
      <c r="N746" s="3"/>
      <c r="O746" s="3"/>
      <c r="P746" s="4"/>
      <c r="Q746" s="4"/>
      <c r="R746" s="3"/>
      <c r="S746" s="4"/>
      <c r="T746" s="5"/>
      <c r="U746" s="4"/>
      <c r="V746" s="4"/>
      <c r="W746" s="4"/>
      <c r="X746" s="67"/>
      <c r="Y746" s="67"/>
      <c r="Z746" s="67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3"/>
      <c r="M747" s="4"/>
      <c r="N747" s="3"/>
      <c r="O747" s="3"/>
      <c r="P747" s="4"/>
      <c r="Q747" s="4"/>
      <c r="R747" s="3"/>
      <c r="S747" s="4"/>
      <c r="T747" s="5"/>
      <c r="U747" s="4"/>
      <c r="V747" s="4"/>
      <c r="W747" s="4"/>
      <c r="X747" s="67"/>
      <c r="Y747" s="67"/>
      <c r="Z747" s="67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3"/>
      <c r="M748" s="4"/>
      <c r="N748" s="3"/>
      <c r="O748" s="3"/>
      <c r="P748" s="4"/>
      <c r="Q748" s="4"/>
      <c r="R748" s="3"/>
      <c r="S748" s="4"/>
      <c r="T748" s="5"/>
      <c r="U748" s="4"/>
      <c r="V748" s="4"/>
      <c r="W748" s="4"/>
      <c r="X748" s="67"/>
      <c r="Y748" s="67"/>
      <c r="Z748" s="67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3"/>
      <c r="M749" s="4"/>
      <c r="N749" s="3"/>
      <c r="O749" s="3"/>
      <c r="P749" s="4"/>
      <c r="Q749" s="4"/>
      <c r="R749" s="3"/>
      <c r="S749" s="4"/>
      <c r="T749" s="5"/>
      <c r="U749" s="4"/>
      <c r="V749" s="4"/>
      <c r="W749" s="4"/>
      <c r="X749" s="67"/>
      <c r="Y749" s="67"/>
      <c r="Z749" s="67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3"/>
      <c r="M750" s="4"/>
      <c r="N750" s="3"/>
      <c r="O750" s="3"/>
      <c r="P750" s="4"/>
      <c r="Q750" s="4"/>
      <c r="R750" s="3"/>
      <c r="S750" s="4"/>
      <c r="T750" s="5"/>
      <c r="U750" s="4"/>
      <c r="V750" s="4"/>
      <c r="W750" s="4"/>
      <c r="X750" s="67"/>
      <c r="Y750" s="67"/>
      <c r="Z750" s="67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3"/>
      <c r="M751" s="4"/>
      <c r="N751" s="3"/>
      <c r="O751" s="3"/>
      <c r="P751" s="4"/>
      <c r="Q751" s="4"/>
      <c r="R751" s="3"/>
      <c r="S751" s="4"/>
      <c r="T751" s="5"/>
      <c r="U751" s="4"/>
      <c r="V751" s="4"/>
      <c r="W751" s="4"/>
      <c r="X751" s="67"/>
      <c r="Y751" s="67"/>
      <c r="Z751" s="67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3"/>
      <c r="M752" s="4"/>
      <c r="N752" s="3"/>
      <c r="O752" s="3"/>
      <c r="P752" s="4"/>
      <c r="Q752" s="4"/>
      <c r="R752" s="3"/>
      <c r="S752" s="4"/>
      <c r="T752" s="5"/>
      <c r="U752" s="4"/>
      <c r="V752" s="4"/>
      <c r="W752" s="4"/>
      <c r="X752" s="67"/>
      <c r="Y752" s="67"/>
      <c r="Z752" s="67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3"/>
      <c r="M753" s="4"/>
      <c r="N753" s="3"/>
      <c r="O753" s="3"/>
      <c r="P753" s="4"/>
      <c r="Q753" s="4"/>
      <c r="R753" s="3"/>
      <c r="S753" s="4"/>
      <c r="T753" s="5"/>
      <c r="U753" s="4"/>
      <c r="V753" s="4"/>
      <c r="W753" s="4"/>
      <c r="X753" s="67"/>
      <c r="Y753" s="67"/>
      <c r="Z753" s="67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3"/>
      <c r="M754" s="4"/>
      <c r="N754" s="3"/>
      <c r="O754" s="3"/>
      <c r="P754" s="4"/>
      <c r="Q754" s="4"/>
      <c r="R754" s="3"/>
      <c r="S754" s="4"/>
      <c r="T754" s="5"/>
      <c r="U754" s="4"/>
      <c r="V754" s="4"/>
      <c r="W754" s="4"/>
      <c r="X754" s="67"/>
      <c r="Y754" s="67"/>
      <c r="Z754" s="67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3"/>
      <c r="M755" s="4"/>
      <c r="N755" s="3"/>
      <c r="O755" s="3"/>
      <c r="P755" s="4"/>
      <c r="Q755" s="4"/>
      <c r="R755" s="3"/>
      <c r="S755" s="4"/>
      <c r="T755" s="5"/>
      <c r="U755" s="4"/>
      <c r="V755" s="4"/>
      <c r="W755" s="4"/>
      <c r="X755" s="67"/>
      <c r="Y755" s="67"/>
      <c r="Z755" s="67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3"/>
      <c r="M756" s="4"/>
      <c r="N756" s="3"/>
      <c r="O756" s="3"/>
      <c r="P756" s="4"/>
      <c r="Q756" s="4"/>
      <c r="R756" s="3"/>
      <c r="S756" s="4"/>
      <c r="T756" s="5"/>
      <c r="U756" s="4"/>
      <c r="V756" s="4"/>
      <c r="W756" s="4"/>
      <c r="X756" s="67"/>
      <c r="Y756" s="67"/>
      <c r="Z756" s="67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3"/>
      <c r="M757" s="4"/>
      <c r="N757" s="3"/>
      <c r="O757" s="3"/>
      <c r="P757" s="4"/>
      <c r="Q757" s="4"/>
      <c r="R757" s="3"/>
      <c r="S757" s="4"/>
      <c r="T757" s="5"/>
      <c r="U757" s="4"/>
      <c r="V757" s="4"/>
      <c r="W757" s="4"/>
      <c r="X757" s="67"/>
      <c r="Y757" s="67"/>
      <c r="Z757" s="67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3"/>
      <c r="M758" s="4"/>
      <c r="N758" s="3"/>
      <c r="O758" s="3"/>
      <c r="P758" s="4"/>
      <c r="Q758" s="4"/>
      <c r="R758" s="3"/>
      <c r="S758" s="4"/>
      <c r="T758" s="5"/>
      <c r="U758" s="4"/>
      <c r="V758" s="4"/>
      <c r="W758" s="4"/>
      <c r="X758" s="67"/>
      <c r="Y758" s="67"/>
      <c r="Z758" s="67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3"/>
      <c r="M759" s="4"/>
      <c r="N759" s="3"/>
      <c r="O759" s="3"/>
      <c r="P759" s="4"/>
      <c r="Q759" s="4"/>
      <c r="R759" s="3"/>
      <c r="S759" s="4"/>
      <c r="T759" s="5"/>
      <c r="U759" s="4"/>
      <c r="V759" s="4"/>
      <c r="W759" s="4"/>
      <c r="X759" s="67"/>
      <c r="Y759" s="67"/>
      <c r="Z759" s="67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3"/>
      <c r="M760" s="4"/>
      <c r="N760" s="3"/>
      <c r="O760" s="3"/>
      <c r="P760" s="4"/>
      <c r="Q760" s="4"/>
      <c r="R760" s="3"/>
      <c r="S760" s="4"/>
      <c r="T760" s="5"/>
      <c r="U760" s="4"/>
      <c r="V760" s="4"/>
      <c r="W760" s="4"/>
      <c r="X760" s="67"/>
      <c r="Y760" s="67"/>
      <c r="Z760" s="67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3"/>
      <c r="M761" s="4"/>
      <c r="N761" s="3"/>
      <c r="O761" s="3"/>
      <c r="P761" s="4"/>
      <c r="Q761" s="4"/>
      <c r="R761" s="3"/>
      <c r="S761" s="4"/>
      <c r="T761" s="5"/>
      <c r="U761" s="4"/>
      <c r="V761" s="4"/>
      <c r="W761" s="4"/>
      <c r="X761" s="67"/>
      <c r="Y761" s="67"/>
      <c r="Z761" s="67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3"/>
      <c r="M762" s="4"/>
      <c r="N762" s="3"/>
      <c r="O762" s="3"/>
      <c r="P762" s="4"/>
      <c r="Q762" s="4"/>
      <c r="R762" s="3"/>
      <c r="S762" s="4"/>
      <c r="T762" s="5"/>
      <c r="U762" s="4"/>
      <c r="V762" s="4"/>
      <c r="W762" s="4"/>
      <c r="X762" s="67"/>
      <c r="Y762" s="67"/>
      <c r="Z762" s="67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3"/>
      <c r="M763" s="4"/>
      <c r="N763" s="3"/>
      <c r="O763" s="3"/>
      <c r="P763" s="4"/>
      <c r="Q763" s="4"/>
      <c r="R763" s="3"/>
      <c r="S763" s="4"/>
      <c r="T763" s="5"/>
      <c r="U763" s="4"/>
      <c r="V763" s="4"/>
      <c r="W763" s="4"/>
      <c r="X763" s="67"/>
      <c r="Y763" s="67"/>
      <c r="Z763" s="67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3"/>
      <c r="M764" s="4"/>
      <c r="N764" s="3"/>
      <c r="O764" s="3"/>
      <c r="P764" s="4"/>
      <c r="Q764" s="4"/>
      <c r="R764" s="3"/>
      <c r="S764" s="4"/>
      <c r="T764" s="5"/>
      <c r="U764" s="4"/>
      <c r="V764" s="4"/>
      <c r="W764" s="4"/>
      <c r="X764" s="67"/>
      <c r="Y764" s="67"/>
      <c r="Z764" s="67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3"/>
      <c r="M765" s="4"/>
      <c r="N765" s="3"/>
      <c r="O765" s="3"/>
      <c r="P765" s="4"/>
      <c r="Q765" s="4"/>
      <c r="R765" s="3"/>
      <c r="S765" s="4"/>
      <c r="T765" s="5"/>
      <c r="U765" s="4"/>
      <c r="V765" s="4"/>
      <c r="W765" s="4"/>
      <c r="X765" s="67"/>
      <c r="Y765" s="67"/>
      <c r="Z765" s="67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3"/>
      <c r="M766" s="4"/>
      <c r="N766" s="3"/>
      <c r="O766" s="3"/>
      <c r="P766" s="4"/>
      <c r="Q766" s="4"/>
      <c r="R766" s="3"/>
      <c r="S766" s="4"/>
      <c r="T766" s="5"/>
      <c r="U766" s="4"/>
      <c r="V766" s="4"/>
      <c r="W766" s="4"/>
      <c r="X766" s="67"/>
      <c r="Y766" s="67"/>
      <c r="Z766" s="67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3"/>
      <c r="M767" s="4"/>
      <c r="N767" s="3"/>
      <c r="O767" s="3"/>
      <c r="P767" s="4"/>
      <c r="Q767" s="4"/>
      <c r="R767" s="3"/>
      <c r="S767" s="4"/>
      <c r="T767" s="5"/>
      <c r="U767" s="4"/>
      <c r="V767" s="4"/>
      <c r="W767" s="4"/>
      <c r="X767" s="67"/>
      <c r="Y767" s="67"/>
      <c r="Z767" s="67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3"/>
      <c r="M768" s="4"/>
      <c r="N768" s="3"/>
      <c r="O768" s="3"/>
      <c r="P768" s="4"/>
      <c r="Q768" s="4"/>
      <c r="R768" s="3"/>
      <c r="S768" s="4"/>
      <c r="T768" s="5"/>
      <c r="U768" s="4"/>
      <c r="V768" s="4"/>
      <c r="W768" s="4"/>
      <c r="X768" s="67"/>
      <c r="Y768" s="67"/>
      <c r="Z768" s="67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3"/>
      <c r="M769" s="4"/>
      <c r="N769" s="3"/>
      <c r="O769" s="3"/>
      <c r="P769" s="4"/>
      <c r="Q769" s="4"/>
      <c r="R769" s="3"/>
      <c r="S769" s="4"/>
      <c r="T769" s="5"/>
      <c r="U769" s="4"/>
      <c r="V769" s="4"/>
      <c r="W769" s="4"/>
      <c r="X769" s="67"/>
      <c r="Y769" s="67"/>
      <c r="Z769" s="67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3"/>
      <c r="M770" s="4"/>
      <c r="N770" s="3"/>
      <c r="O770" s="3"/>
      <c r="P770" s="4"/>
      <c r="Q770" s="4"/>
      <c r="R770" s="3"/>
      <c r="S770" s="4"/>
      <c r="T770" s="5"/>
      <c r="U770" s="4"/>
      <c r="V770" s="4"/>
      <c r="W770" s="4"/>
      <c r="X770" s="67"/>
      <c r="Y770" s="67"/>
      <c r="Z770" s="67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3"/>
      <c r="M771" s="4"/>
      <c r="N771" s="3"/>
      <c r="O771" s="3"/>
      <c r="P771" s="4"/>
      <c r="Q771" s="4"/>
      <c r="R771" s="3"/>
      <c r="S771" s="4"/>
      <c r="T771" s="5"/>
      <c r="U771" s="4"/>
      <c r="V771" s="4"/>
      <c r="W771" s="4"/>
      <c r="X771" s="67"/>
      <c r="Y771" s="67"/>
      <c r="Z771" s="67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3"/>
      <c r="M772" s="4"/>
      <c r="N772" s="3"/>
      <c r="O772" s="3"/>
      <c r="P772" s="4"/>
      <c r="Q772" s="4"/>
      <c r="R772" s="3"/>
      <c r="S772" s="4"/>
      <c r="T772" s="5"/>
      <c r="U772" s="4"/>
      <c r="V772" s="4"/>
      <c r="W772" s="4"/>
      <c r="X772" s="67"/>
      <c r="Y772" s="67"/>
      <c r="Z772" s="67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3"/>
      <c r="M773" s="4"/>
      <c r="N773" s="3"/>
      <c r="O773" s="3"/>
      <c r="P773" s="4"/>
      <c r="Q773" s="4"/>
      <c r="R773" s="3"/>
      <c r="S773" s="4"/>
      <c r="T773" s="5"/>
      <c r="U773" s="4"/>
      <c r="V773" s="4"/>
      <c r="W773" s="4"/>
      <c r="X773" s="67"/>
      <c r="Y773" s="67"/>
      <c r="Z773" s="67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3"/>
      <c r="M774" s="4"/>
      <c r="N774" s="3"/>
      <c r="O774" s="3"/>
      <c r="P774" s="4"/>
      <c r="Q774" s="4"/>
      <c r="R774" s="3"/>
      <c r="S774" s="4"/>
      <c r="T774" s="5"/>
      <c r="U774" s="4"/>
      <c r="V774" s="4"/>
      <c r="W774" s="4"/>
      <c r="X774" s="67"/>
      <c r="Y774" s="67"/>
      <c r="Z774" s="67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3"/>
      <c r="M775" s="4"/>
      <c r="N775" s="3"/>
      <c r="O775" s="3"/>
      <c r="P775" s="4"/>
      <c r="Q775" s="4"/>
      <c r="R775" s="3"/>
      <c r="S775" s="4"/>
      <c r="T775" s="5"/>
      <c r="U775" s="4"/>
      <c r="V775" s="4"/>
      <c r="W775" s="4"/>
      <c r="X775" s="67"/>
      <c r="Y775" s="67"/>
      <c r="Z775" s="67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3"/>
      <c r="M776" s="4"/>
      <c r="N776" s="3"/>
      <c r="O776" s="3"/>
      <c r="P776" s="4"/>
      <c r="Q776" s="4"/>
      <c r="R776" s="3"/>
      <c r="S776" s="4"/>
      <c r="T776" s="5"/>
      <c r="U776" s="4"/>
      <c r="V776" s="4"/>
      <c r="W776" s="4"/>
      <c r="X776" s="67"/>
      <c r="Y776" s="67"/>
      <c r="Z776" s="67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3"/>
      <c r="M777" s="4"/>
      <c r="N777" s="3"/>
      <c r="O777" s="3"/>
      <c r="P777" s="4"/>
      <c r="Q777" s="4"/>
      <c r="R777" s="3"/>
      <c r="S777" s="4"/>
      <c r="T777" s="5"/>
      <c r="U777" s="4"/>
      <c r="V777" s="4"/>
      <c r="W777" s="4"/>
      <c r="X777" s="67"/>
      <c r="Y777" s="67"/>
      <c r="Z777" s="67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3"/>
      <c r="M778" s="4"/>
      <c r="N778" s="3"/>
      <c r="O778" s="3"/>
      <c r="P778" s="4"/>
      <c r="Q778" s="4"/>
      <c r="R778" s="3"/>
      <c r="S778" s="4"/>
      <c r="T778" s="5"/>
      <c r="U778" s="4"/>
      <c r="V778" s="4"/>
      <c r="W778" s="4"/>
      <c r="X778" s="67"/>
      <c r="Y778" s="67"/>
      <c r="Z778" s="67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3"/>
      <c r="M779" s="4"/>
      <c r="N779" s="3"/>
      <c r="O779" s="3"/>
      <c r="P779" s="4"/>
      <c r="Q779" s="4"/>
      <c r="R779" s="3"/>
      <c r="S779" s="4"/>
      <c r="T779" s="5"/>
      <c r="U779" s="4"/>
      <c r="V779" s="4"/>
      <c r="W779" s="4"/>
      <c r="X779" s="67"/>
      <c r="Y779" s="67"/>
      <c r="Z779" s="67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3"/>
      <c r="M780" s="4"/>
      <c r="N780" s="3"/>
      <c r="O780" s="3"/>
      <c r="P780" s="4"/>
      <c r="Q780" s="4"/>
      <c r="R780" s="3"/>
      <c r="S780" s="4"/>
      <c r="T780" s="5"/>
      <c r="U780" s="4"/>
      <c r="V780" s="4"/>
      <c r="W780" s="4"/>
      <c r="X780" s="67"/>
      <c r="Y780" s="67"/>
      <c r="Z780" s="67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3"/>
      <c r="M781" s="4"/>
      <c r="N781" s="3"/>
      <c r="O781" s="3"/>
      <c r="P781" s="4"/>
      <c r="Q781" s="4"/>
      <c r="R781" s="3"/>
      <c r="S781" s="4"/>
      <c r="T781" s="5"/>
      <c r="U781" s="4"/>
      <c r="V781" s="4"/>
      <c r="W781" s="4"/>
      <c r="X781" s="67"/>
      <c r="Y781" s="67"/>
      <c r="Z781" s="67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3"/>
      <c r="M782" s="4"/>
      <c r="N782" s="3"/>
      <c r="O782" s="3"/>
      <c r="P782" s="4"/>
      <c r="Q782" s="4"/>
      <c r="R782" s="3"/>
      <c r="S782" s="4"/>
      <c r="T782" s="5"/>
      <c r="U782" s="4"/>
      <c r="V782" s="4"/>
      <c r="W782" s="4"/>
      <c r="X782" s="67"/>
      <c r="Y782" s="67"/>
      <c r="Z782" s="67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3"/>
      <c r="M783" s="4"/>
      <c r="N783" s="3"/>
      <c r="O783" s="3"/>
      <c r="P783" s="4"/>
      <c r="Q783" s="4"/>
      <c r="R783" s="3"/>
      <c r="S783" s="4"/>
      <c r="T783" s="5"/>
      <c r="U783" s="4"/>
      <c r="V783" s="4"/>
      <c r="W783" s="4"/>
      <c r="X783" s="67"/>
      <c r="Y783" s="67"/>
      <c r="Z783" s="67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3"/>
      <c r="M784" s="4"/>
      <c r="N784" s="3"/>
      <c r="O784" s="3"/>
      <c r="P784" s="4"/>
      <c r="Q784" s="4"/>
      <c r="R784" s="3"/>
      <c r="S784" s="4"/>
      <c r="T784" s="5"/>
      <c r="U784" s="4"/>
      <c r="V784" s="4"/>
      <c r="W784" s="4"/>
      <c r="X784" s="67"/>
      <c r="Y784" s="67"/>
      <c r="Z784" s="67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3"/>
      <c r="M785" s="4"/>
      <c r="N785" s="3"/>
      <c r="O785" s="3"/>
      <c r="P785" s="4"/>
      <c r="Q785" s="4"/>
      <c r="R785" s="3"/>
      <c r="S785" s="4"/>
      <c r="T785" s="5"/>
      <c r="U785" s="4"/>
      <c r="V785" s="4"/>
      <c r="W785" s="4"/>
      <c r="X785" s="67"/>
      <c r="Y785" s="67"/>
      <c r="Z785" s="67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3"/>
      <c r="M786" s="4"/>
      <c r="N786" s="3"/>
      <c r="O786" s="3"/>
      <c r="P786" s="4"/>
      <c r="Q786" s="4"/>
      <c r="R786" s="3"/>
      <c r="S786" s="4"/>
      <c r="T786" s="5"/>
      <c r="U786" s="4"/>
      <c r="V786" s="4"/>
      <c r="W786" s="4"/>
      <c r="X786" s="67"/>
      <c r="Y786" s="67"/>
      <c r="Z786" s="67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3"/>
      <c r="M787" s="4"/>
      <c r="N787" s="3"/>
      <c r="O787" s="3"/>
      <c r="P787" s="4"/>
      <c r="Q787" s="4"/>
      <c r="R787" s="3"/>
      <c r="S787" s="4"/>
      <c r="T787" s="5"/>
      <c r="U787" s="4"/>
      <c r="V787" s="4"/>
      <c r="W787" s="4"/>
      <c r="X787" s="67"/>
      <c r="Y787" s="67"/>
      <c r="Z787" s="67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3"/>
      <c r="M788" s="4"/>
      <c r="N788" s="3"/>
      <c r="O788" s="3"/>
      <c r="P788" s="4"/>
      <c r="Q788" s="4"/>
      <c r="R788" s="3"/>
      <c r="S788" s="4"/>
      <c r="T788" s="5"/>
      <c r="U788" s="4"/>
      <c r="V788" s="4"/>
      <c r="W788" s="4"/>
      <c r="X788" s="67"/>
      <c r="Y788" s="67"/>
      <c r="Z788" s="67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3"/>
      <c r="M789" s="4"/>
      <c r="N789" s="3"/>
      <c r="O789" s="3"/>
      <c r="P789" s="4"/>
      <c r="Q789" s="4"/>
      <c r="R789" s="3"/>
      <c r="S789" s="4"/>
      <c r="T789" s="5"/>
      <c r="U789" s="4"/>
      <c r="V789" s="4"/>
      <c r="W789" s="4"/>
      <c r="X789" s="67"/>
      <c r="Y789" s="67"/>
      <c r="Z789" s="67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3"/>
      <c r="M790" s="4"/>
      <c r="N790" s="3"/>
      <c r="O790" s="3"/>
      <c r="P790" s="4"/>
      <c r="Q790" s="4"/>
      <c r="R790" s="3"/>
      <c r="S790" s="4"/>
      <c r="T790" s="5"/>
      <c r="U790" s="4"/>
      <c r="V790" s="4"/>
      <c r="W790" s="4"/>
      <c r="X790" s="67"/>
      <c r="Y790" s="67"/>
      <c r="Z790" s="67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3"/>
      <c r="M791" s="4"/>
      <c r="N791" s="3"/>
      <c r="O791" s="3"/>
      <c r="P791" s="4"/>
      <c r="Q791" s="4"/>
      <c r="R791" s="3"/>
      <c r="S791" s="4"/>
      <c r="T791" s="5"/>
      <c r="U791" s="4"/>
      <c r="V791" s="4"/>
      <c r="W791" s="4"/>
      <c r="X791" s="67"/>
      <c r="Y791" s="67"/>
      <c r="Z791" s="67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3"/>
      <c r="M792" s="4"/>
      <c r="N792" s="3"/>
      <c r="O792" s="3"/>
      <c r="P792" s="4"/>
      <c r="Q792" s="4"/>
      <c r="R792" s="3"/>
      <c r="S792" s="4"/>
      <c r="T792" s="5"/>
      <c r="U792" s="4"/>
      <c r="V792" s="4"/>
      <c r="W792" s="4"/>
      <c r="X792" s="67"/>
      <c r="Y792" s="67"/>
      <c r="Z792" s="67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3"/>
      <c r="M793" s="4"/>
      <c r="N793" s="3"/>
      <c r="O793" s="3"/>
      <c r="P793" s="4"/>
      <c r="Q793" s="4"/>
      <c r="R793" s="3"/>
      <c r="S793" s="4"/>
      <c r="T793" s="5"/>
      <c r="U793" s="4"/>
      <c r="V793" s="4"/>
      <c r="W793" s="4"/>
      <c r="X793" s="67"/>
      <c r="Y793" s="67"/>
      <c r="Z793" s="67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3"/>
      <c r="M794" s="4"/>
      <c r="N794" s="3"/>
      <c r="O794" s="3"/>
      <c r="P794" s="4"/>
      <c r="Q794" s="4"/>
      <c r="R794" s="3"/>
      <c r="S794" s="4"/>
      <c r="T794" s="5"/>
      <c r="U794" s="4"/>
      <c r="V794" s="4"/>
      <c r="W794" s="4"/>
      <c r="X794" s="67"/>
      <c r="Y794" s="67"/>
      <c r="Z794" s="67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3"/>
      <c r="M795" s="4"/>
      <c r="N795" s="3"/>
      <c r="O795" s="3"/>
      <c r="P795" s="4"/>
      <c r="Q795" s="4"/>
      <c r="R795" s="3"/>
      <c r="S795" s="4"/>
      <c r="T795" s="5"/>
      <c r="U795" s="4"/>
      <c r="V795" s="4"/>
      <c r="W795" s="4"/>
      <c r="X795" s="67"/>
      <c r="Y795" s="67"/>
      <c r="Z795" s="67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3"/>
      <c r="M796" s="4"/>
      <c r="N796" s="3"/>
      <c r="O796" s="3"/>
      <c r="P796" s="4"/>
      <c r="Q796" s="4"/>
      <c r="R796" s="3"/>
      <c r="S796" s="4"/>
      <c r="T796" s="5"/>
      <c r="U796" s="4"/>
      <c r="V796" s="4"/>
      <c r="W796" s="4"/>
      <c r="X796" s="67"/>
      <c r="Y796" s="67"/>
      <c r="Z796" s="67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3"/>
      <c r="M797" s="4"/>
      <c r="N797" s="3"/>
      <c r="O797" s="3"/>
      <c r="P797" s="4"/>
      <c r="Q797" s="4"/>
      <c r="R797" s="3"/>
      <c r="S797" s="4"/>
      <c r="T797" s="5"/>
      <c r="U797" s="4"/>
      <c r="V797" s="4"/>
      <c r="W797" s="4"/>
      <c r="X797" s="67"/>
      <c r="Y797" s="67"/>
      <c r="Z797" s="67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3"/>
      <c r="M798" s="4"/>
      <c r="N798" s="3"/>
      <c r="O798" s="3"/>
      <c r="P798" s="4"/>
      <c r="Q798" s="4"/>
      <c r="R798" s="3"/>
      <c r="S798" s="4"/>
      <c r="T798" s="5"/>
      <c r="U798" s="4"/>
      <c r="V798" s="4"/>
      <c r="W798" s="4"/>
      <c r="X798" s="67"/>
      <c r="Y798" s="67"/>
      <c r="Z798" s="67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3"/>
      <c r="M799" s="4"/>
      <c r="N799" s="3"/>
      <c r="O799" s="3"/>
      <c r="P799" s="4"/>
      <c r="Q799" s="4"/>
      <c r="R799" s="3"/>
      <c r="S799" s="4"/>
      <c r="T799" s="5"/>
      <c r="U799" s="4"/>
      <c r="V799" s="4"/>
      <c r="W799" s="4"/>
      <c r="X799" s="67"/>
      <c r="Y799" s="67"/>
      <c r="Z799" s="67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3"/>
      <c r="M800" s="4"/>
      <c r="N800" s="3"/>
      <c r="O800" s="3"/>
      <c r="P800" s="4"/>
      <c r="Q800" s="4"/>
      <c r="R800" s="3"/>
      <c r="S800" s="4"/>
      <c r="T800" s="5"/>
      <c r="U800" s="4"/>
      <c r="V800" s="4"/>
      <c r="W800" s="4"/>
      <c r="X800" s="67"/>
      <c r="Y800" s="67"/>
      <c r="Z800" s="67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3"/>
      <c r="M801" s="4"/>
      <c r="N801" s="3"/>
      <c r="O801" s="3"/>
      <c r="P801" s="4"/>
      <c r="Q801" s="4"/>
      <c r="R801" s="3"/>
      <c r="S801" s="4"/>
      <c r="T801" s="5"/>
      <c r="U801" s="4"/>
      <c r="V801" s="4"/>
      <c r="W801" s="4"/>
      <c r="X801" s="67"/>
      <c r="Y801" s="67"/>
      <c r="Z801" s="67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3"/>
      <c r="M802" s="4"/>
      <c r="N802" s="3"/>
      <c r="O802" s="3"/>
      <c r="P802" s="4"/>
      <c r="Q802" s="4"/>
      <c r="R802" s="3"/>
      <c r="S802" s="4"/>
      <c r="T802" s="5"/>
      <c r="U802" s="4"/>
      <c r="V802" s="4"/>
      <c r="W802" s="4"/>
      <c r="X802" s="67"/>
      <c r="Y802" s="67"/>
      <c r="Z802" s="67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3"/>
      <c r="M803" s="4"/>
      <c r="N803" s="3"/>
      <c r="O803" s="3"/>
      <c r="P803" s="4"/>
      <c r="Q803" s="4"/>
      <c r="R803" s="3"/>
      <c r="S803" s="4"/>
      <c r="T803" s="5"/>
      <c r="U803" s="4"/>
      <c r="V803" s="4"/>
      <c r="W803" s="4"/>
      <c r="X803" s="67"/>
      <c r="Y803" s="67"/>
      <c r="Z803" s="67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3"/>
      <c r="M804" s="4"/>
      <c r="N804" s="3"/>
      <c r="O804" s="3"/>
      <c r="P804" s="4"/>
      <c r="Q804" s="4"/>
      <c r="R804" s="3"/>
      <c r="S804" s="4"/>
      <c r="T804" s="5"/>
      <c r="U804" s="4"/>
      <c r="V804" s="4"/>
      <c r="W804" s="4"/>
      <c r="X804" s="67"/>
      <c r="Y804" s="67"/>
      <c r="Z804" s="67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3"/>
      <c r="M805" s="4"/>
      <c r="N805" s="3"/>
      <c r="O805" s="3"/>
      <c r="P805" s="4"/>
      <c r="Q805" s="4"/>
      <c r="R805" s="3"/>
      <c r="S805" s="4"/>
      <c r="T805" s="5"/>
      <c r="U805" s="4"/>
      <c r="V805" s="4"/>
      <c r="W805" s="4"/>
      <c r="X805" s="67"/>
      <c r="Y805" s="67"/>
      <c r="Z805" s="67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3"/>
      <c r="M806" s="4"/>
      <c r="N806" s="3"/>
      <c r="O806" s="3"/>
      <c r="P806" s="4"/>
      <c r="Q806" s="4"/>
      <c r="R806" s="3"/>
      <c r="S806" s="4"/>
      <c r="T806" s="5"/>
      <c r="U806" s="4"/>
      <c r="V806" s="4"/>
      <c r="W806" s="4"/>
      <c r="X806" s="67"/>
      <c r="Y806" s="67"/>
      <c r="Z806" s="67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3"/>
      <c r="M807" s="4"/>
      <c r="N807" s="3"/>
      <c r="O807" s="3"/>
      <c r="P807" s="4"/>
      <c r="Q807" s="4"/>
      <c r="R807" s="3"/>
      <c r="S807" s="4"/>
      <c r="T807" s="5"/>
      <c r="U807" s="4"/>
      <c r="V807" s="4"/>
      <c r="W807" s="4"/>
      <c r="X807" s="67"/>
      <c r="Y807" s="67"/>
      <c r="Z807" s="67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3"/>
      <c r="M808" s="4"/>
      <c r="N808" s="3"/>
      <c r="O808" s="3"/>
      <c r="P808" s="4"/>
      <c r="Q808" s="4"/>
      <c r="R808" s="3"/>
      <c r="S808" s="4"/>
      <c r="T808" s="5"/>
      <c r="U808" s="4"/>
      <c r="V808" s="4"/>
      <c r="W808" s="4"/>
      <c r="X808" s="67"/>
      <c r="Y808" s="67"/>
      <c r="Z808" s="67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/>
      <c r="M809" s="4"/>
      <c r="N809" s="3"/>
      <c r="O809" s="3"/>
      <c r="P809" s="4"/>
      <c r="Q809" s="4"/>
      <c r="R809" s="3"/>
      <c r="S809" s="4"/>
      <c r="T809" s="5"/>
      <c r="U809" s="4"/>
      <c r="V809" s="4"/>
      <c r="W809" s="4"/>
      <c r="X809" s="67"/>
      <c r="Y809" s="67"/>
      <c r="Z809" s="67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4"/>
      <c r="N810" s="3"/>
      <c r="O810" s="3"/>
      <c r="P810" s="4"/>
      <c r="Q810" s="4"/>
      <c r="R810" s="3"/>
      <c r="S810" s="4"/>
      <c r="T810" s="5"/>
      <c r="U810" s="4"/>
      <c r="V810" s="4"/>
      <c r="W810" s="4"/>
      <c r="X810" s="67"/>
      <c r="Y810" s="67"/>
      <c r="Z810" s="67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4"/>
      <c r="N811" s="3"/>
      <c r="O811" s="3"/>
      <c r="P811" s="4"/>
      <c r="Q811" s="4"/>
      <c r="R811" s="3"/>
      <c r="S811" s="4"/>
      <c r="T811" s="5"/>
      <c r="U811" s="4"/>
      <c r="V811" s="4"/>
      <c r="W811" s="4"/>
      <c r="X811" s="67"/>
      <c r="Y811" s="67"/>
      <c r="Z811" s="67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4"/>
      <c r="N812" s="3"/>
      <c r="O812" s="3"/>
      <c r="P812" s="4"/>
      <c r="Q812" s="4"/>
      <c r="R812" s="3"/>
      <c r="S812" s="4"/>
      <c r="T812" s="5"/>
      <c r="U812" s="4"/>
      <c r="V812" s="4"/>
      <c r="W812" s="4"/>
      <c r="X812" s="67"/>
      <c r="Y812" s="67"/>
      <c r="Z812" s="67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4"/>
      <c r="N813" s="3"/>
      <c r="O813" s="3"/>
      <c r="P813" s="4"/>
      <c r="Q813" s="4"/>
      <c r="R813" s="3"/>
      <c r="S813" s="4"/>
      <c r="T813" s="5"/>
      <c r="U813" s="4"/>
      <c r="V813" s="4"/>
      <c r="W813" s="4"/>
      <c r="X813" s="67"/>
      <c r="Y813" s="67"/>
      <c r="Z813" s="67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4"/>
      <c r="N814" s="3"/>
      <c r="O814" s="3"/>
      <c r="P814" s="4"/>
      <c r="Q814" s="4"/>
      <c r="R814" s="3"/>
      <c r="S814" s="4"/>
      <c r="T814" s="5"/>
      <c r="U814" s="4"/>
      <c r="V814" s="4"/>
      <c r="W814" s="4"/>
      <c r="X814" s="67"/>
      <c r="Y814" s="67"/>
      <c r="Z814" s="67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4"/>
      <c r="N815" s="3"/>
      <c r="O815" s="3"/>
      <c r="P815" s="4"/>
      <c r="Q815" s="4"/>
      <c r="R815" s="3"/>
      <c r="S815" s="4"/>
      <c r="T815" s="5"/>
      <c r="U815" s="4"/>
      <c r="V815" s="4"/>
      <c r="W815" s="4"/>
      <c r="X815" s="67"/>
      <c r="Y815" s="67"/>
      <c r="Z815" s="67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4"/>
      <c r="N816" s="3"/>
      <c r="O816" s="3"/>
      <c r="P816" s="4"/>
      <c r="Q816" s="4"/>
      <c r="R816" s="3"/>
      <c r="S816" s="4"/>
      <c r="T816" s="5"/>
      <c r="U816" s="4"/>
      <c r="V816" s="4"/>
      <c r="W816" s="4"/>
      <c r="X816" s="67"/>
      <c r="Y816" s="67"/>
      <c r="Z816" s="67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4"/>
      <c r="N817" s="3"/>
      <c r="O817" s="3"/>
      <c r="P817" s="4"/>
      <c r="Q817" s="4"/>
      <c r="R817" s="3"/>
      <c r="S817" s="4"/>
      <c r="T817" s="5"/>
      <c r="U817" s="4"/>
      <c r="V817" s="4"/>
      <c r="W817" s="4"/>
      <c r="X817" s="67"/>
      <c r="Y817" s="67"/>
      <c r="Z817" s="67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4"/>
      <c r="N818" s="3"/>
      <c r="O818" s="3"/>
      <c r="P818" s="4"/>
      <c r="Q818" s="4"/>
      <c r="R818" s="3"/>
      <c r="S818" s="4"/>
      <c r="T818" s="5"/>
      <c r="U818" s="4"/>
      <c r="V818" s="4"/>
      <c r="W818" s="4"/>
      <c r="X818" s="67"/>
      <c r="Y818" s="67"/>
      <c r="Z818" s="67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4"/>
      <c r="N819" s="3"/>
      <c r="O819" s="3"/>
      <c r="P819" s="4"/>
      <c r="Q819" s="4"/>
      <c r="R819" s="3"/>
      <c r="S819" s="4"/>
      <c r="T819" s="5"/>
      <c r="U819" s="4"/>
      <c r="V819" s="4"/>
      <c r="W819" s="4"/>
      <c r="X819" s="67"/>
      <c r="Y819" s="67"/>
      <c r="Z819" s="67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4"/>
      <c r="N820" s="3"/>
      <c r="O820" s="3"/>
      <c r="P820" s="4"/>
      <c r="Q820" s="4"/>
      <c r="R820" s="3"/>
      <c r="S820" s="4"/>
      <c r="T820" s="5"/>
      <c r="U820" s="4"/>
      <c r="V820" s="4"/>
      <c r="W820" s="4"/>
      <c r="X820" s="67"/>
      <c r="Y820" s="67"/>
      <c r="Z820" s="67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4"/>
      <c r="N821" s="3"/>
      <c r="O821" s="3"/>
      <c r="P821" s="4"/>
      <c r="Q821" s="4"/>
      <c r="R821" s="3"/>
      <c r="S821" s="4"/>
      <c r="T821" s="5"/>
      <c r="U821" s="4"/>
      <c r="V821" s="4"/>
      <c r="W821" s="4"/>
      <c r="X821" s="67"/>
      <c r="Y821" s="67"/>
      <c r="Z821" s="67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4"/>
      <c r="N822" s="3"/>
      <c r="O822" s="3"/>
      <c r="P822" s="4"/>
      <c r="Q822" s="4"/>
      <c r="R822" s="3"/>
      <c r="S822" s="4"/>
      <c r="T822" s="5"/>
      <c r="U822" s="4"/>
      <c r="V822" s="4"/>
      <c r="W822" s="4"/>
      <c r="X822" s="67"/>
      <c r="Y822" s="67"/>
      <c r="Z822" s="67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4"/>
      <c r="N823" s="3"/>
      <c r="O823" s="3"/>
      <c r="P823" s="4"/>
      <c r="Q823" s="4"/>
      <c r="R823" s="3"/>
      <c r="S823" s="4"/>
      <c r="T823" s="5"/>
      <c r="U823" s="4"/>
      <c r="V823" s="4"/>
      <c r="W823" s="4"/>
      <c r="X823" s="67"/>
      <c r="Y823" s="67"/>
      <c r="Z823" s="67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3"/>
      <c r="M824" s="4"/>
      <c r="N824" s="3"/>
      <c r="O824" s="3"/>
      <c r="P824" s="4"/>
      <c r="Q824" s="4"/>
      <c r="R824" s="3"/>
      <c r="S824" s="4"/>
      <c r="T824" s="5"/>
      <c r="U824" s="4"/>
      <c r="V824" s="4"/>
      <c r="W824" s="4"/>
      <c r="X824" s="67"/>
      <c r="Y824" s="67"/>
      <c r="Z824" s="67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3"/>
      <c r="M825" s="4"/>
      <c r="N825" s="3"/>
      <c r="O825" s="3"/>
      <c r="P825" s="4"/>
      <c r="Q825" s="4"/>
      <c r="R825" s="3"/>
      <c r="S825" s="4"/>
      <c r="T825" s="5"/>
      <c r="U825" s="4"/>
      <c r="V825" s="4"/>
      <c r="W825" s="4"/>
      <c r="X825" s="67"/>
      <c r="Y825" s="67"/>
      <c r="Z825" s="67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3"/>
      <c r="M826" s="4"/>
      <c r="N826" s="3"/>
      <c r="O826" s="3"/>
      <c r="P826" s="4"/>
      <c r="Q826" s="4"/>
      <c r="R826" s="3"/>
      <c r="S826" s="4"/>
      <c r="T826" s="5"/>
      <c r="U826" s="4"/>
      <c r="V826" s="4"/>
      <c r="W826" s="4"/>
      <c r="X826" s="67"/>
      <c r="Y826" s="67"/>
      <c r="Z826" s="67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3"/>
      <c r="M827" s="4"/>
      <c r="N827" s="3"/>
      <c r="O827" s="3"/>
      <c r="P827" s="4"/>
      <c r="Q827" s="4"/>
      <c r="R827" s="3"/>
      <c r="S827" s="4"/>
      <c r="T827" s="5"/>
      <c r="U827" s="4"/>
      <c r="V827" s="4"/>
      <c r="W827" s="4"/>
      <c r="X827" s="67"/>
      <c r="Y827" s="67"/>
      <c r="Z827" s="67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3"/>
      <c r="M828" s="4"/>
      <c r="N828" s="3"/>
      <c r="O828" s="3"/>
      <c r="P828" s="4"/>
      <c r="Q828" s="4"/>
      <c r="R828" s="3"/>
      <c r="S828" s="4"/>
      <c r="T828" s="5"/>
      <c r="U828" s="4"/>
      <c r="V828" s="4"/>
      <c r="W828" s="4"/>
      <c r="X828" s="67"/>
      <c r="Y828" s="67"/>
      <c r="Z828" s="67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4"/>
      <c r="N829" s="3"/>
      <c r="O829" s="3"/>
      <c r="P829" s="4"/>
      <c r="Q829" s="4"/>
      <c r="R829" s="3"/>
      <c r="S829" s="4"/>
      <c r="T829" s="5"/>
      <c r="U829" s="4"/>
      <c r="V829" s="4"/>
      <c r="W829" s="4"/>
      <c r="X829" s="67"/>
      <c r="Y829" s="67"/>
      <c r="Z829" s="67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3"/>
      <c r="M830" s="4"/>
      <c r="N830" s="3"/>
      <c r="O830" s="3"/>
      <c r="P830" s="4"/>
      <c r="Q830" s="4"/>
      <c r="R830" s="3"/>
      <c r="S830" s="4"/>
      <c r="T830" s="5"/>
      <c r="U830" s="4"/>
      <c r="V830" s="4"/>
      <c r="W830" s="4"/>
      <c r="X830" s="67"/>
      <c r="Y830" s="67"/>
      <c r="Z830" s="67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3"/>
      <c r="M831" s="4"/>
      <c r="N831" s="3"/>
      <c r="O831" s="3"/>
      <c r="P831" s="4"/>
      <c r="Q831" s="4"/>
      <c r="R831" s="3"/>
      <c r="S831" s="4"/>
      <c r="T831" s="5"/>
      <c r="U831" s="4"/>
      <c r="V831" s="4"/>
      <c r="W831" s="4"/>
      <c r="X831" s="67"/>
      <c r="Y831" s="67"/>
      <c r="Z831" s="67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3"/>
      <c r="M832" s="4"/>
      <c r="N832" s="3"/>
      <c r="O832" s="3"/>
      <c r="P832" s="4"/>
      <c r="Q832" s="4"/>
      <c r="R832" s="3"/>
      <c r="S832" s="4"/>
      <c r="T832" s="5"/>
      <c r="U832" s="4"/>
      <c r="V832" s="4"/>
      <c r="W832" s="4"/>
      <c r="X832" s="67"/>
      <c r="Y832" s="67"/>
      <c r="Z832" s="67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3"/>
      <c r="M833" s="4"/>
      <c r="N833" s="3"/>
      <c r="O833" s="3"/>
      <c r="P833" s="4"/>
      <c r="Q833" s="4"/>
      <c r="R833" s="3"/>
      <c r="S833" s="4"/>
      <c r="T833" s="5"/>
      <c r="U833" s="4"/>
      <c r="V833" s="4"/>
      <c r="W833" s="4"/>
      <c r="X833" s="67"/>
      <c r="Y833" s="67"/>
      <c r="Z833" s="67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3"/>
      <c r="M834" s="4"/>
      <c r="N834" s="3"/>
      <c r="O834" s="3"/>
      <c r="P834" s="4"/>
      <c r="Q834" s="4"/>
      <c r="R834" s="3"/>
      <c r="S834" s="4"/>
      <c r="T834" s="5"/>
      <c r="U834" s="4"/>
      <c r="V834" s="4"/>
      <c r="W834" s="4"/>
      <c r="X834" s="67"/>
      <c r="Y834" s="67"/>
      <c r="Z834" s="67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3"/>
      <c r="M835" s="4"/>
      <c r="N835" s="3"/>
      <c r="O835" s="3"/>
      <c r="P835" s="4"/>
      <c r="Q835" s="4"/>
      <c r="R835" s="3"/>
      <c r="S835" s="4"/>
      <c r="T835" s="5"/>
      <c r="U835" s="4"/>
      <c r="V835" s="4"/>
      <c r="W835" s="4"/>
      <c r="X835" s="67"/>
      <c r="Y835" s="67"/>
      <c r="Z835" s="67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4"/>
      <c r="N836" s="3"/>
      <c r="O836" s="3"/>
      <c r="P836" s="4"/>
      <c r="Q836" s="4"/>
      <c r="R836" s="3"/>
      <c r="S836" s="4"/>
      <c r="T836" s="5"/>
      <c r="U836" s="4"/>
      <c r="V836" s="4"/>
      <c r="W836" s="4"/>
      <c r="X836" s="67"/>
      <c r="Y836" s="67"/>
      <c r="Z836" s="67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4"/>
      <c r="N837" s="3"/>
      <c r="O837" s="3"/>
      <c r="P837" s="4"/>
      <c r="Q837" s="4"/>
      <c r="R837" s="3"/>
      <c r="S837" s="4"/>
      <c r="T837" s="5"/>
      <c r="U837" s="4"/>
      <c r="V837" s="4"/>
      <c r="W837" s="4"/>
      <c r="X837" s="67"/>
      <c r="Y837" s="67"/>
      <c r="Z837" s="67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4"/>
      <c r="N838" s="3"/>
      <c r="O838" s="3"/>
      <c r="P838" s="4"/>
      <c r="Q838" s="4"/>
      <c r="R838" s="3"/>
      <c r="S838" s="4"/>
      <c r="T838" s="5"/>
      <c r="U838" s="4"/>
      <c r="V838" s="4"/>
      <c r="W838" s="4"/>
      <c r="X838" s="67"/>
      <c r="Y838" s="67"/>
      <c r="Z838" s="67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4"/>
      <c r="N839" s="3"/>
      <c r="O839" s="3"/>
      <c r="P839" s="4"/>
      <c r="Q839" s="4"/>
      <c r="R839" s="3"/>
      <c r="S839" s="4"/>
      <c r="T839" s="5"/>
      <c r="U839" s="4"/>
      <c r="V839" s="4"/>
      <c r="W839" s="4"/>
      <c r="X839" s="67"/>
      <c r="Y839" s="67"/>
      <c r="Z839" s="67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4"/>
      <c r="N840" s="3"/>
      <c r="O840" s="3"/>
      <c r="P840" s="4"/>
      <c r="Q840" s="4"/>
      <c r="R840" s="3"/>
      <c r="S840" s="4"/>
      <c r="T840" s="5"/>
      <c r="U840" s="4"/>
      <c r="V840" s="4"/>
      <c r="W840" s="4"/>
      <c r="X840" s="67"/>
      <c r="Y840" s="67"/>
      <c r="Z840" s="67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4"/>
      <c r="N841" s="3"/>
      <c r="O841" s="3"/>
      <c r="P841" s="4"/>
      <c r="Q841" s="4"/>
      <c r="R841" s="3"/>
      <c r="S841" s="4"/>
      <c r="T841" s="5"/>
      <c r="U841" s="4"/>
      <c r="V841" s="4"/>
      <c r="W841" s="4"/>
      <c r="X841" s="67"/>
      <c r="Y841" s="67"/>
      <c r="Z841" s="67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4"/>
      <c r="N842" s="3"/>
      <c r="O842" s="3"/>
      <c r="P842" s="4"/>
      <c r="Q842" s="4"/>
      <c r="R842" s="3"/>
      <c r="S842" s="4"/>
      <c r="T842" s="5"/>
      <c r="U842" s="4"/>
      <c r="V842" s="4"/>
      <c r="W842" s="4"/>
      <c r="X842" s="67"/>
      <c r="Y842" s="67"/>
      <c r="Z842" s="67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4"/>
      <c r="N843" s="3"/>
      <c r="O843" s="3"/>
      <c r="P843" s="4"/>
      <c r="Q843" s="4"/>
      <c r="R843" s="3"/>
      <c r="S843" s="4"/>
      <c r="T843" s="5"/>
      <c r="U843" s="4"/>
      <c r="V843" s="4"/>
      <c r="W843" s="4"/>
      <c r="X843" s="67"/>
      <c r="Y843" s="67"/>
      <c r="Z843" s="67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4"/>
      <c r="N844" s="3"/>
      <c r="O844" s="3"/>
      <c r="P844" s="4"/>
      <c r="Q844" s="4"/>
      <c r="R844" s="3"/>
      <c r="S844" s="4"/>
      <c r="T844" s="5"/>
      <c r="U844" s="4"/>
      <c r="V844" s="4"/>
      <c r="W844" s="4"/>
      <c r="X844" s="67"/>
      <c r="Y844" s="67"/>
      <c r="Z844" s="67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4"/>
      <c r="N845" s="3"/>
      <c r="O845" s="3"/>
      <c r="P845" s="4"/>
      <c r="Q845" s="4"/>
      <c r="R845" s="3"/>
      <c r="S845" s="4"/>
      <c r="T845" s="5"/>
      <c r="U845" s="4"/>
      <c r="V845" s="4"/>
      <c r="W845" s="4"/>
      <c r="X845" s="67"/>
      <c r="Y845" s="67"/>
      <c r="Z845" s="67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4"/>
      <c r="N846" s="3"/>
      <c r="O846" s="3"/>
      <c r="P846" s="4"/>
      <c r="Q846" s="4"/>
      <c r="R846" s="3"/>
      <c r="S846" s="4"/>
      <c r="T846" s="5"/>
      <c r="U846" s="4"/>
      <c r="V846" s="4"/>
      <c r="W846" s="4"/>
      <c r="X846" s="67"/>
      <c r="Y846" s="67"/>
      <c r="Z846" s="67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3"/>
      <c r="M847" s="4"/>
      <c r="N847" s="3"/>
      <c r="O847" s="3"/>
      <c r="P847" s="4"/>
      <c r="Q847" s="4"/>
      <c r="R847" s="3"/>
      <c r="S847" s="4"/>
      <c r="T847" s="5"/>
      <c r="U847" s="4"/>
      <c r="V847" s="4"/>
      <c r="W847" s="4"/>
      <c r="X847" s="67"/>
      <c r="Y847" s="67"/>
      <c r="Z847" s="67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3"/>
      <c r="M848" s="4"/>
      <c r="N848" s="3"/>
      <c r="O848" s="3"/>
      <c r="P848" s="4"/>
      <c r="Q848" s="4"/>
      <c r="R848" s="3"/>
      <c r="S848" s="4"/>
      <c r="T848" s="5"/>
      <c r="U848" s="4"/>
      <c r="V848" s="4"/>
      <c r="W848" s="4"/>
      <c r="X848" s="67"/>
      <c r="Y848" s="67"/>
      <c r="Z848" s="67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3"/>
      <c r="M849" s="4"/>
      <c r="N849" s="3"/>
      <c r="O849" s="3"/>
      <c r="P849" s="4"/>
      <c r="Q849" s="4"/>
      <c r="R849" s="3"/>
      <c r="S849" s="4"/>
      <c r="T849" s="5"/>
      <c r="U849" s="4"/>
      <c r="V849" s="4"/>
      <c r="W849" s="4"/>
      <c r="X849" s="67"/>
      <c r="Y849" s="67"/>
      <c r="Z849" s="67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3"/>
      <c r="M850" s="4"/>
      <c r="N850" s="3"/>
      <c r="O850" s="3"/>
      <c r="P850" s="4"/>
      <c r="Q850" s="4"/>
      <c r="R850" s="3"/>
      <c r="S850" s="4"/>
      <c r="T850" s="5"/>
      <c r="U850" s="4"/>
      <c r="V850" s="4"/>
      <c r="W850" s="4"/>
      <c r="X850" s="67"/>
      <c r="Y850" s="67"/>
      <c r="Z850" s="67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3"/>
      <c r="M851" s="4"/>
      <c r="N851" s="3"/>
      <c r="O851" s="3"/>
      <c r="P851" s="4"/>
      <c r="Q851" s="4"/>
      <c r="R851" s="3"/>
      <c r="S851" s="4"/>
      <c r="T851" s="5"/>
      <c r="U851" s="4"/>
      <c r="V851" s="4"/>
      <c r="W851" s="4"/>
      <c r="X851" s="67"/>
      <c r="Y851" s="67"/>
      <c r="Z851" s="67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3"/>
      <c r="M852" s="4"/>
      <c r="N852" s="3"/>
      <c r="O852" s="3"/>
      <c r="P852" s="4"/>
      <c r="Q852" s="4"/>
      <c r="R852" s="3"/>
      <c r="S852" s="4"/>
      <c r="T852" s="5"/>
      <c r="U852" s="4"/>
      <c r="V852" s="4"/>
      <c r="W852" s="4"/>
      <c r="X852" s="67"/>
      <c r="Y852" s="67"/>
      <c r="Z852" s="67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3"/>
      <c r="M853" s="4"/>
      <c r="N853" s="3"/>
      <c r="O853" s="3"/>
      <c r="P853" s="4"/>
      <c r="Q853" s="4"/>
      <c r="R853" s="3"/>
      <c r="S853" s="4"/>
      <c r="T853" s="5"/>
      <c r="U853" s="4"/>
      <c r="V853" s="4"/>
      <c r="W853" s="4"/>
      <c r="X853" s="67"/>
      <c r="Y853" s="67"/>
      <c r="Z853" s="67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3"/>
      <c r="M854" s="4"/>
      <c r="N854" s="3"/>
      <c r="O854" s="3"/>
      <c r="P854" s="4"/>
      <c r="Q854" s="4"/>
      <c r="R854" s="3"/>
      <c r="S854" s="4"/>
      <c r="T854" s="5"/>
      <c r="U854" s="4"/>
      <c r="V854" s="4"/>
      <c r="W854" s="4"/>
      <c r="X854" s="67"/>
      <c r="Y854" s="67"/>
      <c r="Z854" s="67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3"/>
      <c r="M855" s="4"/>
      <c r="N855" s="3"/>
      <c r="O855" s="3"/>
      <c r="P855" s="4"/>
      <c r="Q855" s="4"/>
      <c r="R855" s="3"/>
      <c r="S855" s="4"/>
      <c r="T855" s="5"/>
      <c r="U855" s="4"/>
      <c r="V855" s="4"/>
      <c r="W855" s="4"/>
      <c r="X855" s="67"/>
      <c r="Y855" s="67"/>
      <c r="Z855" s="67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3"/>
      <c r="M856" s="4"/>
      <c r="N856" s="3"/>
      <c r="O856" s="3"/>
      <c r="P856" s="4"/>
      <c r="Q856" s="4"/>
      <c r="R856" s="3"/>
      <c r="S856" s="4"/>
      <c r="T856" s="5"/>
      <c r="U856" s="4"/>
      <c r="V856" s="4"/>
      <c r="W856" s="4"/>
      <c r="X856" s="67"/>
      <c r="Y856" s="67"/>
      <c r="Z856" s="67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3"/>
      <c r="M857" s="4"/>
      <c r="N857" s="3"/>
      <c r="O857" s="3"/>
      <c r="P857" s="4"/>
      <c r="Q857" s="4"/>
      <c r="R857" s="3"/>
      <c r="S857" s="4"/>
      <c r="T857" s="5"/>
      <c r="U857" s="4"/>
      <c r="V857" s="4"/>
      <c r="W857" s="4"/>
      <c r="X857" s="67"/>
      <c r="Y857" s="67"/>
      <c r="Z857" s="67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3"/>
      <c r="M858" s="4"/>
      <c r="N858" s="3"/>
      <c r="O858" s="3"/>
      <c r="P858" s="4"/>
      <c r="Q858" s="4"/>
      <c r="R858" s="3"/>
      <c r="S858" s="4"/>
      <c r="T858" s="5"/>
      <c r="U858" s="4"/>
      <c r="V858" s="4"/>
      <c r="W858" s="4"/>
      <c r="X858" s="67"/>
      <c r="Y858" s="67"/>
      <c r="Z858" s="67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3"/>
      <c r="M859" s="4"/>
      <c r="N859" s="3"/>
      <c r="O859" s="3"/>
      <c r="P859" s="4"/>
      <c r="Q859" s="4"/>
      <c r="R859" s="3"/>
      <c r="S859" s="4"/>
      <c r="T859" s="5"/>
      <c r="U859" s="4"/>
      <c r="V859" s="4"/>
      <c r="W859" s="4"/>
      <c r="X859" s="67"/>
      <c r="Y859" s="67"/>
      <c r="Z859" s="67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3"/>
      <c r="M860" s="4"/>
      <c r="N860" s="3"/>
      <c r="O860" s="3"/>
      <c r="P860" s="4"/>
      <c r="Q860" s="4"/>
      <c r="R860" s="3"/>
      <c r="S860" s="4"/>
      <c r="T860" s="5"/>
      <c r="U860" s="4"/>
      <c r="V860" s="4"/>
      <c r="W860" s="4"/>
      <c r="X860" s="67"/>
      <c r="Y860" s="67"/>
      <c r="Z860" s="67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3"/>
      <c r="M861" s="4"/>
      <c r="N861" s="3"/>
      <c r="O861" s="3"/>
      <c r="P861" s="4"/>
      <c r="Q861" s="4"/>
      <c r="R861" s="3"/>
      <c r="S861" s="4"/>
      <c r="T861" s="5"/>
      <c r="U861" s="4"/>
      <c r="V861" s="4"/>
      <c r="W861" s="4"/>
      <c r="X861" s="67"/>
      <c r="Y861" s="67"/>
      <c r="Z861" s="67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3"/>
      <c r="M862" s="4"/>
      <c r="N862" s="3"/>
      <c r="O862" s="3"/>
      <c r="P862" s="4"/>
      <c r="Q862" s="4"/>
      <c r="R862" s="3"/>
      <c r="S862" s="4"/>
      <c r="T862" s="5"/>
      <c r="U862" s="4"/>
      <c r="V862" s="4"/>
      <c r="W862" s="4"/>
      <c r="X862" s="67"/>
      <c r="Y862" s="67"/>
      <c r="Z862" s="67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3"/>
      <c r="M863" s="4"/>
      <c r="N863" s="3"/>
      <c r="O863" s="3"/>
      <c r="P863" s="4"/>
      <c r="Q863" s="4"/>
      <c r="R863" s="3"/>
      <c r="S863" s="4"/>
      <c r="T863" s="5"/>
      <c r="U863" s="4"/>
      <c r="V863" s="4"/>
      <c r="W863" s="4"/>
      <c r="X863" s="67"/>
      <c r="Y863" s="67"/>
      <c r="Z863" s="67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3"/>
      <c r="M864" s="4"/>
      <c r="N864" s="3"/>
      <c r="O864" s="3"/>
      <c r="P864" s="4"/>
      <c r="Q864" s="4"/>
      <c r="R864" s="3"/>
      <c r="S864" s="4"/>
      <c r="T864" s="5"/>
      <c r="U864" s="4"/>
      <c r="V864" s="4"/>
      <c r="W864" s="4"/>
      <c r="X864" s="67"/>
      <c r="Y864" s="67"/>
      <c r="Z864" s="67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3"/>
      <c r="M865" s="4"/>
      <c r="N865" s="3"/>
      <c r="O865" s="3"/>
      <c r="P865" s="4"/>
      <c r="Q865" s="4"/>
      <c r="R865" s="3"/>
      <c r="S865" s="4"/>
      <c r="T865" s="5"/>
      <c r="U865" s="4"/>
      <c r="V865" s="4"/>
      <c r="W865" s="4"/>
      <c r="X865" s="67"/>
      <c r="Y865" s="67"/>
      <c r="Z865" s="67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3"/>
      <c r="M866" s="4"/>
      <c r="N866" s="3"/>
      <c r="O866" s="3"/>
      <c r="P866" s="4"/>
      <c r="Q866" s="4"/>
      <c r="R866" s="3"/>
      <c r="S866" s="4"/>
      <c r="T866" s="5"/>
      <c r="U866" s="4"/>
      <c r="V866" s="4"/>
      <c r="W866" s="4"/>
      <c r="X866" s="67"/>
      <c r="Y866" s="67"/>
      <c r="Z866" s="67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3"/>
      <c r="M867" s="4"/>
      <c r="N867" s="3"/>
      <c r="O867" s="3"/>
      <c r="P867" s="4"/>
      <c r="Q867" s="4"/>
      <c r="R867" s="3"/>
      <c r="S867" s="4"/>
      <c r="T867" s="5"/>
      <c r="U867" s="4"/>
      <c r="V867" s="4"/>
      <c r="W867" s="4"/>
      <c r="X867" s="67"/>
      <c r="Y867" s="67"/>
      <c r="Z867" s="67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3"/>
      <c r="M868" s="4"/>
      <c r="N868" s="3"/>
      <c r="O868" s="3"/>
      <c r="P868" s="4"/>
      <c r="Q868" s="4"/>
      <c r="R868" s="3"/>
      <c r="S868" s="4"/>
      <c r="T868" s="5"/>
      <c r="U868" s="4"/>
      <c r="V868" s="4"/>
      <c r="W868" s="4"/>
      <c r="X868" s="67"/>
      <c r="Y868" s="67"/>
      <c r="Z868" s="67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3"/>
      <c r="M869" s="4"/>
      <c r="N869" s="3"/>
      <c r="O869" s="3"/>
      <c r="P869" s="4"/>
      <c r="Q869" s="4"/>
      <c r="R869" s="3"/>
      <c r="S869" s="4"/>
      <c r="T869" s="5"/>
      <c r="U869" s="4"/>
      <c r="V869" s="4"/>
      <c r="W869" s="4"/>
      <c r="X869" s="67"/>
      <c r="Y869" s="67"/>
      <c r="Z869" s="67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3"/>
      <c r="M870" s="4"/>
      <c r="N870" s="3"/>
      <c r="O870" s="3"/>
      <c r="P870" s="4"/>
      <c r="Q870" s="4"/>
      <c r="R870" s="3"/>
      <c r="S870" s="4"/>
      <c r="T870" s="5"/>
      <c r="U870" s="4"/>
      <c r="V870" s="4"/>
      <c r="W870" s="4"/>
      <c r="X870" s="67"/>
      <c r="Y870" s="67"/>
      <c r="Z870" s="67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3"/>
      <c r="M871" s="4"/>
      <c r="N871" s="3"/>
      <c r="O871" s="3"/>
      <c r="P871" s="4"/>
      <c r="Q871" s="4"/>
      <c r="R871" s="3"/>
      <c r="S871" s="4"/>
      <c r="T871" s="5"/>
      <c r="U871" s="4"/>
      <c r="V871" s="4"/>
      <c r="W871" s="4"/>
      <c r="X871" s="67"/>
      <c r="Y871" s="67"/>
      <c r="Z871" s="67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3"/>
      <c r="M872" s="4"/>
      <c r="N872" s="3"/>
      <c r="O872" s="3"/>
      <c r="P872" s="4"/>
      <c r="Q872" s="4"/>
      <c r="R872" s="3"/>
      <c r="S872" s="4"/>
      <c r="T872" s="5"/>
      <c r="U872" s="4"/>
      <c r="V872" s="4"/>
      <c r="W872" s="4"/>
      <c r="X872" s="67"/>
      <c r="Y872" s="67"/>
      <c r="Z872" s="67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3"/>
      <c r="M873" s="4"/>
      <c r="N873" s="3"/>
      <c r="O873" s="3"/>
      <c r="P873" s="4"/>
      <c r="Q873" s="4"/>
      <c r="R873" s="3"/>
      <c r="S873" s="4"/>
      <c r="T873" s="5"/>
      <c r="U873" s="4"/>
      <c r="V873" s="4"/>
      <c r="W873" s="4"/>
      <c r="X873" s="67"/>
      <c r="Y873" s="67"/>
      <c r="Z873" s="67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3"/>
      <c r="M874" s="4"/>
      <c r="N874" s="3"/>
      <c r="O874" s="3"/>
      <c r="P874" s="4"/>
      <c r="Q874" s="4"/>
      <c r="R874" s="3"/>
      <c r="S874" s="4"/>
      <c r="T874" s="5"/>
      <c r="U874" s="4"/>
      <c r="V874" s="4"/>
      <c r="W874" s="4"/>
      <c r="X874" s="67"/>
      <c r="Y874" s="67"/>
      <c r="Z874" s="67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3"/>
      <c r="M875" s="4"/>
      <c r="N875" s="3"/>
      <c r="O875" s="3"/>
      <c r="P875" s="4"/>
      <c r="Q875" s="4"/>
      <c r="R875" s="3"/>
      <c r="S875" s="4"/>
      <c r="T875" s="5"/>
      <c r="U875" s="4"/>
      <c r="V875" s="4"/>
      <c r="W875" s="4"/>
      <c r="X875" s="67"/>
      <c r="Y875" s="67"/>
      <c r="Z875" s="67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3"/>
      <c r="M876" s="4"/>
      <c r="N876" s="3"/>
      <c r="O876" s="3"/>
      <c r="P876" s="4"/>
      <c r="Q876" s="4"/>
      <c r="R876" s="3"/>
      <c r="S876" s="4"/>
      <c r="T876" s="5"/>
      <c r="U876" s="4"/>
      <c r="V876" s="4"/>
      <c r="W876" s="4"/>
      <c r="X876" s="67"/>
      <c r="Y876" s="67"/>
      <c r="Z876" s="67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4"/>
      <c r="N877" s="3"/>
      <c r="O877" s="3"/>
      <c r="P877" s="4"/>
      <c r="Q877" s="4"/>
      <c r="R877" s="3"/>
      <c r="S877" s="4"/>
      <c r="T877" s="5"/>
      <c r="U877" s="4"/>
      <c r="V877" s="4"/>
      <c r="W877" s="4"/>
      <c r="X877" s="67"/>
      <c r="Y877" s="67"/>
      <c r="Z877" s="67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3"/>
      <c r="M878" s="4"/>
      <c r="N878" s="3"/>
      <c r="O878" s="3"/>
      <c r="P878" s="4"/>
      <c r="Q878" s="4"/>
      <c r="R878" s="3"/>
      <c r="S878" s="4"/>
      <c r="T878" s="5"/>
      <c r="U878" s="4"/>
      <c r="V878" s="4"/>
      <c r="W878" s="4"/>
      <c r="X878" s="67"/>
      <c r="Y878" s="67"/>
      <c r="Z878" s="67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3"/>
      <c r="M879" s="4"/>
      <c r="N879" s="3"/>
      <c r="O879" s="3"/>
      <c r="P879" s="4"/>
      <c r="Q879" s="4"/>
      <c r="R879" s="3"/>
      <c r="S879" s="4"/>
      <c r="T879" s="5"/>
      <c r="U879" s="4"/>
      <c r="V879" s="4"/>
      <c r="W879" s="4"/>
      <c r="X879" s="67"/>
      <c r="Y879" s="67"/>
      <c r="Z879" s="67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3"/>
      <c r="M880" s="4"/>
      <c r="N880" s="3"/>
      <c r="O880" s="3"/>
      <c r="P880" s="4"/>
      <c r="Q880" s="4"/>
      <c r="R880" s="3"/>
      <c r="S880" s="4"/>
      <c r="T880" s="5"/>
      <c r="U880" s="4"/>
      <c r="V880" s="4"/>
      <c r="W880" s="4"/>
      <c r="X880" s="67"/>
      <c r="Y880" s="67"/>
      <c r="Z880" s="67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3"/>
      <c r="M881" s="4"/>
      <c r="N881" s="3"/>
      <c r="O881" s="3"/>
      <c r="P881" s="4"/>
      <c r="Q881" s="4"/>
      <c r="R881" s="3"/>
      <c r="S881" s="4"/>
      <c r="T881" s="5"/>
      <c r="U881" s="4"/>
      <c r="V881" s="4"/>
      <c r="W881" s="4"/>
      <c r="X881" s="67"/>
      <c r="Y881" s="67"/>
      <c r="Z881" s="67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3"/>
      <c r="M882" s="4"/>
      <c r="N882" s="3"/>
      <c r="O882" s="3"/>
      <c r="P882" s="4"/>
      <c r="Q882" s="4"/>
      <c r="R882" s="3"/>
      <c r="S882" s="4"/>
      <c r="T882" s="5"/>
      <c r="U882" s="4"/>
      <c r="V882" s="4"/>
      <c r="W882" s="4"/>
      <c r="X882" s="67"/>
      <c r="Y882" s="67"/>
      <c r="Z882" s="67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3"/>
      <c r="M883" s="4"/>
      <c r="N883" s="3"/>
      <c r="O883" s="3"/>
      <c r="P883" s="4"/>
      <c r="Q883" s="4"/>
      <c r="R883" s="3"/>
      <c r="S883" s="4"/>
      <c r="T883" s="5"/>
      <c r="U883" s="4"/>
      <c r="V883" s="4"/>
      <c r="W883" s="4"/>
      <c r="X883" s="67"/>
      <c r="Y883" s="67"/>
      <c r="Z883" s="67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3"/>
      <c r="M884" s="4"/>
      <c r="N884" s="3"/>
      <c r="O884" s="3"/>
      <c r="P884" s="4"/>
      <c r="Q884" s="4"/>
      <c r="R884" s="3"/>
      <c r="S884" s="4"/>
      <c r="T884" s="5"/>
      <c r="U884" s="4"/>
      <c r="V884" s="4"/>
      <c r="W884" s="4"/>
      <c r="X884" s="67"/>
      <c r="Y884" s="67"/>
      <c r="Z884" s="67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3"/>
      <c r="M885" s="4"/>
      <c r="N885" s="3"/>
      <c r="O885" s="3"/>
      <c r="P885" s="4"/>
      <c r="Q885" s="4"/>
      <c r="R885" s="3"/>
      <c r="S885" s="4"/>
      <c r="T885" s="5"/>
      <c r="U885" s="4"/>
      <c r="V885" s="4"/>
      <c r="W885" s="4"/>
      <c r="X885" s="67"/>
      <c r="Y885" s="67"/>
      <c r="Z885" s="67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3"/>
      <c r="M886" s="4"/>
      <c r="N886" s="3"/>
      <c r="O886" s="3"/>
      <c r="P886" s="4"/>
      <c r="Q886" s="4"/>
      <c r="R886" s="3"/>
      <c r="S886" s="4"/>
      <c r="T886" s="5"/>
      <c r="U886" s="4"/>
      <c r="V886" s="4"/>
      <c r="W886" s="4"/>
      <c r="X886" s="67"/>
      <c r="Y886" s="67"/>
      <c r="Z886" s="67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3"/>
      <c r="M887" s="4"/>
      <c r="N887" s="3"/>
      <c r="O887" s="3"/>
      <c r="P887" s="4"/>
      <c r="Q887" s="4"/>
      <c r="R887" s="3"/>
      <c r="S887" s="4"/>
      <c r="T887" s="5"/>
      <c r="U887" s="4"/>
      <c r="V887" s="4"/>
      <c r="W887" s="4"/>
      <c r="X887" s="67"/>
      <c r="Y887" s="67"/>
      <c r="Z887" s="67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3"/>
      <c r="M888" s="4"/>
      <c r="N888" s="3"/>
      <c r="O888" s="3"/>
      <c r="P888" s="4"/>
      <c r="Q888" s="4"/>
      <c r="R888" s="3"/>
      <c r="S888" s="4"/>
      <c r="T888" s="5"/>
      <c r="U888" s="4"/>
      <c r="V888" s="4"/>
      <c r="W888" s="4"/>
      <c r="X888" s="67"/>
      <c r="Y888" s="67"/>
      <c r="Z888" s="67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3"/>
      <c r="M889" s="4"/>
      <c r="N889" s="3"/>
      <c r="O889" s="3"/>
      <c r="P889" s="4"/>
      <c r="Q889" s="4"/>
      <c r="R889" s="3"/>
      <c r="S889" s="4"/>
      <c r="T889" s="5"/>
      <c r="U889" s="4"/>
      <c r="V889" s="4"/>
      <c r="W889" s="4"/>
      <c r="X889" s="67"/>
      <c r="Y889" s="67"/>
      <c r="Z889" s="67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3"/>
      <c r="M890" s="4"/>
      <c r="N890" s="3"/>
      <c r="O890" s="3"/>
      <c r="P890" s="4"/>
      <c r="Q890" s="4"/>
      <c r="R890" s="3"/>
      <c r="S890" s="4"/>
      <c r="T890" s="5"/>
      <c r="U890" s="4"/>
      <c r="V890" s="4"/>
      <c r="W890" s="4"/>
      <c r="X890" s="67"/>
      <c r="Y890" s="67"/>
      <c r="Z890" s="67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3"/>
      <c r="M891" s="4"/>
      <c r="N891" s="3"/>
      <c r="O891" s="3"/>
      <c r="P891" s="4"/>
      <c r="Q891" s="4"/>
      <c r="R891" s="3"/>
      <c r="S891" s="4"/>
      <c r="T891" s="5"/>
      <c r="U891" s="4"/>
      <c r="V891" s="4"/>
      <c r="W891" s="4"/>
      <c r="X891" s="67"/>
      <c r="Y891" s="67"/>
      <c r="Z891" s="67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3"/>
      <c r="M892" s="4"/>
      <c r="N892" s="3"/>
      <c r="O892" s="3"/>
      <c r="P892" s="4"/>
      <c r="Q892" s="4"/>
      <c r="R892" s="3"/>
      <c r="S892" s="4"/>
      <c r="T892" s="5"/>
      <c r="U892" s="4"/>
      <c r="V892" s="4"/>
      <c r="W892" s="4"/>
      <c r="X892" s="67"/>
      <c r="Y892" s="67"/>
      <c r="Z892" s="67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3"/>
      <c r="M893" s="4"/>
      <c r="N893" s="3"/>
      <c r="O893" s="3"/>
      <c r="P893" s="4"/>
      <c r="Q893" s="4"/>
      <c r="R893" s="3"/>
      <c r="S893" s="4"/>
      <c r="T893" s="5"/>
      <c r="U893" s="4"/>
      <c r="V893" s="4"/>
      <c r="W893" s="4"/>
      <c r="X893" s="67"/>
      <c r="Y893" s="67"/>
      <c r="Z893" s="67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3"/>
      <c r="M894" s="4"/>
      <c r="N894" s="3"/>
      <c r="O894" s="3"/>
      <c r="P894" s="4"/>
      <c r="Q894" s="4"/>
      <c r="R894" s="3"/>
      <c r="S894" s="4"/>
      <c r="T894" s="5"/>
      <c r="U894" s="4"/>
      <c r="V894" s="4"/>
      <c r="W894" s="4"/>
      <c r="X894" s="67"/>
      <c r="Y894" s="67"/>
      <c r="Z894" s="67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3"/>
      <c r="M895" s="4"/>
      <c r="N895" s="3"/>
      <c r="O895" s="3"/>
      <c r="P895" s="4"/>
      <c r="Q895" s="4"/>
      <c r="R895" s="3"/>
      <c r="S895" s="4"/>
      <c r="T895" s="5"/>
      <c r="U895" s="4"/>
      <c r="V895" s="4"/>
      <c r="W895" s="4"/>
      <c r="X895" s="67"/>
      <c r="Y895" s="67"/>
      <c r="Z895" s="67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3"/>
      <c r="M896" s="4"/>
      <c r="N896" s="3"/>
      <c r="O896" s="3"/>
      <c r="P896" s="4"/>
      <c r="Q896" s="4"/>
      <c r="R896" s="3"/>
      <c r="S896" s="4"/>
      <c r="T896" s="5"/>
      <c r="U896" s="4"/>
      <c r="V896" s="4"/>
      <c r="W896" s="4"/>
      <c r="X896" s="67"/>
      <c r="Y896" s="67"/>
      <c r="Z896" s="67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3"/>
      <c r="M897" s="4"/>
      <c r="N897" s="3"/>
      <c r="O897" s="3"/>
      <c r="P897" s="4"/>
      <c r="Q897" s="4"/>
      <c r="R897" s="3"/>
      <c r="S897" s="4"/>
      <c r="T897" s="5"/>
      <c r="U897" s="4"/>
      <c r="V897" s="4"/>
      <c r="W897" s="4"/>
      <c r="X897" s="67"/>
      <c r="Y897" s="67"/>
      <c r="Z897" s="67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3"/>
      <c r="M898" s="4"/>
      <c r="N898" s="3"/>
      <c r="O898" s="3"/>
      <c r="P898" s="4"/>
      <c r="Q898" s="4"/>
      <c r="R898" s="3"/>
      <c r="S898" s="4"/>
      <c r="T898" s="5"/>
      <c r="U898" s="4"/>
      <c r="V898" s="4"/>
      <c r="W898" s="4"/>
      <c r="X898" s="67"/>
      <c r="Y898" s="67"/>
      <c r="Z898" s="67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3"/>
      <c r="M899" s="4"/>
      <c r="N899" s="3"/>
      <c r="O899" s="3"/>
      <c r="P899" s="4"/>
      <c r="Q899" s="4"/>
      <c r="R899" s="3"/>
      <c r="S899" s="4"/>
      <c r="T899" s="5"/>
      <c r="U899" s="4"/>
      <c r="V899" s="4"/>
      <c r="W899" s="4"/>
      <c r="X899" s="67"/>
      <c r="Y899" s="67"/>
      <c r="Z899" s="67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3"/>
      <c r="M900" s="4"/>
      <c r="N900" s="3"/>
      <c r="O900" s="3"/>
      <c r="P900" s="4"/>
      <c r="Q900" s="4"/>
      <c r="R900" s="3"/>
      <c r="S900" s="4"/>
      <c r="T900" s="5"/>
      <c r="U900" s="4"/>
      <c r="V900" s="4"/>
      <c r="W900" s="4"/>
      <c r="X900" s="67"/>
      <c r="Y900" s="67"/>
      <c r="Z900" s="67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3"/>
      <c r="M901" s="4"/>
      <c r="N901" s="3"/>
      <c r="O901" s="3"/>
      <c r="P901" s="4"/>
      <c r="Q901" s="4"/>
      <c r="R901" s="3"/>
      <c r="S901" s="4"/>
      <c r="T901" s="5"/>
      <c r="U901" s="4"/>
      <c r="V901" s="4"/>
      <c r="W901" s="4"/>
      <c r="X901" s="67"/>
      <c r="Y901" s="67"/>
      <c r="Z901" s="67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3"/>
      <c r="M902" s="4"/>
      <c r="N902" s="3"/>
      <c r="O902" s="3"/>
      <c r="P902" s="4"/>
      <c r="Q902" s="4"/>
      <c r="R902" s="3"/>
      <c r="S902" s="4"/>
      <c r="T902" s="5"/>
      <c r="U902" s="4"/>
      <c r="V902" s="4"/>
      <c r="W902" s="4"/>
      <c r="X902" s="67"/>
      <c r="Y902" s="67"/>
      <c r="Z902" s="67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3"/>
      <c r="M903" s="4"/>
      <c r="N903" s="3"/>
      <c r="O903" s="3"/>
      <c r="P903" s="4"/>
      <c r="Q903" s="4"/>
      <c r="R903" s="3"/>
      <c r="S903" s="4"/>
      <c r="T903" s="5"/>
      <c r="U903" s="4"/>
      <c r="V903" s="4"/>
      <c r="W903" s="4"/>
      <c r="X903" s="67"/>
      <c r="Y903" s="67"/>
      <c r="Z903" s="67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3"/>
      <c r="M904" s="4"/>
      <c r="N904" s="3"/>
      <c r="O904" s="3"/>
      <c r="P904" s="4"/>
      <c r="Q904" s="4"/>
      <c r="R904" s="3"/>
      <c r="S904" s="4"/>
      <c r="T904" s="5"/>
      <c r="U904" s="4"/>
      <c r="V904" s="4"/>
      <c r="W904" s="4"/>
      <c r="X904" s="67"/>
      <c r="Y904" s="67"/>
      <c r="Z904" s="67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3"/>
      <c r="M905" s="4"/>
      <c r="N905" s="3"/>
      <c r="O905" s="3"/>
      <c r="P905" s="4"/>
      <c r="Q905" s="4"/>
      <c r="R905" s="3"/>
      <c r="S905" s="4"/>
      <c r="T905" s="5"/>
      <c r="U905" s="4"/>
      <c r="V905" s="4"/>
      <c r="W905" s="4"/>
      <c r="X905" s="67"/>
      <c r="Y905" s="67"/>
      <c r="Z905" s="67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3"/>
      <c r="M906" s="4"/>
      <c r="N906" s="3"/>
      <c r="O906" s="3"/>
      <c r="P906" s="4"/>
      <c r="Q906" s="4"/>
      <c r="R906" s="3"/>
      <c r="S906" s="4"/>
      <c r="T906" s="5"/>
      <c r="U906" s="4"/>
      <c r="V906" s="4"/>
      <c r="W906" s="4"/>
      <c r="X906" s="67"/>
      <c r="Y906" s="67"/>
      <c r="Z906" s="67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3"/>
      <c r="M907" s="4"/>
      <c r="N907" s="3"/>
      <c r="O907" s="3"/>
      <c r="P907" s="4"/>
      <c r="Q907" s="4"/>
      <c r="R907" s="3"/>
      <c r="S907" s="4"/>
      <c r="T907" s="5"/>
      <c r="U907" s="4"/>
      <c r="V907" s="4"/>
      <c r="W907" s="4"/>
      <c r="X907" s="67"/>
      <c r="Y907" s="67"/>
      <c r="Z907" s="67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3"/>
      <c r="M908" s="4"/>
      <c r="N908" s="3"/>
      <c r="O908" s="3"/>
      <c r="P908" s="4"/>
      <c r="Q908" s="4"/>
      <c r="R908" s="3"/>
      <c r="S908" s="4"/>
      <c r="T908" s="5"/>
      <c r="U908" s="4"/>
      <c r="V908" s="4"/>
      <c r="W908" s="4"/>
      <c r="X908" s="67"/>
      <c r="Y908" s="67"/>
      <c r="Z908" s="67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3"/>
      <c r="M909" s="4"/>
      <c r="N909" s="3"/>
      <c r="O909" s="3"/>
      <c r="P909" s="4"/>
      <c r="Q909" s="4"/>
      <c r="R909" s="3"/>
      <c r="S909" s="4"/>
      <c r="T909" s="5"/>
      <c r="U909" s="4"/>
      <c r="V909" s="4"/>
      <c r="W909" s="4"/>
      <c r="X909" s="67"/>
      <c r="Y909" s="67"/>
      <c r="Z909" s="67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3"/>
      <c r="M910" s="4"/>
      <c r="N910" s="3"/>
      <c r="O910" s="3"/>
      <c r="P910" s="4"/>
      <c r="Q910" s="4"/>
      <c r="R910" s="3"/>
      <c r="S910" s="4"/>
      <c r="T910" s="5"/>
      <c r="U910" s="4"/>
      <c r="V910" s="4"/>
      <c r="W910" s="4"/>
      <c r="X910" s="67"/>
      <c r="Y910" s="67"/>
      <c r="Z910" s="67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3"/>
      <c r="M911" s="4"/>
      <c r="N911" s="3"/>
      <c r="O911" s="3"/>
      <c r="P911" s="4"/>
      <c r="Q911" s="4"/>
      <c r="R911" s="3"/>
      <c r="S911" s="4"/>
      <c r="T911" s="5"/>
      <c r="U911" s="4"/>
      <c r="V911" s="4"/>
      <c r="W911" s="4"/>
      <c r="X911" s="67"/>
      <c r="Y911" s="67"/>
      <c r="Z911" s="67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3"/>
      <c r="M912" s="4"/>
      <c r="N912" s="3"/>
      <c r="O912" s="3"/>
      <c r="P912" s="4"/>
      <c r="Q912" s="4"/>
      <c r="R912" s="3"/>
      <c r="S912" s="4"/>
      <c r="T912" s="5"/>
      <c r="U912" s="4"/>
      <c r="V912" s="4"/>
      <c r="W912" s="4"/>
      <c r="X912" s="67"/>
      <c r="Y912" s="67"/>
      <c r="Z912" s="67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3"/>
      <c r="M913" s="4"/>
      <c r="N913" s="3"/>
      <c r="O913" s="3"/>
      <c r="P913" s="4"/>
      <c r="Q913" s="4"/>
      <c r="R913" s="3"/>
      <c r="S913" s="4"/>
      <c r="T913" s="5"/>
      <c r="U913" s="4"/>
      <c r="V913" s="4"/>
      <c r="W913" s="4"/>
      <c r="X913" s="67"/>
      <c r="Y913" s="67"/>
      <c r="Z913" s="67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3"/>
      <c r="M914" s="4"/>
      <c r="N914" s="3"/>
      <c r="O914" s="3"/>
      <c r="P914" s="4"/>
      <c r="Q914" s="4"/>
      <c r="R914" s="3"/>
      <c r="S914" s="4"/>
      <c r="T914" s="5"/>
      <c r="U914" s="4"/>
      <c r="V914" s="4"/>
      <c r="W914" s="4"/>
      <c r="X914" s="67"/>
      <c r="Y914" s="67"/>
      <c r="Z914" s="67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3"/>
      <c r="M915" s="4"/>
      <c r="N915" s="3"/>
      <c r="O915" s="3"/>
      <c r="P915" s="4"/>
      <c r="Q915" s="4"/>
      <c r="R915" s="3"/>
      <c r="S915" s="4"/>
      <c r="T915" s="5"/>
      <c r="U915" s="4"/>
      <c r="V915" s="4"/>
      <c r="W915" s="4"/>
      <c r="X915" s="67"/>
      <c r="Y915" s="67"/>
      <c r="Z915" s="67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3"/>
      <c r="M916" s="4"/>
      <c r="N916" s="3"/>
      <c r="O916" s="3"/>
      <c r="P916" s="4"/>
      <c r="Q916" s="4"/>
      <c r="R916" s="3"/>
      <c r="S916" s="4"/>
      <c r="T916" s="5"/>
      <c r="U916" s="4"/>
      <c r="V916" s="4"/>
      <c r="W916" s="4"/>
      <c r="X916" s="67"/>
      <c r="Y916" s="67"/>
      <c r="Z916" s="67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3"/>
      <c r="M917" s="4"/>
      <c r="N917" s="3"/>
      <c r="O917" s="3"/>
      <c r="P917" s="4"/>
      <c r="Q917" s="4"/>
      <c r="R917" s="3"/>
      <c r="S917" s="4"/>
      <c r="T917" s="5"/>
      <c r="U917" s="4"/>
      <c r="V917" s="4"/>
      <c r="W917" s="4"/>
      <c r="X917" s="67"/>
      <c r="Y917" s="67"/>
      <c r="Z917" s="67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3"/>
      <c r="M918" s="4"/>
      <c r="N918" s="3"/>
      <c r="O918" s="3"/>
      <c r="P918" s="4"/>
      <c r="Q918" s="4"/>
      <c r="R918" s="3"/>
      <c r="S918" s="4"/>
      <c r="T918" s="5"/>
      <c r="U918" s="4"/>
      <c r="V918" s="4"/>
      <c r="W918" s="4"/>
      <c r="X918" s="67"/>
      <c r="Y918" s="67"/>
      <c r="Z918" s="67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3"/>
      <c r="M919" s="4"/>
      <c r="N919" s="3"/>
      <c r="O919" s="3"/>
      <c r="P919" s="4"/>
      <c r="Q919" s="4"/>
      <c r="R919" s="3"/>
      <c r="S919" s="4"/>
      <c r="T919" s="5"/>
      <c r="U919" s="4"/>
      <c r="V919" s="4"/>
      <c r="W919" s="4"/>
      <c r="X919" s="67"/>
      <c r="Y919" s="67"/>
      <c r="Z919" s="67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3"/>
      <c r="M920" s="4"/>
      <c r="N920" s="3"/>
      <c r="O920" s="3"/>
      <c r="P920" s="4"/>
      <c r="Q920" s="4"/>
      <c r="R920" s="3"/>
      <c r="S920" s="4"/>
      <c r="T920" s="5"/>
      <c r="U920" s="4"/>
      <c r="V920" s="4"/>
      <c r="W920" s="4"/>
      <c r="X920" s="67"/>
      <c r="Y920" s="67"/>
      <c r="Z920" s="67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3"/>
      <c r="M921" s="4"/>
      <c r="N921" s="3"/>
      <c r="O921" s="3"/>
      <c r="P921" s="4"/>
      <c r="Q921" s="4"/>
      <c r="R921" s="3"/>
      <c r="S921" s="4"/>
      <c r="T921" s="5"/>
      <c r="U921" s="4"/>
      <c r="V921" s="4"/>
      <c r="W921" s="4"/>
      <c r="X921" s="67"/>
      <c r="Y921" s="67"/>
      <c r="Z921" s="67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3"/>
      <c r="M922" s="4"/>
      <c r="N922" s="3"/>
      <c r="O922" s="3"/>
      <c r="P922" s="4"/>
      <c r="Q922" s="4"/>
      <c r="R922" s="3"/>
      <c r="S922" s="4"/>
      <c r="T922" s="5"/>
      <c r="U922" s="4"/>
      <c r="V922" s="4"/>
      <c r="W922" s="4"/>
      <c r="X922" s="67"/>
      <c r="Y922" s="67"/>
      <c r="Z922" s="67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3"/>
      <c r="M923" s="4"/>
      <c r="N923" s="3"/>
      <c r="O923" s="3"/>
      <c r="P923" s="4"/>
      <c r="Q923" s="4"/>
      <c r="R923" s="3"/>
      <c r="S923" s="4"/>
      <c r="T923" s="5"/>
      <c r="U923" s="4"/>
      <c r="V923" s="4"/>
      <c r="W923" s="4"/>
      <c r="X923" s="67"/>
      <c r="Y923" s="67"/>
      <c r="Z923" s="67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3"/>
      <c r="M924" s="4"/>
      <c r="N924" s="3"/>
      <c r="O924" s="3"/>
      <c r="P924" s="4"/>
      <c r="Q924" s="4"/>
      <c r="R924" s="3"/>
      <c r="S924" s="4"/>
      <c r="T924" s="5"/>
      <c r="U924" s="4"/>
      <c r="V924" s="4"/>
      <c r="W924" s="4"/>
      <c r="X924" s="67"/>
      <c r="Y924" s="67"/>
      <c r="Z924" s="67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3"/>
      <c r="M925" s="4"/>
      <c r="N925" s="3"/>
      <c r="O925" s="3"/>
      <c r="P925" s="4"/>
      <c r="Q925" s="4"/>
      <c r="R925" s="3"/>
      <c r="S925" s="4"/>
      <c r="T925" s="5"/>
      <c r="U925" s="4"/>
      <c r="V925" s="4"/>
      <c r="W925" s="4"/>
      <c r="X925" s="67"/>
      <c r="Y925" s="67"/>
      <c r="Z925" s="67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3"/>
      <c r="M926" s="4"/>
      <c r="N926" s="3"/>
      <c r="O926" s="3"/>
      <c r="P926" s="4"/>
      <c r="Q926" s="4"/>
      <c r="R926" s="3"/>
      <c r="S926" s="4"/>
      <c r="T926" s="5"/>
      <c r="U926" s="4"/>
      <c r="V926" s="4"/>
      <c r="W926" s="4"/>
      <c r="X926" s="67"/>
      <c r="Y926" s="67"/>
      <c r="Z926" s="67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3"/>
      <c r="M927" s="4"/>
      <c r="N927" s="3"/>
      <c r="O927" s="3"/>
      <c r="P927" s="4"/>
      <c r="Q927" s="4"/>
      <c r="R927" s="3"/>
      <c r="S927" s="4"/>
      <c r="T927" s="5"/>
      <c r="U927" s="4"/>
      <c r="V927" s="4"/>
      <c r="W927" s="4"/>
      <c r="X927" s="67"/>
      <c r="Y927" s="67"/>
      <c r="Z927" s="67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4"/>
      <c r="N928" s="3"/>
      <c r="O928" s="3"/>
      <c r="P928" s="4"/>
      <c r="Q928" s="4"/>
      <c r="R928" s="3"/>
      <c r="S928" s="4"/>
      <c r="T928" s="5"/>
      <c r="U928" s="4"/>
      <c r="V928" s="4"/>
      <c r="W928" s="4"/>
      <c r="X928" s="67"/>
      <c r="Y928" s="67"/>
      <c r="Z928" s="67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4"/>
      <c r="N929" s="3"/>
      <c r="O929" s="3"/>
      <c r="P929" s="4"/>
      <c r="Q929" s="4"/>
      <c r="R929" s="3"/>
      <c r="S929" s="4"/>
      <c r="T929" s="5"/>
      <c r="U929" s="4"/>
      <c r="V929" s="4"/>
      <c r="W929" s="4"/>
      <c r="X929" s="67"/>
      <c r="Y929" s="67"/>
      <c r="Z929" s="67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4"/>
      <c r="N930" s="3"/>
      <c r="O930" s="3"/>
      <c r="P930" s="4"/>
      <c r="Q930" s="4"/>
      <c r="R930" s="3"/>
      <c r="S930" s="4"/>
      <c r="T930" s="5"/>
      <c r="U930" s="4"/>
      <c r="V930" s="4"/>
      <c r="W930" s="4"/>
      <c r="X930" s="67"/>
      <c r="Y930" s="67"/>
      <c r="Z930" s="67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4"/>
      <c r="N931" s="3"/>
      <c r="O931" s="3"/>
      <c r="P931" s="4"/>
      <c r="Q931" s="4"/>
      <c r="R931" s="3"/>
      <c r="S931" s="4"/>
      <c r="T931" s="5"/>
      <c r="U931" s="4"/>
      <c r="V931" s="4"/>
      <c r="W931" s="4"/>
      <c r="X931" s="67"/>
      <c r="Y931" s="67"/>
      <c r="Z931" s="67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4"/>
      <c r="N932" s="3"/>
      <c r="O932" s="3"/>
      <c r="P932" s="4"/>
      <c r="Q932" s="4"/>
      <c r="R932" s="3"/>
      <c r="S932" s="4"/>
      <c r="T932" s="5"/>
      <c r="U932" s="4"/>
      <c r="V932" s="4"/>
      <c r="W932" s="4"/>
      <c r="X932" s="67"/>
      <c r="Y932" s="67"/>
      <c r="Z932" s="67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4"/>
      <c r="N933" s="3"/>
      <c r="O933" s="3"/>
      <c r="P933" s="4"/>
      <c r="Q933" s="4"/>
      <c r="R933" s="3"/>
      <c r="S933" s="4"/>
      <c r="T933" s="5"/>
      <c r="U933" s="4"/>
      <c r="V933" s="4"/>
      <c r="W933" s="4"/>
      <c r="X933" s="67"/>
      <c r="Y933" s="67"/>
      <c r="Z933" s="67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4"/>
      <c r="N934" s="3"/>
      <c r="O934" s="3"/>
      <c r="P934" s="4"/>
      <c r="Q934" s="4"/>
      <c r="R934" s="3"/>
      <c r="S934" s="4"/>
      <c r="T934" s="5"/>
      <c r="U934" s="4"/>
      <c r="V934" s="4"/>
      <c r="W934" s="4"/>
      <c r="X934" s="67"/>
      <c r="Y934" s="67"/>
      <c r="Z934" s="67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4"/>
      <c r="N935" s="3"/>
      <c r="O935" s="3"/>
      <c r="P935" s="4"/>
      <c r="Q935" s="4"/>
      <c r="R935" s="3"/>
      <c r="S935" s="4"/>
      <c r="T935" s="5"/>
      <c r="U935" s="4"/>
      <c r="V935" s="4"/>
      <c r="W935" s="4"/>
      <c r="X935" s="67"/>
      <c r="Y935" s="67"/>
      <c r="Z935" s="67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4"/>
      <c r="N936" s="3"/>
      <c r="O936" s="3"/>
      <c r="P936" s="4"/>
      <c r="Q936" s="4"/>
      <c r="R936" s="3"/>
      <c r="S936" s="4"/>
      <c r="T936" s="5"/>
      <c r="U936" s="4"/>
      <c r="V936" s="4"/>
      <c r="W936" s="4"/>
      <c r="X936" s="67"/>
      <c r="Y936" s="67"/>
      <c r="Z936" s="67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3"/>
      <c r="M937" s="4"/>
      <c r="N937" s="3"/>
      <c r="O937" s="3"/>
      <c r="P937" s="4"/>
      <c r="Q937" s="4"/>
      <c r="R937" s="3"/>
      <c r="S937" s="4"/>
      <c r="T937" s="5"/>
      <c r="U937" s="4"/>
      <c r="V937" s="4"/>
      <c r="W937" s="4"/>
      <c r="X937" s="67"/>
      <c r="Y937" s="67"/>
      <c r="Z937" s="67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4"/>
      <c r="N938" s="3"/>
      <c r="O938" s="3"/>
      <c r="P938" s="4"/>
      <c r="Q938" s="4"/>
      <c r="R938" s="3"/>
      <c r="S938" s="4"/>
      <c r="T938" s="5"/>
      <c r="U938" s="4"/>
      <c r="V938" s="4"/>
      <c r="W938" s="4"/>
      <c r="X938" s="67"/>
      <c r="Y938" s="67"/>
      <c r="Z938" s="67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4"/>
      <c r="N939" s="3"/>
      <c r="O939" s="3"/>
      <c r="P939" s="4"/>
      <c r="Q939" s="4"/>
      <c r="R939" s="3"/>
      <c r="S939" s="4"/>
      <c r="T939" s="5"/>
      <c r="U939" s="4"/>
      <c r="V939" s="4"/>
      <c r="W939" s="4"/>
      <c r="X939" s="67"/>
      <c r="Y939" s="67"/>
      <c r="Z939" s="67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3"/>
      <c r="M940" s="4"/>
      <c r="N940" s="3"/>
      <c r="O940" s="3"/>
      <c r="P940" s="4"/>
      <c r="Q940" s="4"/>
      <c r="R940" s="3"/>
      <c r="S940" s="4"/>
      <c r="T940" s="5"/>
      <c r="U940" s="4"/>
      <c r="V940" s="4"/>
      <c r="W940" s="4"/>
      <c r="X940" s="67"/>
      <c r="Y940" s="67"/>
      <c r="Z940" s="67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3"/>
      <c r="M941" s="4"/>
      <c r="N941" s="3"/>
      <c r="O941" s="3"/>
      <c r="P941" s="4"/>
      <c r="Q941" s="4"/>
      <c r="R941" s="3"/>
      <c r="S941" s="4"/>
      <c r="T941" s="5"/>
      <c r="U941" s="4"/>
      <c r="V941" s="4"/>
      <c r="W941" s="4"/>
      <c r="X941" s="67"/>
      <c r="Y941" s="67"/>
      <c r="Z941" s="67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3"/>
      <c r="M942" s="4"/>
      <c r="N942" s="3"/>
      <c r="O942" s="3"/>
      <c r="P942" s="4"/>
      <c r="Q942" s="4"/>
      <c r="R942" s="3"/>
      <c r="S942" s="4"/>
      <c r="T942" s="5"/>
      <c r="U942" s="4"/>
      <c r="V942" s="4"/>
      <c r="W942" s="4"/>
      <c r="X942" s="67"/>
      <c r="Y942" s="67"/>
      <c r="Z942" s="67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3"/>
      <c r="M943" s="4"/>
      <c r="N943" s="3"/>
      <c r="O943" s="3"/>
      <c r="P943" s="4"/>
      <c r="Q943" s="4"/>
      <c r="R943" s="3"/>
      <c r="S943" s="4"/>
      <c r="T943" s="5"/>
      <c r="U943" s="4"/>
      <c r="V943" s="4"/>
      <c r="W943" s="4"/>
      <c r="X943" s="67"/>
      <c r="Y943" s="67"/>
      <c r="Z943" s="67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3"/>
      <c r="M944" s="4"/>
      <c r="N944" s="3"/>
      <c r="O944" s="3"/>
      <c r="P944" s="4"/>
      <c r="Q944" s="4"/>
      <c r="R944" s="3"/>
      <c r="S944" s="4"/>
      <c r="T944" s="5"/>
      <c r="U944" s="4"/>
      <c r="V944" s="4"/>
      <c r="W944" s="4"/>
      <c r="X944" s="67"/>
      <c r="Y944" s="67"/>
      <c r="Z944" s="67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3"/>
      <c r="M945" s="4"/>
      <c r="N945" s="3"/>
      <c r="O945" s="3"/>
      <c r="P945" s="4"/>
      <c r="Q945" s="4"/>
      <c r="R945" s="3"/>
      <c r="S945" s="4"/>
      <c r="T945" s="5"/>
      <c r="U945" s="4"/>
      <c r="V945" s="4"/>
      <c r="W945" s="4"/>
      <c r="X945" s="67"/>
      <c r="Y945" s="67"/>
      <c r="Z945" s="67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4"/>
      <c r="N946" s="3"/>
      <c r="O946" s="3"/>
      <c r="P946" s="4"/>
      <c r="Q946" s="4"/>
      <c r="R946" s="3"/>
      <c r="S946" s="4"/>
      <c r="T946" s="5"/>
      <c r="U946" s="4"/>
      <c r="V946" s="4"/>
      <c r="W946" s="4"/>
      <c r="X946" s="67"/>
      <c r="Y946" s="67"/>
      <c r="Z946" s="67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3"/>
      <c r="M947" s="4"/>
      <c r="N947" s="3"/>
      <c r="O947" s="3"/>
      <c r="P947" s="4"/>
      <c r="Q947" s="4"/>
      <c r="R947" s="3"/>
      <c r="S947" s="4"/>
      <c r="T947" s="5"/>
      <c r="U947" s="4"/>
      <c r="V947" s="4"/>
      <c r="W947" s="4"/>
      <c r="X947" s="67"/>
      <c r="Y947" s="67"/>
      <c r="Z947" s="67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/>
      <c r="M948" s="4"/>
      <c r="N948" s="3"/>
      <c r="O948" s="3"/>
      <c r="P948" s="4"/>
      <c r="Q948" s="4"/>
      <c r="R948" s="3"/>
      <c r="S948" s="4"/>
      <c r="T948" s="5"/>
      <c r="U948" s="4"/>
      <c r="V948" s="4"/>
      <c r="W948" s="4"/>
      <c r="X948" s="67"/>
      <c r="Y948" s="67"/>
      <c r="Z948" s="67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3"/>
      <c r="M949" s="4"/>
      <c r="N949" s="3"/>
      <c r="O949" s="3"/>
      <c r="P949" s="4"/>
      <c r="Q949" s="4"/>
      <c r="R949" s="3"/>
      <c r="S949" s="4"/>
      <c r="T949" s="5"/>
      <c r="U949" s="4"/>
      <c r="V949" s="4"/>
      <c r="W949" s="4"/>
      <c r="X949" s="67"/>
      <c r="Y949" s="67"/>
      <c r="Z949" s="67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3"/>
      <c r="M950" s="4"/>
      <c r="N950" s="3"/>
      <c r="O950" s="3"/>
      <c r="P950" s="4"/>
      <c r="Q950" s="4"/>
      <c r="R950" s="3"/>
      <c r="S950" s="4"/>
      <c r="T950" s="5"/>
      <c r="U950" s="4"/>
      <c r="V950" s="4"/>
      <c r="W950" s="4"/>
      <c r="X950" s="67"/>
      <c r="Y950" s="67"/>
      <c r="Z950" s="67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3"/>
      <c r="M951" s="4"/>
      <c r="N951" s="3"/>
      <c r="O951" s="3"/>
      <c r="P951" s="4"/>
      <c r="Q951" s="4"/>
      <c r="R951" s="3"/>
      <c r="S951" s="4"/>
      <c r="T951" s="5"/>
      <c r="U951" s="4"/>
      <c r="V951" s="4"/>
      <c r="W951" s="4"/>
      <c r="X951" s="67"/>
      <c r="Y951" s="67"/>
      <c r="Z951" s="67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3"/>
      <c r="M952" s="4"/>
      <c r="N952" s="3"/>
      <c r="O952" s="3"/>
      <c r="P952" s="4"/>
      <c r="Q952" s="4"/>
      <c r="R952" s="3"/>
      <c r="S952" s="4"/>
      <c r="T952" s="5"/>
      <c r="U952" s="4"/>
      <c r="V952" s="4"/>
      <c r="W952" s="4"/>
      <c r="X952" s="67"/>
      <c r="Y952" s="67"/>
      <c r="Z952" s="67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3"/>
      <c r="M953" s="4"/>
      <c r="N953" s="3"/>
      <c r="O953" s="3"/>
      <c r="P953" s="4"/>
      <c r="Q953" s="4"/>
      <c r="R953" s="3"/>
      <c r="S953" s="4"/>
      <c r="T953" s="5"/>
      <c r="U953" s="4"/>
      <c r="V953" s="4"/>
      <c r="W953" s="4"/>
      <c r="X953" s="67"/>
      <c r="Y953" s="67"/>
      <c r="Z953" s="67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3"/>
      <c r="M954" s="4"/>
      <c r="N954" s="3"/>
      <c r="O954" s="3"/>
      <c r="P954" s="4"/>
      <c r="Q954" s="4"/>
      <c r="R954" s="3"/>
      <c r="S954" s="4"/>
      <c r="T954" s="5"/>
      <c r="U954" s="4"/>
      <c r="V954" s="4"/>
      <c r="W954" s="4"/>
      <c r="X954" s="67"/>
      <c r="Y954" s="67"/>
      <c r="Z954" s="67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3"/>
      <c r="M955" s="4"/>
      <c r="N955" s="3"/>
      <c r="O955" s="3"/>
      <c r="P955" s="4"/>
      <c r="Q955" s="4"/>
      <c r="R955" s="3"/>
      <c r="S955" s="4"/>
      <c r="T955" s="5"/>
      <c r="U955" s="4"/>
      <c r="V955" s="4"/>
      <c r="W955" s="4"/>
      <c r="X955" s="67"/>
      <c r="Y955" s="67"/>
      <c r="Z955" s="67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3"/>
      <c r="M956" s="4"/>
      <c r="N956" s="3"/>
      <c r="O956" s="3"/>
      <c r="P956" s="4"/>
      <c r="Q956" s="4"/>
      <c r="R956" s="3"/>
      <c r="S956" s="4"/>
      <c r="T956" s="5"/>
      <c r="U956" s="4"/>
      <c r="V956" s="4"/>
      <c r="W956" s="4"/>
      <c r="X956" s="67"/>
      <c r="Y956" s="67"/>
      <c r="Z956" s="67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3"/>
      <c r="M957" s="4"/>
      <c r="N957" s="3"/>
      <c r="O957" s="3"/>
      <c r="P957" s="4"/>
      <c r="Q957" s="4"/>
      <c r="R957" s="3"/>
      <c r="S957" s="4"/>
      <c r="T957" s="5"/>
      <c r="U957" s="4"/>
      <c r="V957" s="4"/>
      <c r="W957" s="4"/>
      <c r="X957" s="67"/>
      <c r="Y957" s="67"/>
      <c r="Z957" s="67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3"/>
      <c r="M958" s="4"/>
      <c r="N958" s="3"/>
      <c r="O958" s="3"/>
      <c r="P958" s="4"/>
      <c r="Q958" s="4"/>
      <c r="R958" s="3"/>
      <c r="S958" s="4"/>
      <c r="T958" s="5"/>
      <c r="U958" s="4"/>
      <c r="V958" s="4"/>
      <c r="W958" s="4"/>
      <c r="X958" s="67"/>
      <c r="Y958" s="67"/>
      <c r="Z958" s="67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3"/>
      <c r="M959" s="4"/>
      <c r="N959" s="3"/>
      <c r="O959" s="3"/>
      <c r="P959" s="4"/>
      <c r="Q959" s="4"/>
      <c r="R959" s="3"/>
      <c r="S959" s="4"/>
      <c r="T959" s="5"/>
      <c r="U959" s="4"/>
      <c r="V959" s="4"/>
      <c r="W959" s="4"/>
      <c r="X959" s="67"/>
      <c r="Y959" s="67"/>
      <c r="Z959" s="67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3"/>
      <c r="M960" s="4"/>
      <c r="N960" s="3"/>
      <c r="O960" s="3"/>
      <c r="P960" s="4"/>
      <c r="Q960" s="4"/>
      <c r="R960" s="3"/>
      <c r="S960" s="4"/>
      <c r="T960" s="5"/>
      <c r="U960" s="4"/>
      <c r="V960" s="4"/>
      <c r="W960" s="4"/>
      <c r="X960" s="67"/>
      <c r="Y960" s="67"/>
      <c r="Z960" s="67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3"/>
      <c r="M961" s="4"/>
      <c r="N961" s="3"/>
      <c r="O961" s="3"/>
      <c r="P961" s="4"/>
      <c r="Q961" s="4"/>
      <c r="R961" s="3"/>
      <c r="S961" s="4"/>
      <c r="T961" s="5"/>
      <c r="U961" s="4"/>
      <c r="V961" s="4"/>
      <c r="W961" s="4"/>
      <c r="X961" s="67"/>
      <c r="Y961" s="67"/>
      <c r="Z961" s="67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3"/>
      <c r="M962" s="4"/>
      <c r="N962" s="3"/>
      <c r="O962" s="3"/>
      <c r="P962" s="4"/>
      <c r="Q962" s="4"/>
      <c r="R962" s="3"/>
      <c r="S962" s="4"/>
      <c r="T962" s="5"/>
      <c r="U962" s="4"/>
      <c r="V962" s="4"/>
      <c r="W962" s="4"/>
      <c r="X962" s="67"/>
      <c r="Y962" s="67"/>
      <c r="Z962" s="67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3"/>
      <c r="M963" s="4"/>
      <c r="N963" s="3"/>
      <c r="O963" s="3"/>
      <c r="P963" s="4"/>
      <c r="Q963" s="4"/>
      <c r="R963" s="3"/>
      <c r="S963" s="4"/>
      <c r="T963" s="5"/>
      <c r="U963" s="4"/>
      <c r="V963" s="4"/>
      <c r="W963" s="4"/>
      <c r="X963" s="67"/>
      <c r="Y963" s="67"/>
      <c r="Z963" s="67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3"/>
      <c r="M964" s="4"/>
      <c r="N964" s="3"/>
      <c r="O964" s="3"/>
      <c r="P964" s="4"/>
      <c r="Q964" s="4"/>
      <c r="R964" s="3"/>
      <c r="S964" s="4"/>
      <c r="T964" s="5"/>
      <c r="U964" s="4"/>
      <c r="V964" s="4"/>
      <c r="W964" s="4"/>
      <c r="X964" s="67"/>
      <c r="Y964" s="67"/>
      <c r="Z964" s="67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3"/>
      <c r="M965" s="4"/>
      <c r="N965" s="3"/>
      <c r="O965" s="3"/>
      <c r="P965" s="4"/>
      <c r="Q965" s="4"/>
      <c r="R965" s="3"/>
      <c r="S965" s="4"/>
      <c r="T965" s="5"/>
      <c r="U965" s="4"/>
      <c r="V965" s="4"/>
      <c r="W965" s="4"/>
      <c r="X965" s="67"/>
      <c r="Y965" s="67"/>
      <c r="Z965" s="67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3"/>
      <c r="M966" s="4"/>
      <c r="N966" s="3"/>
      <c r="O966" s="3"/>
      <c r="P966" s="4"/>
      <c r="Q966" s="4"/>
      <c r="R966" s="3"/>
      <c r="S966" s="4"/>
      <c r="T966" s="5"/>
      <c r="U966" s="4"/>
      <c r="V966" s="4"/>
      <c r="W966" s="4"/>
      <c r="X966" s="67"/>
      <c r="Y966" s="67"/>
      <c r="Z966" s="67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3"/>
      <c r="M967" s="4"/>
      <c r="N967" s="3"/>
      <c r="O967" s="3"/>
      <c r="P967" s="4"/>
      <c r="Q967" s="4"/>
      <c r="R967" s="3"/>
      <c r="S967" s="4"/>
      <c r="T967" s="5"/>
      <c r="U967" s="4"/>
      <c r="V967" s="4"/>
      <c r="W967" s="4"/>
      <c r="X967" s="67"/>
      <c r="Y967" s="67"/>
      <c r="Z967" s="67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3"/>
      <c r="M968" s="4"/>
      <c r="N968" s="3"/>
      <c r="O968" s="3"/>
      <c r="P968" s="4"/>
      <c r="Q968" s="4"/>
      <c r="R968" s="3"/>
      <c r="S968" s="4"/>
      <c r="T968" s="5"/>
      <c r="U968" s="4"/>
      <c r="V968" s="4"/>
      <c r="W968" s="4"/>
      <c r="X968" s="67"/>
      <c r="Y968" s="67"/>
      <c r="Z968" s="67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3"/>
      <c r="M969" s="4"/>
      <c r="N969" s="3"/>
      <c r="O969" s="3"/>
      <c r="P969" s="4"/>
      <c r="Q969" s="4"/>
      <c r="R969" s="3"/>
      <c r="S969" s="4"/>
      <c r="T969" s="5"/>
      <c r="U969" s="4"/>
      <c r="V969" s="4"/>
      <c r="W969" s="4"/>
      <c r="X969" s="67"/>
      <c r="Y969" s="67"/>
      <c r="Z969" s="67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3"/>
      <c r="M970" s="4"/>
      <c r="N970" s="3"/>
      <c r="O970" s="3"/>
      <c r="P970" s="4"/>
      <c r="Q970" s="4"/>
      <c r="R970" s="3"/>
      <c r="S970" s="4"/>
      <c r="T970" s="5"/>
      <c r="U970" s="4"/>
      <c r="V970" s="4"/>
      <c r="W970" s="4"/>
      <c r="X970" s="67"/>
      <c r="Y970" s="67"/>
      <c r="Z970" s="67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3"/>
      <c r="M971" s="4"/>
      <c r="N971" s="3"/>
      <c r="O971" s="3"/>
      <c r="P971" s="4"/>
      <c r="Q971" s="4"/>
      <c r="R971" s="3"/>
      <c r="S971" s="4"/>
      <c r="T971" s="5"/>
      <c r="U971" s="4"/>
      <c r="V971" s="4"/>
      <c r="W971" s="4"/>
      <c r="X971" s="67"/>
      <c r="Y971" s="67"/>
      <c r="Z971" s="67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3"/>
      <c r="M972" s="4"/>
      <c r="N972" s="3"/>
      <c r="O972" s="3"/>
      <c r="P972" s="4"/>
      <c r="Q972" s="4"/>
      <c r="R972" s="3"/>
      <c r="S972" s="4"/>
      <c r="T972" s="5"/>
      <c r="U972" s="4"/>
      <c r="V972" s="4"/>
      <c r="W972" s="4"/>
      <c r="X972" s="67"/>
      <c r="Y972" s="67"/>
      <c r="Z972" s="67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3"/>
      <c r="M973" s="4"/>
      <c r="N973" s="3"/>
      <c r="O973" s="3"/>
      <c r="P973" s="4"/>
      <c r="Q973" s="4"/>
      <c r="R973" s="3"/>
      <c r="S973" s="4"/>
      <c r="T973" s="5"/>
      <c r="U973" s="4"/>
      <c r="V973" s="4"/>
      <c r="W973" s="4"/>
      <c r="X973" s="67"/>
      <c r="Y973" s="67"/>
      <c r="Z973" s="67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3"/>
      <c r="M974" s="4"/>
      <c r="N974" s="3"/>
      <c r="O974" s="3"/>
      <c r="P974" s="4"/>
      <c r="Q974" s="4"/>
      <c r="R974" s="3"/>
      <c r="S974" s="4"/>
      <c r="T974" s="5"/>
      <c r="U974" s="4"/>
      <c r="V974" s="4"/>
      <c r="W974" s="4"/>
      <c r="X974" s="67"/>
      <c r="Y974" s="67"/>
      <c r="Z974" s="67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3"/>
      <c r="M975" s="4"/>
      <c r="N975" s="3"/>
      <c r="O975" s="3"/>
      <c r="P975" s="4"/>
      <c r="Q975" s="4"/>
      <c r="R975" s="3"/>
      <c r="S975" s="4"/>
      <c r="T975" s="5"/>
      <c r="U975" s="4"/>
      <c r="V975" s="4"/>
      <c r="W975" s="4"/>
      <c r="X975" s="67"/>
      <c r="Y975" s="67"/>
      <c r="Z975" s="67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4"/>
      <c r="N976" s="3"/>
      <c r="O976" s="3"/>
      <c r="P976" s="4"/>
      <c r="Q976" s="4"/>
      <c r="R976" s="3"/>
      <c r="S976" s="4"/>
      <c r="T976" s="5"/>
      <c r="U976" s="4"/>
      <c r="V976" s="4"/>
      <c r="W976" s="4"/>
      <c r="X976" s="67"/>
      <c r="Y976" s="67"/>
      <c r="Z976" s="67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4"/>
      <c r="N977" s="3"/>
      <c r="O977" s="3"/>
      <c r="P977" s="4"/>
      <c r="Q977" s="4"/>
      <c r="R977" s="3"/>
      <c r="S977" s="4"/>
      <c r="T977" s="5"/>
      <c r="U977" s="4"/>
      <c r="V977" s="4"/>
      <c r="W977" s="4"/>
      <c r="X977" s="67"/>
      <c r="Y977" s="67"/>
      <c r="Z977" s="67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4"/>
      <c r="N978" s="3"/>
      <c r="O978" s="3"/>
      <c r="P978" s="4"/>
      <c r="Q978" s="4"/>
      <c r="R978" s="3"/>
      <c r="S978" s="4"/>
      <c r="T978" s="5"/>
      <c r="U978" s="4"/>
      <c r="V978" s="4"/>
      <c r="W978" s="4"/>
      <c r="X978" s="67"/>
      <c r="Y978" s="67"/>
      <c r="Z978" s="67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3"/>
      <c r="M979" s="4"/>
      <c r="N979" s="3"/>
      <c r="O979" s="3"/>
      <c r="P979" s="4"/>
      <c r="Q979" s="4"/>
      <c r="R979" s="3"/>
      <c r="S979" s="4"/>
      <c r="T979" s="5"/>
      <c r="U979" s="4"/>
      <c r="V979" s="4"/>
      <c r="W979" s="4"/>
      <c r="X979" s="67"/>
      <c r="Y979" s="67"/>
      <c r="Z979" s="67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3"/>
      <c r="M980" s="4"/>
      <c r="N980" s="3"/>
      <c r="O980" s="3"/>
      <c r="P980" s="4"/>
      <c r="Q980" s="4"/>
      <c r="R980" s="3"/>
      <c r="S980" s="4"/>
      <c r="T980" s="5"/>
      <c r="U980" s="4"/>
      <c r="V980" s="4"/>
      <c r="W980" s="4"/>
      <c r="X980" s="67"/>
      <c r="Y980" s="67"/>
      <c r="Z980" s="67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4"/>
      <c r="N981" s="3"/>
      <c r="O981" s="3"/>
      <c r="P981" s="4"/>
      <c r="Q981" s="4"/>
      <c r="R981" s="3"/>
      <c r="S981" s="4"/>
      <c r="T981" s="5"/>
      <c r="U981" s="4"/>
      <c r="V981" s="4"/>
      <c r="W981" s="4"/>
      <c r="X981" s="67"/>
      <c r="Y981" s="67"/>
      <c r="Z981" s="67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4"/>
      <c r="N982" s="3"/>
      <c r="O982" s="3"/>
      <c r="P982" s="4"/>
      <c r="Q982" s="4"/>
      <c r="R982" s="3"/>
      <c r="S982" s="4"/>
      <c r="T982" s="5"/>
      <c r="U982" s="4"/>
      <c r="V982" s="4"/>
      <c r="W982" s="4"/>
      <c r="X982" s="67"/>
      <c r="Y982" s="67"/>
      <c r="Z982" s="67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3"/>
      <c r="M983" s="4"/>
      <c r="N983" s="3"/>
      <c r="O983" s="3"/>
      <c r="P983" s="4"/>
      <c r="Q983" s="4"/>
      <c r="R983" s="3"/>
      <c r="S983" s="4"/>
      <c r="T983" s="5"/>
      <c r="U983" s="4"/>
      <c r="V983" s="4"/>
      <c r="W983" s="4"/>
      <c r="X983" s="67"/>
      <c r="Y983" s="67"/>
      <c r="Z983" s="67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3"/>
      <c r="M984" s="4"/>
      <c r="N984" s="3"/>
      <c r="O984" s="3"/>
      <c r="P984" s="4"/>
      <c r="Q984" s="4"/>
      <c r="R984" s="3"/>
      <c r="S984" s="4"/>
      <c r="T984" s="5"/>
      <c r="U984" s="4"/>
      <c r="V984" s="4"/>
      <c r="W984" s="4"/>
      <c r="X984" s="67"/>
      <c r="Y984" s="67"/>
      <c r="Z984" s="67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3"/>
      <c r="M985" s="4"/>
      <c r="N985" s="3"/>
      <c r="O985" s="3"/>
      <c r="P985" s="4"/>
      <c r="Q985" s="4"/>
      <c r="R985" s="3"/>
      <c r="S985" s="4"/>
      <c r="T985" s="5"/>
      <c r="U985" s="4"/>
      <c r="V985" s="4"/>
      <c r="W985" s="4"/>
      <c r="X985" s="67"/>
      <c r="Y985" s="67"/>
      <c r="Z985" s="67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3"/>
      <c r="M986" s="4"/>
      <c r="N986" s="3"/>
      <c r="O986" s="3"/>
      <c r="P986" s="4"/>
      <c r="Q986" s="4"/>
      <c r="R986" s="3"/>
      <c r="S986" s="4"/>
      <c r="T986" s="5"/>
      <c r="U986" s="4"/>
      <c r="V986" s="4"/>
      <c r="W986" s="4"/>
      <c r="X986" s="67"/>
      <c r="Y986" s="67"/>
      <c r="Z986" s="67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3"/>
      <c r="M987" s="4"/>
      <c r="N987" s="3"/>
      <c r="O987" s="3"/>
      <c r="P987" s="4"/>
      <c r="Q987" s="4"/>
      <c r="R987" s="3"/>
      <c r="S987" s="4"/>
      <c r="T987" s="5"/>
      <c r="U987" s="4"/>
      <c r="V987" s="4"/>
      <c r="W987" s="4"/>
      <c r="X987" s="67"/>
      <c r="Y987" s="67"/>
      <c r="Z987" s="67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3"/>
      <c r="M988" s="4"/>
      <c r="N988" s="3"/>
      <c r="O988" s="3"/>
      <c r="P988" s="4"/>
      <c r="Q988" s="4"/>
      <c r="R988" s="3"/>
      <c r="S988" s="4"/>
      <c r="T988" s="5"/>
      <c r="U988" s="4"/>
      <c r="V988" s="4"/>
      <c r="W988" s="4"/>
      <c r="X988" s="67"/>
      <c r="Y988" s="67"/>
      <c r="Z988" s="67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3"/>
      <c r="M989" s="4"/>
      <c r="N989" s="3"/>
      <c r="O989" s="3"/>
      <c r="P989" s="4"/>
      <c r="Q989" s="4"/>
      <c r="R989" s="3"/>
      <c r="S989" s="4"/>
      <c r="T989" s="5"/>
      <c r="U989" s="4"/>
      <c r="V989" s="4"/>
      <c r="W989" s="4"/>
      <c r="X989" s="67"/>
      <c r="Y989" s="67"/>
      <c r="Z989" s="67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3"/>
      <c r="M990" s="4"/>
      <c r="N990" s="3"/>
      <c r="O990" s="3"/>
      <c r="P990" s="4"/>
      <c r="Q990" s="4"/>
      <c r="R990" s="3"/>
      <c r="S990" s="4"/>
      <c r="T990" s="5"/>
      <c r="U990" s="4"/>
      <c r="V990" s="4"/>
      <c r="W990" s="4"/>
      <c r="X990" s="67"/>
      <c r="Y990" s="67"/>
      <c r="Z990" s="67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3"/>
      <c r="M991" s="4"/>
      <c r="N991" s="3"/>
      <c r="O991" s="3"/>
      <c r="P991" s="4"/>
      <c r="Q991" s="4"/>
      <c r="R991" s="3"/>
      <c r="S991" s="4"/>
      <c r="T991" s="5"/>
      <c r="U991" s="4"/>
      <c r="V991" s="4"/>
      <c r="W991" s="4"/>
      <c r="X991" s="67"/>
      <c r="Y991" s="67"/>
      <c r="Z991" s="67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4"/>
      <c r="N992" s="3"/>
      <c r="O992" s="3"/>
      <c r="P992" s="4"/>
      <c r="Q992" s="4"/>
      <c r="R992" s="3"/>
      <c r="S992" s="4"/>
      <c r="T992" s="5"/>
      <c r="U992" s="4"/>
      <c r="V992" s="4"/>
      <c r="W992" s="4"/>
      <c r="X992" s="67"/>
      <c r="Y992" s="67"/>
      <c r="Z992" s="67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3"/>
      <c r="M993" s="4"/>
      <c r="N993" s="3"/>
      <c r="O993" s="3"/>
      <c r="P993" s="4"/>
      <c r="Q993" s="4"/>
      <c r="R993" s="3"/>
      <c r="S993" s="4"/>
      <c r="T993" s="5"/>
      <c r="U993" s="4"/>
      <c r="V993" s="4"/>
      <c r="W993" s="4"/>
      <c r="X993" s="67"/>
      <c r="Y993" s="67"/>
      <c r="Z993" s="67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3"/>
      <c r="M994" s="4"/>
      <c r="N994" s="3"/>
      <c r="O994" s="3"/>
      <c r="P994" s="4"/>
      <c r="Q994" s="4"/>
      <c r="R994" s="3"/>
      <c r="S994" s="4"/>
      <c r="T994" s="5"/>
      <c r="U994" s="4"/>
      <c r="V994" s="4"/>
      <c r="W994" s="4"/>
      <c r="X994" s="67"/>
      <c r="Y994" s="67"/>
      <c r="Z994" s="67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3"/>
      <c r="M995" s="4"/>
      <c r="N995" s="3"/>
      <c r="O995" s="3"/>
      <c r="P995" s="4"/>
      <c r="Q995" s="4"/>
      <c r="R995" s="3"/>
      <c r="S995" s="4"/>
      <c r="T995" s="5"/>
      <c r="U995" s="4"/>
      <c r="V995" s="4"/>
      <c r="W995" s="4"/>
      <c r="X995" s="67"/>
      <c r="Y995" s="67"/>
      <c r="Z995" s="67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3"/>
      <c r="M996" s="4"/>
      <c r="N996" s="3"/>
      <c r="O996" s="3"/>
      <c r="P996" s="4"/>
      <c r="Q996" s="4"/>
      <c r="R996" s="3"/>
      <c r="S996" s="4"/>
      <c r="T996" s="5"/>
      <c r="U996" s="4"/>
      <c r="V996" s="4"/>
      <c r="W996" s="4"/>
      <c r="X996" s="67"/>
      <c r="Y996" s="67"/>
      <c r="Z996" s="67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/>
      <c r="M997" s="4"/>
      <c r="N997" s="3"/>
      <c r="O997" s="3"/>
      <c r="P997" s="4"/>
      <c r="Q997" s="4"/>
      <c r="R997" s="3"/>
      <c r="S997" s="4"/>
      <c r="T997" s="5"/>
      <c r="U997" s="4"/>
      <c r="V997" s="4"/>
      <c r="W997" s="4"/>
      <c r="X997" s="67"/>
      <c r="Y997" s="67"/>
      <c r="Z997" s="67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3"/>
      <c r="M998" s="4"/>
      <c r="N998" s="3"/>
      <c r="O998" s="3"/>
      <c r="P998" s="4"/>
      <c r="Q998" s="4"/>
      <c r="R998" s="3"/>
      <c r="S998" s="4"/>
      <c r="T998" s="5"/>
      <c r="U998" s="4"/>
      <c r="V998" s="4"/>
      <c r="W998" s="4"/>
      <c r="X998" s="67"/>
      <c r="Y998" s="67"/>
      <c r="Z998" s="67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3"/>
      <c r="M999" s="4"/>
      <c r="N999" s="3"/>
      <c r="O999" s="3"/>
      <c r="P999" s="4"/>
      <c r="Q999" s="4"/>
      <c r="R999" s="3"/>
      <c r="S999" s="4"/>
      <c r="T999" s="5"/>
      <c r="U999" s="4"/>
      <c r="V999" s="4"/>
      <c r="W999" s="4"/>
      <c r="X999" s="67"/>
      <c r="Y999" s="67"/>
      <c r="Z999" s="67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3"/>
      <c r="M1000" s="4"/>
      <c r="N1000" s="3"/>
      <c r="O1000" s="3"/>
      <c r="P1000" s="4"/>
      <c r="Q1000" s="4"/>
      <c r="R1000" s="3"/>
      <c r="S1000" s="4"/>
      <c r="T1000" s="5"/>
      <c r="U1000" s="4"/>
      <c r="V1000" s="4"/>
      <c r="W1000" s="4"/>
      <c r="X1000" s="67"/>
      <c r="Y1000" s="67"/>
      <c r="Z1000" s="67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3"/>
      <c r="M1001" s="4"/>
      <c r="N1001" s="3"/>
      <c r="O1001" s="3"/>
      <c r="P1001" s="4"/>
      <c r="Q1001" s="4"/>
      <c r="R1001" s="3"/>
      <c r="S1001" s="4"/>
      <c r="T1001" s="5"/>
      <c r="U1001" s="4"/>
      <c r="V1001" s="4"/>
      <c r="W1001" s="4"/>
      <c r="X1001" s="67"/>
      <c r="Y1001" s="67"/>
      <c r="Z1001" s="67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3"/>
      <c r="M1002" s="4"/>
      <c r="N1002" s="3"/>
      <c r="O1002" s="3"/>
      <c r="P1002" s="4"/>
      <c r="Q1002" s="4"/>
      <c r="R1002" s="3"/>
      <c r="S1002" s="4"/>
      <c r="T1002" s="5"/>
      <c r="U1002" s="4"/>
      <c r="V1002" s="4"/>
      <c r="W1002" s="4"/>
      <c r="X1002" s="67"/>
      <c r="Y1002" s="67"/>
      <c r="Z1002" s="67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3"/>
      <c r="M1003" s="4"/>
      <c r="N1003" s="3"/>
      <c r="O1003" s="3"/>
      <c r="P1003" s="4"/>
      <c r="Q1003" s="4"/>
      <c r="R1003" s="3"/>
      <c r="S1003" s="4"/>
      <c r="T1003" s="5"/>
      <c r="U1003" s="4"/>
      <c r="V1003" s="4"/>
      <c r="W1003" s="4"/>
      <c r="X1003" s="67"/>
      <c r="Y1003" s="67"/>
      <c r="Z1003" s="67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4"/>
      <c r="N1004" s="3"/>
      <c r="O1004" s="3"/>
      <c r="P1004" s="4"/>
      <c r="Q1004" s="4"/>
      <c r="R1004" s="3"/>
      <c r="S1004" s="4"/>
      <c r="T1004" s="5"/>
      <c r="U1004" s="4"/>
      <c r="V1004" s="4"/>
      <c r="W1004" s="4"/>
      <c r="X1004" s="67"/>
      <c r="Y1004" s="67"/>
      <c r="Z1004" s="67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3"/>
      <c r="M1005" s="4"/>
      <c r="N1005" s="3"/>
      <c r="O1005" s="3"/>
      <c r="P1005" s="4"/>
      <c r="Q1005" s="4"/>
      <c r="R1005" s="3"/>
      <c r="S1005" s="4"/>
      <c r="T1005" s="5"/>
      <c r="U1005" s="4"/>
      <c r="V1005" s="4"/>
      <c r="W1005" s="4"/>
      <c r="X1005" s="67"/>
      <c r="Y1005" s="67"/>
      <c r="Z1005" s="67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3"/>
      <c r="M1006" s="4"/>
      <c r="N1006" s="3"/>
      <c r="O1006" s="3"/>
      <c r="P1006" s="4"/>
      <c r="Q1006" s="4"/>
      <c r="R1006" s="3"/>
      <c r="S1006" s="4"/>
      <c r="T1006" s="5"/>
      <c r="U1006" s="4"/>
      <c r="V1006" s="4"/>
      <c r="W1006" s="4"/>
      <c r="X1006" s="67"/>
      <c r="Y1006" s="67"/>
      <c r="Z1006" s="67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3"/>
      <c r="M1007" s="4"/>
      <c r="N1007" s="3"/>
      <c r="O1007" s="3"/>
      <c r="P1007" s="4"/>
      <c r="Q1007" s="4"/>
      <c r="R1007" s="3"/>
      <c r="S1007" s="4"/>
      <c r="T1007" s="5"/>
      <c r="U1007" s="4"/>
      <c r="V1007" s="4"/>
      <c r="W1007" s="4"/>
      <c r="X1007" s="67"/>
      <c r="Y1007" s="67"/>
      <c r="Z1007" s="67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3"/>
      <c r="M1008" s="4"/>
      <c r="N1008" s="3"/>
      <c r="O1008" s="3"/>
      <c r="P1008" s="4"/>
      <c r="Q1008" s="4"/>
      <c r="R1008" s="3"/>
      <c r="S1008" s="4"/>
      <c r="T1008" s="5"/>
      <c r="U1008" s="4"/>
      <c r="V1008" s="4"/>
      <c r="W1008" s="4"/>
      <c r="X1008" s="67"/>
      <c r="Y1008" s="67"/>
      <c r="Z1008" s="67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3"/>
      <c r="M1009" s="4"/>
      <c r="N1009" s="3"/>
      <c r="O1009" s="3"/>
      <c r="P1009" s="4"/>
      <c r="Q1009" s="4"/>
      <c r="R1009" s="3"/>
      <c r="S1009" s="4"/>
      <c r="T1009" s="5"/>
      <c r="U1009" s="4"/>
      <c r="V1009" s="4"/>
      <c r="W1009" s="4"/>
      <c r="X1009" s="67"/>
      <c r="Y1009" s="67"/>
      <c r="Z1009" s="67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3"/>
      <c r="M1010" s="4"/>
      <c r="N1010" s="3"/>
      <c r="O1010" s="3"/>
      <c r="P1010" s="4"/>
      <c r="Q1010" s="4"/>
      <c r="R1010" s="3"/>
      <c r="S1010" s="4"/>
      <c r="T1010" s="5"/>
      <c r="U1010" s="4"/>
      <c r="V1010" s="4"/>
      <c r="W1010" s="4"/>
      <c r="X1010" s="67"/>
      <c r="Y1010" s="67"/>
      <c r="Z1010" s="67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3"/>
      <c r="M1011" s="4"/>
      <c r="N1011" s="3"/>
      <c r="O1011" s="3"/>
      <c r="P1011" s="4"/>
      <c r="Q1011" s="4"/>
      <c r="R1011" s="3"/>
      <c r="S1011" s="4"/>
      <c r="T1011" s="5"/>
      <c r="U1011" s="4"/>
      <c r="V1011" s="4"/>
      <c r="W1011" s="4"/>
      <c r="X1011" s="67"/>
      <c r="Y1011" s="67"/>
      <c r="Z1011" s="67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3"/>
      <c r="M1012" s="4"/>
      <c r="N1012" s="3"/>
      <c r="O1012" s="3"/>
      <c r="P1012" s="4"/>
      <c r="Q1012" s="4"/>
      <c r="R1012" s="3"/>
      <c r="S1012" s="4"/>
      <c r="T1012" s="5"/>
      <c r="U1012" s="4"/>
      <c r="V1012" s="4"/>
      <c r="W1012" s="4"/>
      <c r="X1012" s="67"/>
      <c r="Y1012" s="67"/>
      <c r="Z1012" s="67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3"/>
      <c r="M1013" s="4"/>
      <c r="N1013" s="3"/>
      <c r="O1013" s="3"/>
      <c r="P1013" s="4"/>
      <c r="Q1013" s="4"/>
      <c r="R1013" s="3"/>
      <c r="S1013" s="4"/>
      <c r="T1013" s="5"/>
      <c r="U1013" s="4"/>
      <c r="V1013" s="4"/>
      <c r="W1013" s="4"/>
      <c r="X1013" s="67"/>
      <c r="Y1013" s="67"/>
      <c r="Z1013" s="67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3"/>
      <c r="M1014" s="4"/>
      <c r="N1014" s="3"/>
      <c r="O1014" s="3"/>
      <c r="P1014" s="4"/>
      <c r="Q1014" s="4"/>
      <c r="R1014" s="3"/>
      <c r="S1014" s="4"/>
      <c r="T1014" s="5"/>
      <c r="U1014" s="4"/>
      <c r="V1014" s="4"/>
      <c r="W1014" s="4"/>
      <c r="X1014" s="67"/>
      <c r="Y1014" s="67"/>
      <c r="Z1014" s="67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3"/>
      <c r="M1015" s="4"/>
      <c r="N1015" s="3"/>
      <c r="O1015" s="3"/>
      <c r="P1015" s="4"/>
      <c r="Q1015" s="4"/>
      <c r="R1015" s="3"/>
      <c r="S1015" s="4"/>
      <c r="T1015" s="5"/>
      <c r="U1015" s="4"/>
      <c r="V1015" s="4"/>
      <c r="W1015" s="4"/>
      <c r="X1015" s="67"/>
      <c r="Y1015" s="67"/>
      <c r="Z1015" s="67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3"/>
      <c r="M1016" s="4"/>
      <c r="N1016" s="3"/>
      <c r="O1016" s="3"/>
      <c r="P1016" s="4"/>
      <c r="Q1016" s="4"/>
      <c r="R1016" s="3"/>
      <c r="S1016" s="4"/>
      <c r="T1016" s="5"/>
      <c r="U1016" s="4"/>
      <c r="V1016" s="4"/>
      <c r="W1016" s="4"/>
      <c r="X1016" s="67"/>
      <c r="Y1016" s="67"/>
      <c r="Z1016" s="67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3"/>
      <c r="M1017" s="4"/>
      <c r="N1017" s="3"/>
      <c r="O1017" s="3"/>
      <c r="P1017" s="4"/>
      <c r="Q1017" s="4"/>
      <c r="R1017" s="3"/>
      <c r="S1017" s="4"/>
      <c r="T1017" s="5"/>
      <c r="U1017" s="4"/>
      <c r="V1017" s="4"/>
      <c r="W1017" s="4"/>
      <c r="X1017" s="67"/>
      <c r="Y1017" s="67"/>
      <c r="Z1017" s="67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3"/>
      <c r="M1018" s="4"/>
      <c r="N1018" s="3"/>
      <c r="O1018" s="3"/>
      <c r="P1018" s="4"/>
      <c r="Q1018" s="4"/>
      <c r="R1018" s="3"/>
      <c r="S1018" s="4"/>
      <c r="T1018" s="5"/>
      <c r="U1018" s="4"/>
      <c r="V1018" s="4"/>
      <c r="W1018" s="4"/>
      <c r="X1018" s="67"/>
      <c r="Y1018" s="67"/>
      <c r="Z1018" s="67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3"/>
      <c r="M1019" s="4"/>
      <c r="N1019" s="3"/>
      <c r="O1019" s="3"/>
      <c r="P1019" s="4"/>
      <c r="Q1019" s="4"/>
      <c r="R1019" s="3"/>
      <c r="S1019" s="4"/>
      <c r="T1019" s="5"/>
      <c r="U1019" s="4"/>
      <c r="V1019" s="4"/>
      <c r="W1019" s="4"/>
      <c r="X1019" s="67"/>
      <c r="Y1019" s="67"/>
      <c r="Z1019" s="67"/>
      <c r="AA1019" s="4"/>
      <c r="AB1019" s="4"/>
      <c r="AC1019" s="4"/>
      <c r="AD1019" s="4"/>
      <c r="AE1019" s="4"/>
      <c r="AF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3"/>
      <c r="M1020" s="4"/>
      <c r="N1020" s="3"/>
      <c r="O1020" s="3"/>
      <c r="P1020" s="4"/>
      <c r="Q1020" s="4"/>
      <c r="R1020" s="3"/>
      <c r="S1020" s="4"/>
      <c r="T1020" s="5"/>
      <c r="U1020" s="4"/>
      <c r="V1020" s="4"/>
      <c r="W1020" s="4"/>
      <c r="X1020" s="67"/>
      <c r="Y1020" s="67"/>
      <c r="Z1020" s="67"/>
      <c r="AA1020" s="4"/>
      <c r="AB1020" s="4"/>
      <c r="AC1020" s="4"/>
      <c r="AD1020" s="4"/>
      <c r="AE1020" s="4"/>
      <c r="AF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3"/>
      <c r="M1021" s="4"/>
      <c r="N1021" s="3"/>
      <c r="O1021" s="3"/>
      <c r="P1021" s="4"/>
      <c r="Q1021" s="4"/>
      <c r="R1021" s="3"/>
      <c r="S1021" s="4"/>
      <c r="T1021" s="5"/>
      <c r="U1021" s="4"/>
      <c r="V1021" s="4"/>
      <c r="W1021" s="4"/>
      <c r="X1021" s="67"/>
      <c r="Y1021" s="67"/>
      <c r="Z1021" s="67"/>
      <c r="AA1021" s="4"/>
      <c r="AB1021" s="4"/>
      <c r="AC1021" s="4"/>
      <c r="AD1021" s="4"/>
      <c r="AE1021" s="4"/>
      <c r="AF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3"/>
      <c r="M1022" s="4"/>
      <c r="N1022" s="3"/>
      <c r="O1022" s="3"/>
      <c r="P1022" s="4"/>
      <c r="Q1022" s="4"/>
      <c r="R1022" s="3"/>
      <c r="S1022" s="4"/>
      <c r="T1022" s="5"/>
      <c r="U1022" s="4"/>
      <c r="V1022" s="4"/>
      <c r="W1022" s="4"/>
      <c r="X1022" s="67"/>
      <c r="Y1022" s="67"/>
      <c r="Z1022" s="67"/>
      <c r="AA1022" s="4"/>
      <c r="AB1022" s="4"/>
      <c r="AC1022" s="4"/>
      <c r="AD1022" s="4"/>
      <c r="AE1022" s="4"/>
      <c r="AF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3"/>
      <c r="M1023" s="4"/>
      <c r="N1023" s="3"/>
      <c r="O1023" s="3"/>
      <c r="P1023" s="4"/>
      <c r="Q1023" s="4"/>
      <c r="R1023" s="3"/>
      <c r="S1023" s="4"/>
      <c r="T1023" s="5"/>
      <c r="U1023" s="4"/>
      <c r="V1023" s="4"/>
      <c r="W1023" s="4"/>
      <c r="X1023" s="67"/>
      <c r="Y1023" s="67"/>
      <c r="Z1023" s="67"/>
      <c r="AA1023" s="4"/>
      <c r="AB1023" s="4"/>
      <c r="AC1023" s="4"/>
      <c r="AD1023" s="4"/>
      <c r="AE1023" s="4"/>
      <c r="AF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3"/>
      <c r="M1024" s="4"/>
      <c r="N1024" s="3"/>
      <c r="O1024" s="3"/>
      <c r="P1024" s="4"/>
      <c r="Q1024" s="4"/>
      <c r="R1024" s="3"/>
      <c r="S1024" s="4"/>
      <c r="T1024" s="5"/>
      <c r="U1024" s="4"/>
      <c r="V1024" s="4"/>
      <c r="W1024" s="4"/>
      <c r="X1024" s="67"/>
      <c r="Y1024" s="67"/>
      <c r="Z1024" s="67"/>
      <c r="AA1024" s="4"/>
      <c r="AB1024" s="4"/>
      <c r="AC1024" s="4"/>
      <c r="AD1024" s="4"/>
      <c r="AE1024" s="4"/>
      <c r="AF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3"/>
      <c r="M1025" s="4"/>
      <c r="N1025" s="3"/>
      <c r="O1025" s="3"/>
      <c r="P1025" s="4"/>
      <c r="Q1025" s="4"/>
      <c r="R1025" s="3"/>
      <c r="S1025" s="4"/>
      <c r="T1025" s="5"/>
      <c r="U1025" s="4"/>
      <c r="V1025" s="4"/>
      <c r="W1025" s="4"/>
      <c r="X1025" s="67"/>
      <c r="Y1025" s="67"/>
      <c r="Z1025" s="67"/>
      <c r="AA1025" s="4"/>
      <c r="AB1025" s="4"/>
      <c r="AC1025" s="4"/>
      <c r="AD1025" s="4"/>
      <c r="AE1025" s="4"/>
      <c r="AF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3"/>
      <c r="M1026" s="4"/>
      <c r="N1026" s="3"/>
      <c r="O1026" s="3"/>
      <c r="P1026" s="4"/>
      <c r="Q1026" s="4"/>
      <c r="R1026" s="3"/>
      <c r="S1026" s="4"/>
      <c r="T1026" s="5"/>
      <c r="U1026" s="4"/>
      <c r="V1026" s="4"/>
      <c r="W1026" s="4"/>
      <c r="X1026" s="67"/>
      <c r="Y1026" s="67"/>
      <c r="Z1026" s="67"/>
      <c r="AA1026" s="4"/>
      <c r="AB1026" s="4"/>
      <c r="AC1026" s="4"/>
      <c r="AD1026" s="4"/>
      <c r="AE1026" s="4"/>
      <c r="AF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3"/>
      <c r="M1027" s="4"/>
      <c r="N1027" s="3"/>
      <c r="O1027" s="3"/>
      <c r="P1027" s="4"/>
      <c r="Q1027" s="4"/>
      <c r="R1027" s="3"/>
      <c r="S1027" s="4"/>
      <c r="T1027" s="5"/>
      <c r="U1027" s="4"/>
      <c r="V1027" s="4"/>
      <c r="W1027" s="4"/>
      <c r="X1027" s="67"/>
      <c r="Y1027" s="67"/>
      <c r="Z1027" s="67"/>
      <c r="AA1027" s="4"/>
      <c r="AB1027" s="4"/>
      <c r="AC1027" s="4"/>
      <c r="AD1027" s="4"/>
      <c r="AE1027" s="4"/>
      <c r="AF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3"/>
      <c r="M1028" s="4"/>
      <c r="N1028" s="3"/>
      <c r="O1028" s="3"/>
      <c r="P1028" s="4"/>
      <c r="Q1028" s="4"/>
      <c r="R1028" s="3"/>
      <c r="S1028" s="4"/>
      <c r="T1028" s="5"/>
      <c r="U1028" s="4"/>
      <c r="V1028" s="4"/>
      <c r="W1028" s="4"/>
      <c r="X1028" s="67"/>
      <c r="Y1028" s="67"/>
      <c r="Z1028" s="67"/>
      <c r="AA1028" s="4"/>
      <c r="AB1028" s="4"/>
      <c r="AC1028" s="4"/>
      <c r="AD1028" s="4"/>
      <c r="AE1028" s="4"/>
      <c r="AF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3"/>
      <c r="M1029" s="4"/>
      <c r="N1029" s="3"/>
      <c r="O1029" s="3"/>
      <c r="P1029" s="4"/>
      <c r="Q1029" s="4"/>
      <c r="R1029" s="3"/>
      <c r="S1029" s="4"/>
      <c r="T1029" s="5"/>
      <c r="U1029" s="4"/>
      <c r="V1029" s="4"/>
      <c r="W1029" s="4"/>
      <c r="X1029" s="67"/>
      <c r="Y1029" s="67"/>
      <c r="Z1029" s="67"/>
      <c r="AA1029" s="4"/>
      <c r="AB1029" s="4"/>
      <c r="AC1029" s="4"/>
      <c r="AD1029" s="4"/>
      <c r="AE1029" s="4"/>
      <c r="AF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3"/>
      <c r="M1030" s="4"/>
      <c r="N1030" s="3"/>
      <c r="O1030" s="3"/>
      <c r="P1030" s="4"/>
      <c r="Q1030" s="4"/>
      <c r="R1030" s="3"/>
      <c r="S1030" s="4"/>
      <c r="T1030" s="5"/>
      <c r="U1030" s="4"/>
      <c r="V1030" s="4"/>
      <c r="W1030" s="4"/>
      <c r="X1030" s="67"/>
      <c r="Y1030" s="67"/>
      <c r="Z1030" s="67"/>
      <c r="AA1030" s="4"/>
      <c r="AB1030" s="4"/>
      <c r="AC1030" s="4"/>
      <c r="AD1030" s="4"/>
      <c r="AE1030" s="4"/>
      <c r="AF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3"/>
      <c r="M1031" s="4"/>
      <c r="N1031" s="3"/>
      <c r="O1031" s="3"/>
      <c r="P1031" s="4"/>
      <c r="Q1031" s="4"/>
      <c r="R1031" s="3"/>
      <c r="S1031" s="4"/>
      <c r="T1031" s="5"/>
      <c r="U1031" s="4"/>
      <c r="V1031" s="4"/>
      <c r="W1031" s="4"/>
      <c r="X1031" s="67"/>
      <c r="Y1031" s="67"/>
      <c r="Z1031" s="67"/>
      <c r="AA1031" s="4"/>
      <c r="AB1031" s="4"/>
      <c r="AC1031" s="4"/>
      <c r="AD1031" s="4"/>
      <c r="AE1031" s="4"/>
      <c r="AF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3"/>
      <c r="M1032" s="4"/>
      <c r="N1032" s="3"/>
      <c r="O1032" s="3"/>
      <c r="P1032" s="4"/>
      <c r="Q1032" s="4"/>
      <c r="R1032" s="3"/>
      <c r="S1032" s="4"/>
      <c r="T1032" s="5"/>
      <c r="U1032" s="4"/>
      <c r="V1032" s="4"/>
      <c r="W1032" s="4"/>
      <c r="X1032" s="67"/>
      <c r="Y1032" s="67"/>
      <c r="Z1032" s="67"/>
      <c r="AA1032" s="4"/>
      <c r="AB1032" s="4"/>
      <c r="AC1032" s="4"/>
      <c r="AD1032" s="4"/>
      <c r="AE1032" s="4"/>
      <c r="AF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3"/>
      <c r="M1033" s="4"/>
      <c r="N1033" s="3"/>
      <c r="O1033" s="3"/>
      <c r="P1033" s="4"/>
      <c r="Q1033" s="4"/>
      <c r="R1033" s="3"/>
      <c r="S1033" s="4"/>
      <c r="T1033" s="5"/>
      <c r="U1033" s="4"/>
      <c r="V1033" s="4"/>
      <c r="W1033" s="4"/>
      <c r="X1033" s="67"/>
      <c r="Y1033" s="67"/>
      <c r="Z1033" s="67"/>
      <c r="AA1033" s="4"/>
      <c r="AB1033" s="4"/>
      <c r="AC1033" s="4"/>
      <c r="AD1033" s="4"/>
      <c r="AE1033" s="4"/>
      <c r="AF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3"/>
      <c r="M1034" s="4"/>
      <c r="N1034" s="3"/>
      <c r="O1034" s="3"/>
      <c r="P1034" s="4"/>
      <c r="Q1034" s="4"/>
      <c r="R1034" s="3"/>
      <c r="S1034" s="4"/>
      <c r="T1034" s="5"/>
      <c r="U1034" s="4"/>
      <c r="V1034" s="4"/>
      <c r="W1034" s="4"/>
      <c r="X1034" s="67"/>
      <c r="Y1034" s="67"/>
      <c r="Z1034" s="67"/>
      <c r="AA1034" s="4"/>
      <c r="AB1034" s="4"/>
      <c r="AC1034" s="4"/>
      <c r="AD1034" s="4"/>
      <c r="AE1034" s="4"/>
      <c r="AF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3"/>
      <c r="M1035" s="4"/>
      <c r="N1035" s="3"/>
      <c r="O1035" s="3"/>
      <c r="P1035" s="4"/>
      <c r="Q1035" s="4"/>
      <c r="R1035" s="3"/>
      <c r="S1035" s="4"/>
      <c r="T1035" s="5"/>
      <c r="U1035" s="4"/>
      <c r="V1035" s="4"/>
      <c r="W1035" s="4"/>
      <c r="X1035" s="67"/>
      <c r="Y1035" s="67"/>
      <c r="Z1035" s="67"/>
      <c r="AA1035" s="4"/>
      <c r="AB1035" s="4"/>
      <c r="AC1035" s="4"/>
      <c r="AD1035" s="4"/>
      <c r="AE1035" s="4"/>
      <c r="AF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3"/>
      <c r="M1036" s="4"/>
      <c r="N1036" s="3"/>
      <c r="O1036" s="3"/>
      <c r="P1036" s="4"/>
      <c r="Q1036" s="4"/>
      <c r="R1036" s="3"/>
      <c r="S1036" s="4"/>
      <c r="T1036" s="5"/>
      <c r="U1036" s="4"/>
      <c r="V1036" s="4"/>
      <c r="W1036" s="4"/>
      <c r="X1036" s="67"/>
      <c r="Y1036" s="67"/>
      <c r="Z1036" s="67"/>
      <c r="AA1036" s="4"/>
      <c r="AB1036" s="4"/>
      <c r="AC1036" s="4"/>
      <c r="AD1036" s="4"/>
      <c r="AE1036" s="4"/>
      <c r="AF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3"/>
      <c r="M1037" s="4"/>
      <c r="N1037" s="3"/>
      <c r="O1037" s="3"/>
      <c r="P1037" s="4"/>
      <c r="Q1037" s="4"/>
      <c r="R1037" s="3"/>
      <c r="S1037" s="4"/>
      <c r="T1037" s="5"/>
      <c r="U1037" s="4"/>
      <c r="V1037" s="4"/>
      <c r="W1037" s="4"/>
      <c r="X1037" s="67"/>
      <c r="Y1037" s="67"/>
      <c r="Z1037" s="67"/>
      <c r="AA1037" s="4"/>
      <c r="AB1037" s="4"/>
      <c r="AC1037" s="4"/>
      <c r="AD1037" s="4"/>
      <c r="AE1037" s="4"/>
      <c r="AF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3"/>
      <c r="M1038" s="4"/>
      <c r="N1038" s="3"/>
      <c r="O1038" s="3"/>
      <c r="P1038" s="4"/>
      <c r="Q1038" s="4"/>
      <c r="R1038" s="3"/>
      <c r="S1038" s="4"/>
      <c r="T1038" s="5"/>
      <c r="U1038" s="4"/>
      <c r="V1038" s="4"/>
      <c r="W1038" s="4"/>
      <c r="X1038" s="67"/>
      <c r="Y1038" s="67"/>
      <c r="Z1038" s="67"/>
      <c r="AA1038" s="4"/>
      <c r="AB1038" s="4"/>
      <c r="AC1038" s="4"/>
      <c r="AD1038" s="4"/>
      <c r="AE1038" s="4"/>
      <c r="AF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3"/>
      <c r="M1039" s="4"/>
      <c r="N1039" s="3"/>
      <c r="O1039" s="3"/>
      <c r="P1039" s="4"/>
      <c r="Q1039" s="4"/>
      <c r="R1039" s="3"/>
      <c r="S1039" s="4"/>
      <c r="T1039" s="5"/>
      <c r="U1039" s="4"/>
      <c r="V1039" s="4"/>
      <c r="W1039" s="4"/>
      <c r="X1039" s="67"/>
      <c r="Y1039" s="67"/>
      <c r="Z1039" s="67"/>
      <c r="AA1039" s="4"/>
      <c r="AB1039" s="4"/>
      <c r="AC1039" s="4"/>
      <c r="AD1039" s="4"/>
      <c r="AE1039" s="4"/>
      <c r="AF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3"/>
      <c r="M1040" s="4"/>
      <c r="N1040" s="3"/>
      <c r="O1040" s="3"/>
      <c r="P1040" s="4"/>
      <c r="Q1040" s="4"/>
      <c r="R1040" s="3"/>
      <c r="S1040" s="4"/>
      <c r="T1040" s="5"/>
      <c r="U1040" s="4"/>
      <c r="V1040" s="4"/>
      <c r="W1040" s="4"/>
      <c r="X1040" s="67"/>
      <c r="Y1040" s="67"/>
      <c r="Z1040" s="67"/>
      <c r="AA1040" s="4"/>
      <c r="AB1040" s="4"/>
      <c r="AC1040" s="4"/>
      <c r="AD1040" s="4"/>
      <c r="AE1040" s="4"/>
      <c r="AF1040" s="4"/>
    </row>
  </sheetData>
  <mergeCells count="155">
    <mergeCell ref="U13:U16"/>
    <mergeCell ref="U17:U20"/>
    <mergeCell ref="W2:W4"/>
    <mergeCell ref="S5:S6"/>
    <mergeCell ref="U5:U6"/>
    <mergeCell ref="S9:S10"/>
    <mergeCell ref="U9:U10"/>
    <mergeCell ref="U11:U12"/>
    <mergeCell ref="U21:U24"/>
    <mergeCell ref="R11:R24"/>
    <mergeCell ref="R25:R27"/>
    <mergeCell ref="S25:S27"/>
    <mergeCell ref="U25:U27"/>
    <mergeCell ref="U28:U34"/>
    <mergeCell ref="R35:R37"/>
    <mergeCell ref="S35:S37"/>
    <mergeCell ref="U44:U45"/>
    <mergeCell ref="U46:U47"/>
    <mergeCell ref="U48:U49"/>
    <mergeCell ref="W48:W49"/>
    <mergeCell ref="S50:S51"/>
    <mergeCell ref="U50:U51"/>
    <mergeCell ref="U52:U53"/>
    <mergeCell ref="U54:U59"/>
    <mergeCell ref="R38:R39"/>
    <mergeCell ref="S38:S39"/>
    <mergeCell ref="U38:U39"/>
    <mergeCell ref="S40:S43"/>
    <mergeCell ref="U40:U43"/>
    <mergeCell ref="S44:S45"/>
    <mergeCell ref="S46:S47"/>
    <mergeCell ref="F7:F8"/>
    <mergeCell ref="S7:S8"/>
    <mergeCell ref="X2:X4"/>
    <mergeCell ref="Y2:Y4"/>
    <mergeCell ref="Z2:Z4"/>
    <mergeCell ref="B5:B6"/>
    <mergeCell ref="C5:C6"/>
    <mergeCell ref="D5:D8"/>
    <mergeCell ref="F5:F6"/>
    <mergeCell ref="U7:U8"/>
    <mergeCell ref="D9:D10"/>
    <mergeCell ref="D11:D24"/>
    <mergeCell ref="D28:D34"/>
    <mergeCell ref="B7:B8"/>
    <mergeCell ref="C7:C8"/>
    <mergeCell ref="B9:B10"/>
    <mergeCell ref="C9:C10"/>
    <mergeCell ref="F9:F10"/>
    <mergeCell ref="C11:C12"/>
    <mergeCell ref="F11:F12"/>
    <mergeCell ref="B11:B12"/>
    <mergeCell ref="B13:B16"/>
    <mergeCell ref="C13:C16"/>
    <mergeCell ref="F13:F16"/>
    <mergeCell ref="B17:B20"/>
    <mergeCell ref="C17:C20"/>
    <mergeCell ref="F17:F20"/>
    <mergeCell ref="B21:B24"/>
    <mergeCell ref="C21:C24"/>
    <mergeCell ref="F21:F24"/>
    <mergeCell ref="B25:B27"/>
    <mergeCell ref="C25:C27"/>
    <mergeCell ref="D25:D27"/>
    <mergeCell ref="F25:F27"/>
    <mergeCell ref="U35:U37"/>
    <mergeCell ref="W35:W37"/>
    <mergeCell ref="W38:W39"/>
    <mergeCell ref="B56:B57"/>
    <mergeCell ref="B58:B59"/>
    <mergeCell ref="B60:B61"/>
    <mergeCell ref="B62:B63"/>
    <mergeCell ref="B64:B65"/>
    <mergeCell ref="B66:B67"/>
    <mergeCell ref="B68:B69"/>
    <mergeCell ref="B70:B71"/>
    <mergeCell ref="B40:B43"/>
    <mergeCell ref="B44:B45"/>
    <mergeCell ref="B46:B47"/>
    <mergeCell ref="B48:B49"/>
    <mergeCell ref="B50:B51"/>
    <mergeCell ref="B52:B53"/>
    <mergeCell ref="B54:B55"/>
    <mergeCell ref="C66:C67"/>
    <mergeCell ref="C68:C69"/>
    <mergeCell ref="C70:C71"/>
    <mergeCell ref="C52:C53"/>
    <mergeCell ref="C54:C55"/>
    <mergeCell ref="C56:C57"/>
    <mergeCell ref="C58:C59"/>
    <mergeCell ref="C60:C61"/>
    <mergeCell ref="C62:C63"/>
    <mergeCell ref="C64:C65"/>
    <mergeCell ref="C77:D77"/>
    <mergeCell ref="C78:D78"/>
    <mergeCell ref="A79:A80"/>
    <mergeCell ref="C79:D79"/>
    <mergeCell ref="C80:D80"/>
    <mergeCell ref="E78:F78"/>
    <mergeCell ref="E79:F79"/>
    <mergeCell ref="E80:F80"/>
    <mergeCell ref="D68:D69"/>
    <mergeCell ref="D70:D71"/>
    <mergeCell ref="A75:G75"/>
    <mergeCell ref="C76:D76"/>
    <mergeCell ref="E76:F76"/>
    <mergeCell ref="A77:A78"/>
    <mergeCell ref="E77:F77"/>
    <mergeCell ref="B28:B29"/>
    <mergeCell ref="C28:C29"/>
    <mergeCell ref="F28:F29"/>
    <mergeCell ref="B30:B32"/>
    <mergeCell ref="C30:C32"/>
    <mergeCell ref="B33:B34"/>
    <mergeCell ref="C33:C34"/>
    <mergeCell ref="B35:B37"/>
    <mergeCell ref="C35:C37"/>
    <mergeCell ref="D35:D37"/>
    <mergeCell ref="B38:B39"/>
    <mergeCell ref="D38:D39"/>
    <mergeCell ref="C40:C43"/>
    <mergeCell ref="D40:D43"/>
    <mergeCell ref="F30:F32"/>
    <mergeCell ref="F33:F34"/>
    <mergeCell ref="F35:F37"/>
    <mergeCell ref="F38:F39"/>
    <mergeCell ref="F40:F43"/>
    <mergeCell ref="F44:F45"/>
    <mergeCell ref="F46:F47"/>
    <mergeCell ref="C44:C45"/>
    <mergeCell ref="D44:D45"/>
    <mergeCell ref="D46:D47"/>
    <mergeCell ref="D48:D49"/>
    <mergeCell ref="C50:C51"/>
    <mergeCell ref="D50:D51"/>
    <mergeCell ref="D52:D53"/>
    <mergeCell ref="F62:F63"/>
    <mergeCell ref="F64:F65"/>
    <mergeCell ref="F66:F67"/>
    <mergeCell ref="F68:F69"/>
    <mergeCell ref="F70:F71"/>
    <mergeCell ref="F48:F49"/>
    <mergeCell ref="F50:F51"/>
    <mergeCell ref="F52:F53"/>
    <mergeCell ref="F54:F55"/>
    <mergeCell ref="F56:F57"/>
    <mergeCell ref="F58:F59"/>
    <mergeCell ref="F60:F61"/>
    <mergeCell ref="D54:D55"/>
    <mergeCell ref="D56:D57"/>
    <mergeCell ref="D58:D59"/>
    <mergeCell ref="D60:D61"/>
    <mergeCell ref="D62:D63"/>
    <mergeCell ref="D64:D65"/>
    <mergeCell ref="D66:D67"/>
  </mergeCells>
  <conditionalFormatting sqref="W44">
    <cfRule type="notContainsBlanks" dxfId="2" priority="1">
      <formula>LEN(TRIM(W44))&gt;0</formula>
    </cfRule>
  </conditionalFormatting>
  <conditionalFormatting sqref="F1:F74 B50:D71 F81:F1040">
    <cfRule type="containsText" dxfId="0" priority="2" operator="containsText" text="3인">
      <formula>NOT(ISERROR(SEARCH(("3인"),(F1))))</formula>
    </cfRule>
  </conditionalFormatting>
  <conditionalFormatting sqref="F1:F74 B50:D71 F81:F1040">
    <cfRule type="containsText" dxfId="1" priority="3" operator="containsText" text="4인">
      <formula>NOT(ISERROR(SEARCH(("4인"),(F1))))</formula>
    </cfRule>
  </conditionalFormatting>
  <hyperlinks>
    <hyperlink r:id="rId2" ref="Z28"/>
    <hyperlink r:id="rId3" ref="Z29"/>
    <hyperlink r:id="rId4" ref="Z30"/>
    <hyperlink r:id="rId5" ref="Z31"/>
    <hyperlink r:id="rId6" ref="Z32"/>
    <hyperlink r:id="rId7" ref="Z33"/>
    <hyperlink r:id="rId8" ref="Z34"/>
    <hyperlink r:id="rId9" ref="Z35"/>
    <hyperlink r:id="rId10" ref="Z36"/>
    <hyperlink r:id="rId11" ref="Z37"/>
    <hyperlink r:id="rId12" ref="Z38"/>
    <hyperlink r:id="rId13" ref="Z39"/>
    <hyperlink r:id="rId14" ref="Z48"/>
    <hyperlink r:id="rId15" ref="Z49"/>
    <hyperlink r:id="rId16" ref="Z50"/>
    <hyperlink r:id="rId17" ref="Z5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7.13"/>
    <col customWidth="1" min="4" max="5" width="10.75"/>
    <col customWidth="1" min="6" max="6" width="13.75"/>
    <col customWidth="1" min="10" max="10" width="15.75"/>
    <col customWidth="1" min="17" max="17" width="12.5"/>
    <col customWidth="1" min="20" max="20" width="17.25"/>
    <col customWidth="1" min="22" max="22" width="20.63"/>
    <col customWidth="1" min="23" max="23" width="35.75"/>
    <col customWidth="1" min="25" max="25" width="14.38"/>
    <col customWidth="1" min="26" max="26" width="6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551</v>
      </c>
      <c r="K1" s="1"/>
      <c r="L1" s="2"/>
      <c r="M1" s="1"/>
      <c r="N1" s="2"/>
      <c r="O1" s="2"/>
      <c r="P1" s="1"/>
      <c r="Q1" s="1"/>
      <c r="R1" s="239"/>
      <c r="T1" s="240"/>
      <c r="X1" s="129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  <c r="Y2" s="154" t="s">
        <v>552</v>
      </c>
      <c r="Z2" s="155" t="s">
        <v>4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  <c r="Y3" s="158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  <c r="Y4" s="162"/>
    </row>
    <row r="5">
      <c r="A5" s="60">
        <v>1.0</v>
      </c>
      <c r="B5" s="84"/>
      <c r="C5" s="84"/>
      <c r="D5" s="241">
        <v>1.0</v>
      </c>
      <c r="E5" s="70">
        <v>1.0</v>
      </c>
      <c r="F5" s="242" t="s">
        <v>553</v>
      </c>
      <c r="G5" s="87" t="s">
        <v>554</v>
      </c>
      <c r="H5" s="87" t="s">
        <v>555</v>
      </c>
      <c r="I5" s="87" t="s">
        <v>556</v>
      </c>
      <c r="J5" s="243" t="s">
        <v>557</v>
      </c>
      <c r="K5" s="243" t="s">
        <v>558</v>
      </c>
      <c r="L5" s="244">
        <v>1.9830709E7</v>
      </c>
      <c r="M5" s="87" t="s">
        <v>559</v>
      </c>
      <c r="N5" s="245">
        <v>45877.0</v>
      </c>
      <c r="O5" s="245">
        <v>49529.0</v>
      </c>
      <c r="P5" s="87" t="s">
        <v>560</v>
      </c>
      <c r="Q5" s="246"/>
      <c r="R5" s="247">
        <v>45984.0</v>
      </c>
      <c r="S5" s="248" t="s">
        <v>50</v>
      </c>
      <c r="T5" s="249">
        <v>2980000.0</v>
      </c>
      <c r="U5" s="42" t="s">
        <v>561</v>
      </c>
      <c r="V5" s="52"/>
      <c r="W5" s="250" t="s">
        <v>562</v>
      </c>
      <c r="X5" s="251"/>
      <c r="Y5" s="252" t="s">
        <v>563</v>
      </c>
      <c r="Z5" s="253" t="s">
        <v>564</v>
      </c>
    </row>
    <row r="6">
      <c r="A6" s="60">
        <v>2.0</v>
      </c>
      <c r="B6" s="39"/>
      <c r="C6" s="39"/>
      <c r="D6" s="28"/>
      <c r="E6" s="70">
        <v>1.0</v>
      </c>
      <c r="F6" s="39"/>
      <c r="G6" s="87" t="s">
        <v>565</v>
      </c>
      <c r="H6" s="87" t="s">
        <v>566</v>
      </c>
      <c r="I6" s="87" t="s">
        <v>567</v>
      </c>
      <c r="J6" s="243" t="s">
        <v>568</v>
      </c>
      <c r="K6" s="243" t="s">
        <v>569</v>
      </c>
      <c r="L6" s="244">
        <v>1.9840228E7</v>
      </c>
      <c r="M6" s="87" t="s">
        <v>570</v>
      </c>
      <c r="N6" s="245">
        <v>43586.0</v>
      </c>
      <c r="O6" s="245">
        <v>47239.0</v>
      </c>
      <c r="P6" s="243" t="s">
        <v>571</v>
      </c>
      <c r="Q6" s="246"/>
      <c r="R6" s="254"/>
      <c r="S6" s="255"/>
      <c r="T6" s="256"/>
      <c r="U6" s="28"/>
      <c r="V6" s="57"/>
      <c r="W6" s="257"/>
      <c r="X6" s="258"/>
      <c r="Y6" s="252" t="s">
        <v>563</v>
      </c>
      <c r="Z6" s="259" t="s">
        <v>572</v>
      </c>
    </row>
    <row r="7">
      <c r="A7" s="97">
        <v>3.0</v>
      </c>
      <c r="B7" s="260"/>
      <c r="C7" s="260"/>
      <c r="D7" s="28"/>
      <c r="E7" s="164">
        <v>3.0</v>
      </c>
      <c r="F7" s="261" t="s">
        <v>573</v>
      </c>
      <c r="G7" s="166" t="s">
        <v>574</v>
      </c>
      <c r="H7" s="166" t="s">
        <v>575</v>
      </c>
      <c r="I7" s="166" t="s">
        <v>576</v>
      </c>
      <c r="J7" s="166" t="s">
        <v>577</v>
      </c>
      <c r="K7" s="262" t="s">
        <v>558</v>
      </c>
      <c r="L7" s="168">
        <v>1.963051E7</v>
      </c>
      <c r="M7" s="166" t="s">
        <v>578</v>
      </c>
      <c r="N7" s="180">
        <v>45115.0</v>
      </c>
      <c r="O7" s="180">
        <v>48768.0</v>
      </c>
      <c r="P7" s="166" t="s">
        <v>579</v>
      </c>
      <c r="Q7" s="263"/>
      <c r="R7" s="264"/>
      <c r="S7" s="265"/>
      <c r="T7" s="266"/>
      <c r="U7" s="28"/>
      <c r="V7" s="104"/>
      <c r="W7" s="267"/>
      <c r="X7" s="268"/>
      <c r="Y7" s="269"/>
      <c r="Z7" s="270"/>
      <c r="AA7" s="270"/>
      <c r="AB7" s="270"/>
      <c r="AC7" s="270"/>
      <c r="AD7" s="270"/>
      <c r="AE7" s="270"/>
      <c r="AF7" s="270"/>
    </row>
    <row r="8">
      <c r="A8" s="97">
        <v>4.0</v>
      </c>
      <c r="B8" s="39"/>
      <c r="C8" s="39"/>
      <c r="D8" s="28"/>
      <c r="E8" s="164">
        <v>3.0</v>
      </c>
      <c r="F8" s="39"/>
      <c r="G8" s="166" t="s">
        <v>574</v>
      </c>
      <c r="H8" s="166" t="s">
        <v>580</v>
      </c>
      <c r="I8" s="166" t="s">
        <v>581</v>
      </c>
      <c r="J8" s="166" t="s">
        <v>582</v>
      </c>
      <c r="K8" s="262" t="s">
        <v>558</v>
      </c>
      <c r="L8" s="168">
        <v>1.9580305E7</v>
      </c>
      <c r="M8" s="166" t="s">
        <v>583</v>
      </c>
      <c r="N8" s="180">
        <v>44909.0</v>
      </c>
      <c r="O8" s="180">
        <v>48562.0</v>
      </c>
      <c r="P8" s="166" t="s">
        <v>584</v>
      </c>
      <c r="Q8" s="271"/>
      <c r="R8" s="272">
        <v>45984.0</v>
      </c>
      <c r="S8" s="273" t="s">
        <v>50</v>
      </c>
      <c r="T8" s="274">
        <v>2190000.0</v>
      </c>
      <c r="U8" s="28"/>
      <c r="V8" s="275" t="s">
        <v>585</v>
      </c>
      <c r="W8" s="276" t="s">
        <v>586</v>
      </c>
      <c r="X8" s="268"/>
      <c r="Y8" s="269"/>
      <c r="Z8" s="270"/>
      <c r="AA8" s="270"/>
      <c r="AB8" s="270"/>
      <c r="AC8" s="270"/>
      <c r="AD8" s="270"/>
      <c r="AE8" s="270"/>
      <c r="AF8" s="270"/>
    </row>
    <row r="9">
      <c r="A9" s="60">
        <v>5.0</v>
      </c>
      <c r="B9" s="84"/>
      <c r="C9" s="84"/>
      <c r="D9" s="28"/>
      <c r="E9" s="70">
        <v>4.0</v>
      </c>
      <c r="F9" s="277" t="s">
        <v>573</v>
      </c>
      <c r="G9" s="87" t="s">
        <v>554</v>
      </c>
      <c r="H9" s="87" t="s">
        <v>587</v>
      </c>
      <c r="I9" s="87" t="s">
        <v>588</v>
      </c>
      <c r="J9" s="87" t="s">
        <v>589</v>
      </c>
      <c r="K9" s="243" t="s">
        <v>558</v>
      </c>
      <c r="L9" s="244">
        <v>1.9711009E7</v>
      </c>
      <c r="M9" s="87" t="s">
        <v>590</v>
      </c>
      <c r="N9" s="245">
        <v>44907.0</v>
      </c>
      <c r="O9" s="245">
        <v>46703.0</v>
      </c>
      <c r="P9" s="87" t="s">
        <v>591</v>
      </c>
      <c r="Q9" s="278"/>
      <c r="R9" s="247">
        <v>45986.0</v>
      </c>
      <c r="S9" s="248" t="s">
        <v>514</v>
      </c>
      <c r="T9" s="249" t="s">
        <v>592</v>
      </c>
      <c r="U9" s="28"/>
      <c r="V9" s="48"/>
      <c r="W9" s="279" t="s">
        <v>593</v>
      </c>
      <c r="X9" s="258"/>
      <c r="Y9" s="252" t="s">
        <v>563</v>
      </c>
      <c r="Z9" s="259" t="s">
        <v>594</v>
      </c>
    </row>
    <row r="10">
      <c r="A10" s="60">
        <v>6.0</v>
      </c>
      <c r="B10" s="39"/>
      <c r="C10" s="39"/>
      <c r="D10" s="28"/>
      <c r="E10" s="70">
        <v>4.0</v>
      </c>
      <c r="F10" s="39"/>
      <c r="G10" s="87" t="s">
        <v>565</v>
      </c>
      <c r="H10" s="87" t="s">
        <v>595</v>
      </c>
      <c r="I10" s="87" t="s">
        <v>596</v>
      </c>
      <c r="J10" s="87" t="s">
        <v>597</v>
      </c>
      <c r="K10" s="243" t="s">
        <v>569</v>
      </c>
      <c r="L10" s="244">
        <v>1.970092E7</v>
      </c>
      <c r="M10" s="87" t="s">
        <v>598</v>
      </c>
      <c r="N10" s="245">
        <v>42781.0</v>
      </c>
      <c r="O10" s="245">
        <v>46433.0</v>
      </c>
      <c r="P10" s="87" t="s">
        <v>599</v>
      </c>
      <c r="Q10" s="278"/>
      <c r="R10" s="254"/>
      <c r="S10" s="255"/>
      <c r="T10" s="256"/>
      <c r="U10" s="28"/>
      <c r="V10" s="48"/>
      <c r="W10" s="257"/>
      <c r="X10" s="258"/>
      <c r="Y10" s="252" t="s">
        <v>563</v>
      </c>
      <c r="Z10" s="259" t="s">
        <v>600</v>
      </c>
    </row>
    <row r="11">
      <c r="A11" s="60">
        <v>7.0</v>
      </c>
      <c r="B11" s="84"/>
      <c r="C11" s="84"/>
      <c r="D11" s="28"/>
      <c r="E11" s="70">
        <v>5.0</v>
      </c>
      <c r="F11" s="277" t="s">
        <v>573</v>
      </c>
      <c r="G11" s="87" t="s">
        <v>574</v>
      </c>
      <c r="H11" s="87" t="s">
        <v>601</v>
      </c>
      <c r="I11" s="87" t="s">
        <v>602</v>
      </c>
      <c r="J11" s="87" t="s">
        <v>603</v>
      </c>
      <c r="K11" s="243" t="s">
        <v>569</v>
      </c>
      <c r="L11" s="244">
        <v>1.9690127E7</v>
      </c>
      <c r="M11" s="87" t="s">
        <v>604</v>
      </c>
      <c r="N11" s="245">
        <v>43108.0</v>
      </c>
      <c r="O11" s="245">
        <v>46760.0</v>
      </c>
      <c r="P11" s="87" t="s">
        <v>605</v>
      </c>
      <c r="Q11" s="278"/>
      <c r="R11" s="254"/>
      <c r="S11" s="280"/>
      <c r="T11" s="256"/>
      <c r="U11" s="28"/>
      <c r="V11" s="57"/>
      <c r="W11" s="281"/>
      <c r="X11" s="258"/>
      <c r="Y11" s="252" t="s">
        <v>563</v>
      </c>
      <c r="Z11" s="259" t="s">
        <v>606</v>
      </c>
    </row>
    <row r="12">
      <c r="A12" s="60">
        <v>8.0</v>
      </c>
      <c r="B12" s="39"/>
      <c r="C12" s="39"/>
      <c r="D12" s="28"/>
      <c r="E12" s="70">
        <v>5.0</v>
      </c>
      <c r="F12" s="39"/>
      <c r="G12" s="87" t="s">
        <v>554</v>
      </c>
      <c r="H12" s="87" t="s">
        <v>607</v>
      </c>
      <c r="I12" s="87" t="s">
        <v>608</v>
      </c>
      <c r="J12" s="87" t="s">
        <v>609</v>
      </c>
      <c r="K12" s="243" t="s">
        <v>558</v>
      </c>
      <c r="L12" s="244">
        <v>1.9710401E7</v>
      </c>
      <c r="M12" s="87" t="s">
        <v>610</v>
      </c>
      <c r="N12" s="245">
        <v>45953.0</v>
      </c>
      <c r="O12" s="245">
        <v>49605.0</v>
      </c>
      <c r="P12" s="87" t="s">
        <v>611</v>
      </c>
      <c r="Q12" s="278"/>
      <c r="R12" s="254"/>
      <c r="S12" s="280"/>
      <c r="T12" s="256"/>
      <c r="U12" s="28"/>
      <c r="V12" s="57"/>
      <c r="W12" s="281"/>
      <c r="X12" s="258"/>
      <c r="Y12" s="252" t="s">
        <v>563</v>
      </c>
      <c r="Z12" s="253" t="s">
        <v>612</v>
      </c>
    </row>
    <row r="13">
      <c r="A13" s="60">
        <v>9.0</v>
      </c>
      <c r="B13" s="84"/>
      <c r="C13" s="84"/>
      <c r="D13" s="28"/>
      <c r="E13" s="70">
        <v>6.0</v>
      </c>
      <c r="F13" s="277" t="s">
        <v>573</v>
      </c>
      <c r="G13" s="87" t="s">
        <v>574</v>
      </c>
      <c r="H13" s="87" t="s">
        <v>613</v>
      </c>
      <c r="I13" s="87" t="s">
        <v>614</v>
      </c>
      <c r="J13" s="87" t="s">
        <v>615</v>
      </c>
      <c r="K13" s="243" t="s">
        <v>569</v>
      </c>
      <c r="L13" s="244">
        <v>1.9700915E7</v>
      </c>
      <c r="M13" s="87" t="s">
        <v>616</v>
      </c>
      <c r="N13" s="245">
        <v>44917.0</v>
      </c>
      <c r="O13" s="245">
        <v>48570.0</v>
      </c>
      <c r="P13" s="87" t="s">
        <v>617</v>
      </c>
      <c r="Q13" s="278"/>
      <c r="R13" s="254"/>
      <c r="S13" s="280"/>
      <c r="T13" s="256"/>
      <c r="U13" s="28"/>
      <c r="V13" s="57"/>
      <c r="W13" s="281"/>
      <c r="X13" s="258"/>
      <c r="Y13" s="252" t="s">
        <v>563</v>
      </c>
      <c r="Z13" s="259" t="s">
        <v>618</v>
      </c>
    </row>
    <row r="14">
      <c r="A14" s="60">
        <v>10.0</v>
      </c>
      <c r="B14" s="39"/>
      <c r="C14" s="39"/>
      <c r="D14" s="28"/>
      <c r="E14" s="70">
        <v>6.0</v>
      </c>
      <c r="F14" s="39"/>
      <c r="G14" s="87" t="s">
        <v>554</v>
      </c>
      <c r="H14" s="87" t="s">
        <v>619</v>
      </c>
      <c r="I14" s="87" t="s">
        <v>620</v>
      </c>
      <c r="J14" s="87" t="s">
        <v>621</v>
      </c>
      <c r="K14" s="243" t="s">
        <v>558</v>
      </c>
      <c r="L14" s="244">
        <v>1.9730616E7</v>
      </c>
      <c r="M14" s="87" t="s">
        <v>622</v>
      </c>
      <c r="N14" s="245">
        <v>44917.0</v>
      </c>
      <c r="O14" s="245">
        <v>48570.0</v>
      </c>
      <c r="P14" s="87" t="s">
        <v>623</v>
      </c>
      <c r="Q14" s="278"/>
      <c r="R14" s="254"/>
      <c r="S14" s="280"/>
      <c r="T14" s="256"/>
      <c r="U14" s="28"/>
      <c r="V14" s="57"/>
      <c r="W14" s="281"/>
      <c r="X14" s="258"/>
      <c r="Y14" s="252" t="s">
        <v>563</v>
      </c>
      <c r="Z14" s="259" t="s">
        <v>624</v>
      </c>
    </row>
    <row r="15">
      <c r="A15" s="60">
        <v>11.0</v>
      </c>
      <c r="B15" s="84"/>
      <c r="C15" s="84"/>
      <c r="D15" s="28"/>
      <c r="E15" s="70">
        <v>7.0</v>
      </c>
      <c r="F15" s="277" t="s">
        <v>573</v>
      </c>
      <c r="G15" s="87" t="s">
        <v>554</v>
      </c>
      <c r="H15" s="87" t="s">
        <v>625</v>
      </c>
      <c r="I15" s="87" t="s">
        <v>626</v>
      </c>
      <c r="J15" s="87" t="s">
        <v>627</v>
      </c>
      <c r="K15" s="243" t="s">
        <v>569</v>
      </c>
      <c r="L15" s="244">
        <v>1.9671029E7</v>
      </c>
      <c r="M15" s="87" t="s">
        <v>628</v>
      </c>
      <c r="N15" s="245">
        <v>44917.0</v>
      </c>
      <c r="O15" s="245">
        <v>48570.0</v>
      </c>
      <c r="P15" s="87" t="s">
        <v>629</v>
      </c>
      <c r="Q15" s="278"/>
      <c r="R15" s="254"/>
      <c r="S15" s="280"/>
      <c r="T15" s="256"/>
      <c r="U15" s="28"/>
      <c r="V15" s="57"/>
      <c r="W15" s="281"/>
      <c r="X15" s="258"/>
      <c r="Y15" s="252" t="s">
        <v>563</v>
      </c>
      <c r="Z15" s="259" t="s">
        <v>630</v>
      </c>
    </row>
    <row r="16">
      <c r="A16" s="60">
        <v>12.0</v>
      </c>
      <c r="B16" s="39"/>
      <c r="C16" s="39"/>
      <c r="D16" s="39"/>
      <c r="E16" s="70">
        <v>7.0</v>
      </c>
      <c r="F16" s="39"/>
      <c r="G16" s="87" t="s">
        <v>574</v>
      </c>
      <c r="H16" s="87" t="s">
        <v>631</v>
      </c>
      <c r="I16" s="87" t="s">
        <v>632</v>
      </c>
      <c r="J16" s="87" t="s">
        <v>633</v>
      </c>
      <c r="K16" s="243" t="s">
        <v>558</v>
      </c>
      <c r="L16" s="244">
        <v>1.9730313E7</v>
      </c>
      <c r="M16" s="87" t="s">
        <v>634</v>
      </c>
      <c r="N16" s="245">
        <v>45002.0</v>
      </c>
      <c r="O16" s="245">
        <v>48655.0</v>
      </c>
      <c r="P16" s="87" t="s">
        <v>635</v>
      </c>
      <c r="Q16" s="278"/>
      <c r="R16" s="254"/>
      <c r="S16" s="280"/>
      <c r="T16" s="256"/>
      <c r="U16" s="39"/>
      <c r="V16" s="57"/>
      <c r="W16" s="281"/>
      <c r="X16" s="258"/>
      <c r="Y16" s="252" t="s">
        <v>563</v>
      </c>
      <c r="Z16" s="259" t="s">
        <v>636</v>
      </c>
    </row>
    <row r="17">
      <c r="A17" s="60">
        <v>13.0</v>
      </c>
      <c r="B17" s="84"/>
      <c r="C17" s="84"/>
      <c r="D17" s="42">
        <v>2.0</v>
      </c>
      <c r="E17" s="43">
        <v>1.0</v>
      </c>
      <c r="F17" s="62" t="s">
        <v>637</v>
      </c>
      <c r="G17" s="45" t="s">
        <v>115</v>
      </c>
      <c r="H17" s="45" t="s">
        <v>638</v>
      </c>
      <c r="I17" s="43" t="s">
        <v>639</v>
      </c>
      <c r="J17" s="68"/>
      <c r="K17" s="46" t="s">
        <v>47</v>
      </c>
      <c r="L17" s="47">
        <v>24021.0</v>
      </c>
      <c r="M17" s="45" t="s">
        <v>640</v>
      </c>
      <c r="N17" s="47">
        <v>42894.0</v>
      </c>
      <c r="O17" s="47">
        <v>46546.0</v>
      </c>
      <c r="P17" s="43" t="s">
        <v>641</v>
      </c>
      <c r="Q17" s="57"/>
      <c r="R17" s="49">
        <v>45993.0</v>
      </c>
      <c r="S17" s="50" t="s">
        <v>50</v>
      </c>
      <c r="T17" s="282">
        <v>3780000.0</v>
      </c>
      <c r="U17" s="42" t="s">
        <v>67</v>
      </c>
      <c r="V17" s="57"/>
      <c r="W17" s="196"/>
      <c r="X17" s="258"/>
      <c r="Y17" s="252" t="s">
        <v>563</v>
      </c>
    </row>
    <row r="18">
      <c r="A18" s="60">
        <v>14.0</v>
      </c>
      <c r="B18" s="39"/>
      <c r="C18" s="39"/>
      <c r="D18" s="39"/>
      <c r="E18" s="43">
        <v>1.0</v>
      </c>
      <c r="F18" s="39"/>
      <c r="G18" s="45" t="s">
        <v>642</v>
      </c>
      <c r="H18" s="45" t="s">
        <v>643</v>
      </c>
      <c r="I18" s="43" t="s">
        <v>644</v>
      </c>
      <c r="J18" s="68"/>
      <c r="K18" s="46" t="str">
        <f>IF(MOD(MID(J18,8,1),2)=1,"M","F")</f>
        <v>F</v>
      </c>
      <c r="L18" s="47">
        <v>24423.0</v>
      </c>
      <c r="M18" s="45" t="s">
        <v>645</v>
      </c>
      <c r="N18" s="47">
        <v>42894.0</v>
      </c>
      <c r="O18" s="47">
        <v>46546.0</v>
      </c>
      <c r="P18" s="69"/>
      <c r="Q18" s="57"/>
      <c r="R18" s="56"/>
      <c r="S18" s="39"/>
      <c r="T18" s="283"/>
      <c r="U18" s="39"/>
      <c r="V18" s="57"/>
      <c r="W18" s="196"/>
      <c r="X18" s="258"/>
      <c r="Y18" s="252" t="s">
        <v>563</v>
      </c>
    </row>
    <row r="19">
      <c r="A19" s="60">
        <v>15.0</v>
      </c>
      <c r="B19" s="84"/>
      <c r="C19" s="42" t="s">
        <v>646</v>
      </c>
      <c r="D19" s="42">
        <v>3.0</v>
      </c>
      <c r="E19" s="43">
        <v>1.0</v>
      </c>
      <c r="F19" s="62" t="s">
        <v>647</v>
      </c>
      <c r="G19" s="45" t="s">
        <v>318</v>
      </c>
      <c r="H19" s="45" t="s">
        <v>648</v>
      </c>
      <c r="I19" s="43" t="s">
        <v>649</v>
      </c>
      <c r="J19" s="68"/>
      <c r="K19" s="46" t="s">
        <v>57</v>
      </c>
      <c r="L19" s="47">
        <v>28869.0</v>
      </c>
      <c r="M19" s="45" t="s">
        <v>650</v>
      </c>
      <c r="N19" s="47">
        <v>46020.0</v>
      </c>
      <c r="O19" s="47">
        <v>49672.0</v>
      </c>
      <c r="P19" s="43"/>
      <c r="Q19" s="57"/>
      <c r="R19" s="49">
        <v>45995.0</v>
      </c>
      <c r="S19" s="50" t="s">
        <v>132</v>
      </c>
      <c r="T19" s="282" t="s">
        <v>651</v>
      </c>
      <c r="U19" s="42" t="s">
        <v>67</v>
      </c>
      <c r="V19" s="57"/>
      <c r="W19" s="212" t="s">
        <v>652</v>
      </c>
      <c r="X19" s="258"/>
      <c r="Y19" s="252" t="s">
        <v>563</v>
      </c>
    </row>
    <row r="20">
      <c r="A20" s="60">
        <v>16.0</v>
      </c>
      <c r="B20" s="39"/>
      <c r="C20" s="39"/>
      <c r="D20" s="28"/>
      <c r="E20" s="43">
        <v>1.0</v>
      </c>
      <c r="F20" s="39"/>
      <c r="G20" s="45" t="s">
        <v>203</v>
      </c>
      <c r="H20" s="45" t="s">
        <v>653</v>
      </c>
      <c r="I20" s="43" t="s">
        <v>654</v>
      </c>
      <c r="J20" s="68"/>
      <c r="K20" s="46" t="s">
        <v>47</v>
      </c>
      <c r="L20" s="47">
        <v>25934.0</v>
      </c>
      <c r="M20" s="45" t="s">
        <v>655</v>
      </c>
      <c r="N20" s="47">
        <v>46020.0</v>
      </c>
      <c r="O20" s="47">
        <v>49672.0</v>
      </c>
      <c r="P20" s="43" t="s">
        <v>656</v>
      </c>
      <c r="Q20" s="57"/>
      <c r="R20" s="80"/>
      <c r="S20" s="28"/>
      <c r="T20" s="283"/>
      <c r="U20" s="28"/>
      <c r="V20" s="57"/>
      <c r="W20" s="80"/>
      <c r="X20" s="258"/>
      <c r="Y20" s="252" t="s">
        <v>563</v>
      </c>
    </row>
    <row r="21">
      <c r="A21" s="60">
        <v>17.0</v>
      </c>
      <c r="B21" s="84"/>
      <c r="C21" s="62" t="s">
        <v>657</v>
      </c>
      <c r="D21" s="28"/>
      <c r="E21" s="43">
        <v>2.0</v>
      </c>
      <c r="F21" s="62" t="s">
        <v>647</v>
      </c>
      <c r="G21" s="45" t="s">
        <v>149</v>
      </c>
      <c r="H21" s="45" t="s">
        <v>658</v>
      </c>
      <c r="I21" s="43" t="s">
        <v>659</v>
      </c>
      <c r="J21" s="68"/>
      <c r="K21" s="46" t="str">
        <f t="shared" ref="K21:K22" si="1">IF(MOD(MID(J21,8,1),2)=1,"M","F")</f>
        <v>F</v>
      </c>
      <c r="L21" s="47">
        <v>18717.0</v>
      </c>
      <c r="M21" s="45" t="s">
        <v>660</v>
      </c>
      <c r="N21" s="88">
        <v>46020.0</v>
      </c>
      <c r="O21" s="88">
        <v>49672.0</v>
      </c>
      <c r="P21" s="68"/>
      <c r="Q21" s="57"/>
      <c r="R21" s="80"/>
      <c r="S21" s="28"/>
      <c r="T21" s="283"/>
      <c r="U21" s="28"/>
      <c r="V21" s="57"/>
      <c r="W21" s="80"/>
      <c r="X21" s="258"/>
      <c r="Y21" s="252" t="s">
        <v>563</v>
      </c>
    </row>
    <row r="22">
      <c r="A22" s="60">
        <v>18.0</v>
      </c>
      <c r="B22" s="39"/>
      <c r="C22" s="39"/>
      <c r="D22" s="39"/>
      <c r="E22" s="43">
        <v>2.0</v>
      </c>
      <c r="F22" s="39"/>
      <c r="G22" s="43" t="s">
        <v>661</v>
      </c>
      <c r="H22" s="43" t="s">
        <v>171</v>
      </c>
      <c r="I22" s="43" t="s">
        <v>662</v>
      </c>
      <c r="J22" s="68"/>
      <c r="K22" s="46" t="str">
        <f t="shared" si="1"/>
        <v>F</v>
      </c>
      <c r="L22" s="47">
        <v>16607.0</v>
      </c>
      <c r="M22" s="45" t="s">
        <v>663</v>
      </c>
      <c r="N22" s="47">
        <v>46009.0</v>
      </c>
      <c r="O22" s="47">
        <v>49661.0</v>
      </c>
      <c r="P22" s="69"/>
      <c r="Q22" s="57"/>
      <c r="R22" s="56"/>
      <c r="S22" s="39"/>
      <c r="T22" s="283"/>
      <c r="U22" s="39"/>
      <c r="V22" s="57"/>
      <c r="W22" s="56"/>
      <c r="X22" s="258"/>
      <c r="Y22" s="252" t="s">
        <v>563</v>
      </c>
    </row>
    <row r="23">
      <c r="A23" s="41">
        <v>19.0</v>
      </c>
      <c r="B23" s="84"/>
      <c r="C23" s="84"/>
      <c r="D23" s="42">
        <v>4.0</v>
      </c>
      <c r="E23" s="43">
        <v>1.0</v>
      </c>
      <c r="F23" s="62" t="s">
        <v>647</v>
      </c>
      <c r="G23" s="69" t="s">
        <v>664</v>
      </c>
      <c r="H23" s="69" t="s">
        <v>665</v>
      </c>
      <c r="I23" s="69" t="s">
        <v>666</v>
      </c>
      <c r="J23" s="43" t="s">
        <v>163</v>
      </c>
      <c r="K23" s="90" t="s">
        <v>47</v>
      </c>
      <c r="L23" s="91">
        <v>29993.0</v>
      </c>
      <c r="M23" s="91" t="s">
        <v>667</v>
      </c>
      <c r="N23" s="77">
        <v>43504.0</v>
      </c>
      <c r="O23" s="77">
        <v>47157.0</v>
      </c>
      <c r="P23" s="43" t="s">
        <v>668</v>
      </c>
      <c r="Q23" s="57"/>
      <c r="R23" s="49">
        <v>46017.0</v>
      </c>
      <c r="S23" s="50" t="s">
        <v>228</v>
      </c>
      <c r="T23" s="51">
        <v>1690000.0</v>
      </c>
      <c r="U23" s="42" t="s">
        <v>75</v>
      </c>
      <c r="V23" s="57"/>
      <c r="W23" s="284" t="s">
        <v>669</v>
      </c>
      <c r="X23" s="258"/>
      <c r="Y23" s="252" t="s">
        <v>563</v>
      </c>
    </row>
    <row r="24">
      <c r="A24" s="41">
        <v>20.0</v>
      </c>
      <c r="B24" s="28"/>
      <c r="C24" s="28"/>
      <c r="D24" s="28"/>
      <c r="E24" s="43">
        <v>1.0</v>
      </c>
      <c r="F24" s="28"/>
      <c r="G24" s="69" t="s">
        <v>664</v>
      </c>
      <c r="H24" s="69" t="s">
        <v>670</v>
      </c>
      <c r="I24" s="69" t="s">
        <v>671</v>
      </c>
      <c r="J24" s="43" t="s">
        <v>163</v>
      </c>
      <c r="K24" s="90" t="s">
        <v>47</v>
      </c>
      <c r="L24" s="91">
        <v>40411.0</v>
      </c>
      <c r="M24" s="91" t="s">
        <v>672</v>
      </c>
      <c r="N24" s="77">
        <v>46022.0</v>
      </c>
      <c r="O24" s="77">
        <v>47848.0</v>
      </c>
      <c r="P24" s="43" t="s">
        <v>163</v>
      </c>
      <c r="Q24" s="57"/>
      <c r="R24" s="80"/>
      <c r="S24" s="28"/>
      <c r="T24" s="51">
        <v>1690000.0</v>
      </c>
      <c r="U24" s="28"/>
      <c r="V24" s="57"/>
      <c r="W24" s="80"/>
      <c r="X24" s="258"/>
      <c r="Y24" s="252" t="s">
        <v>563</v>
      </c>
    </row>
    <row r="25">
      <c r="A25" s="41">
        <v>21.0</v>
      </c>
      <c r="B25" s="28"/>
      <c r="C25" s="28"/>
      <c r="D25" s="28"/>
      <c r="E25" s="43">
        <v>2.0</v>
      </c>
      <c r="F25" s="62" t="s">
        <v>647</v>
      </c>
      <c r="G25" s="69" t="s">
        <v>121</v>
      </c>
      <c r="H25" s="69" t="s">
        <v>673</v>
      </c>
      <c r="I25" s="69" t="s">
        <v>674</v>
      </c>
      <c r="J25" s="43" t="s">
        <v>163</v>
      </c>
      <c r="K25" s="90" t="s">
        <v>57</v>
      </c>
      <c r="L25" s="285">
        <v>29568.0</v>
      </c>
      <c r="M25" s="285" t="s">
        <v>675</v>
      </c>
      <c r="N25" s="77">
        <v>43497.0</v>
      </c>
      <c r="O25" s="77">
        <v>47150.0</v>
      </c>
      <c r="P25" s="43" t="s">
        <v>163</v>
      </c>
      <c r="Q25" s="57"/>
      <c r="R25" s="80"/>
      <c r="S25" s="28"/>
      <c r="T25" s="51">
        <v>1690000.0</v>
      </c>
      <c r="U25" s="28"/>
      <c r="V25" s="57"/>
      <c r="W25" s="80"/>
      <c r="X25" s="258"/>
      <c r="Y25" s="252" t="s">
        <v>563</v>
      </c>
    </row>
    <row r="26">
      <c r="A26" s="41">
        <v>22.0</v>
      </c>
      <c r="B26" s="28"/>
      <c r="C26" s="28"/>
      <c r="D26" s="28"/>
      <c r="E26" s="43">
        <v>2.0</v>
      </c>
      <c r="F26" s="28"/>
      <c r="G26" s="69" t="s">
        <v>664</v>
      </c>
      <c r="H26" s="69" t="s">
        <v>676</v>
      </c>
      <c r="I26" s="69" t="s">
        <v>677</v>
      </c>
      <c r="J26" s="43" t="s">
        <v>163</v>
      </c>
      <c r="K26" s="90" t="s">
        <v>47</v>
      </c>
      <c r="L26" s="91">
        <v>41309.0</v>
      </c>
      <c r="M26" s="91" t="s">
        <v>678</v>
      </c>
      <c r="N26" s="77">
        <v>46022.0</v>
      </c>
      <c r="O26" s="77">
        <v>47848.0</v>
      </c>
      <c r="P26" s="43" t="s">
        <v>163</v>
      </c>
      <c r="Q26" s="57"/>
      <c r="R26" s="80"/>
      <c r="S26" s="28"/>
      <c r="T26" s="51">
        <v>1690000.0</v>
      </c>
      <c r="U26" s="28"/>
      <c r="V26" s="57"/>
      <c r="W26" s="56"/>
      <c r="X26" s="258"/>
      <c r="Y26" s="252" t="s">
        <v>563</v>
      </c>
    </row>
    <row r="27">
      <c r="A27" s="41">
        <v>23.0</v>
      </c>
      <c r="B27" s="28"/>
      <c r="C27" s="28"/>
      <c r="D27" s="28"/>
      <c r="E27" s="43">
        <v>3.0</v>
      </c>
      <c r="F27" s="62" t="s">
        <v>647</v>
      </c>
      <c r="G27" s="69" t="s">
        <v>44</v>
      </c>
      <c r="H27" s="69" t="s">
        <v>679</v>
      </c>
      <c r="I27" s="69" t="s">
        <v>680</v>
      </c>
      <c r="J27" s="43" t="s">
        <v>163</v>
      </c>
      <c r="K27" s="90" t="s">
        <v>47</v>
      </c>
      <c r="L27" s="91">
        <v>29682.0</v>
      </c>
      <c r="M27" s="91" t="s">
        <v>681</v>
      </c>
      <c r="N27" s="77">
        <v>45790.0</v>
      </c>
      <c r="O27" s="77">
        <v>49442.0</v>
      </c>
      <c r="P27" s="43" t="s">
        <v>163</v>
      </c>
      <c r="Q27" s="57"/>
      <c r="R27" s="80"/>
      <c r="S27" s="28"/>
      <c r="T27" s="51">
        <v>1690000.0</v>
      </c>
      <c r="U27" s="28"/>
      <c r="V27" s="57"/>
      <c r="W27" s="284" t="s">
        <v>669</v>
      </c>
      <c r="X27" s="258"/>
      <c r="Y27" s="252" t="s">
        <v>563</v>
      </c>
    </row>
    <row r="28">
      <c r="A28" s="41">
        <v>24.0</v>
      </c>
      <c r="B28" s="28"/>
      <c r="C28" s="28"/>
      <c r="D28" s="28"/>
      <c r="E28" s="43">
        <v>3.0</v>
      </c>
      <c r="F28" s="28"/>
      <c r="G28" s="69" t="s">
        <v>44</v>
      </c>
      <c r="H28" s="69" t="s">
        <v>682</v>
      </c>
      <c r="I28" s="69" t="s">
        <v>683</v>
      </c>
      <c r="J28" s="43" t="s">
        <v>163</v>
      </c>
      <c r="K28" s="90" t="s">
        <v>47</v>
      </c>
      <c r="L28" s="91">
        <v>41710.0</v>
      </c>
      <c r="M28" s="91" t="s">
        <v>684</v>
      </c>
      <c r="N28" s="91">
        <v>46028.0</v>
      </c>
      <c r="O28" s="91">
        <v>47854.0</v>
      </c>
      <c r="P28" s="43" t="s">
        <v>163</v>
      </c>
      <c r="Q28" s="57"/>
      <c r="R28" s="80"/>
      <c r="S28" s="28"/>
      <c r="T28" s="51">
        <v>1690000.0</v>
      </c>
      <c r="U28" s="28"/>
      <c r="V28" s="57"/>
      <c r="W28" s="80"/>
      <c r="X28" s="258"/>
      <c r="Y28" s="252" t="s">
        <v>563</v>
      </c>
    </row>
    <row r="29">
      <c r="A29" s="41">
        <v>25.0</v>
      </c>
      <c r="B29" s="28"/>
      <c r="C29" s="28"/>
      <c r="D29" s="28"/>
      <c r="E29" s="43">
        <v>4.0</v>
      </c>
      <c r="F29" s="62" t="s">
        <v>647</v>
      </c>
      <c r="G29" s="69" t="s">
        <v>209</v>
      </c>
      <c r="H29" s="69" t="s">
        <v>685</v>
      </c>
      <c r="I29" s="69" t="s">
        <v>686</v>
      </c>
      <c r="J29" s="43" t="s">
        <v>163</v>
      </c>
      <c r="K29" s="90" t="s">
        <v>57</v>
      </c>
      <c r="L29" s="91">
        <v>30045.0</v>
      </c>
      <c r="M29" s="91" t="s">
        <v>687</v>
      </c>
      <c r="N29" s="77">
        <v>45741.0</v>
      </c>
      <c r="O29" s="77">
        <v>49393.0</v>
      </c>
      <c r="P29" s="43" t="s">
        <v>163</v>
      </c>
      <c r="Q29" s="57"/>
      <c r="R29" s="80"/>
      <c r="S29" s="28"/>
      <c r="T29" s="51">
        <v>1690000.0</v>
      </c>
      <c r="U29" s="28"/>
      <c r="V29" s="57"/>
      <c r="W29" s="80"/>
      <c r="X29" s="258"/>
      <c r="Y29" s="252" t="s">
        <v>563</v>
      </c>
    </row>
    <row r="30">
      <c r="A30" s="41">
        <v>26.0</v>
      </c>
      <c r="B30" s="28"/>
      <c r="C30" s="28"/>
      <c r="D30" s="28"/>
      <c r="E30" s="43">
        <v>4.0</v>
      </c>
      <c r="F30" s="28"/>
      <c r="G30" s="69" t="s">
        <v>44</v>
      </c>
      <c r="H30" s="69" t="s">
        <v>688</v>
      </c>
      <c r="I30" s="69" t="s">
        <v>689</v>
      </c>
      <c r="J30" s="43" t="s">
        <v>163</v>
      </c>
      <c r="K30" s="90" t="s">
        <v>57</v>
      </c>
      <c r="L30" s="91">
        <v>42851.0</v>
      </c>
      <c r="M30" s="91" t="s">
        <v>690</v>
      </c>
      <c r="N30" s="77">
        <v>46028.0</v>
      </c>
      <c r="O30" s="77">
        <v>47854.0</v>
      </c>
      <c r="P30" s="43" t="s">
        <v>163</v>
      </c>
      <c r="Q30" s="57"/>
      <c r="R30" s="80"/>
      <c r="S30" s="28"/>
      <c r="T30" s="51">
        <v>1690000.0</v>
      </c>
      <c r="U30" s="28"/>
      <c r="V30" s="57"/>
      <c r="W30" s="56"/>
      <c r="X30" s="258"/>
      <c r="Y30" s="252" t="s">
        <v>563</v>
      </c>
    </row>
    <row r="31">
      <c r="A31" s="41">
        <v>27.0</v>
      </c>
      <c r="B31" s="28"/>
      <c r="C31" s="28"/>
      <c r="D31" s="28"/>
      <c r="E31" s="43">
        <v>5.0</v>
      </c>
      <c r="F31" s="62" t="s">
        <v>647</v>
      </c>
      <c r="G31" s="69" t="s">
        <v>44</v>
      </c>
      <c r="H31" s="69" t="s">
        <v>691</v>
      </c>
      <c r="I31" s="69" t="s">
        <v>692</v>
      </c>
      <c r="J31" s="43" t="s">
        <v>163</v>
      </c>
      <c r="K31" s="90" t="s">
        <v>47</v>
      </c>
      <c r="L31" s="91">
        <v>29693.0</v>
      </c>
      <c r="M31" s="91" t="s">
        <v>693</v>
      </c>
      <c r="N31" s="77">
        <v>45073.0</v>
      </c>
      <c r="O31" s="91">
        <v>46870.0</v>
      </c>
      <c r="P31" s="43" t="s">
        <v>163</v>
      </c>
      <c r="Q31" s="57"/>
      <c r="R31" s="80"/>
      <c r="S31" s="28"/>
      <c r="T31" s="51">
        <v>1690000.0</v>
      </c>
      <c r="U31" s="28"/>
      <c r="V31" s="57"/>
      <c r="W31" s="284" t="s">
        <v>669</v>
      </c>
      <c r="X31" s="258"/>
      <c r="Y31" s="252" t="s">
        <v>563</v>
      </c>
    </row>
    <row r="32">
      <c r="A32" s="41">
        <v>28.0</v>
      </c>
      <c r="B32" s="28"/>
      <c r="C32" s="28"/>
      <c r="D32" s="28"/>
      <c r="E32" s="43">
        <v>5.0</v>
      </c>
      <c r="F32" s="28"/>
      <c r="G32" s="69" t="s">
        <v>44</v>
      </c>
      <c r="H32" s="69" t="s">
        <v>694</v>
      </c>
      <c r="I32" s="69" t="s">
        <v>695</v>
      </c>
      <c r="J32" s="43" t="s">
        <v>163</v>
      </c>
      <c r="K32" s="90" t="s">
        <v>47</v>
      </c>
      <c r="L32" s="91">
        <v>41409.0</v>
      </c>
      <c r="M32" s="91" t="s">
        <v>696</v>
      </c>
      <c r="N32" s="77">
        <v>46030.0</v>
      </c>
      <c r="O32" s="77">
        <v>47856.0</v>
      </c>
      <c r="P32" s="43" t="s">
        <v>163</v>
      </c>
      <c r="Q32" s="57"/>
      <c r="R32" s="80"/>
      <c r="S32" s="28"/>
      <c r="T32" s="51">
        <v>1690000.0</v>
      </c>
      <c r="U32" s="28"/>
      <c r="V32" s="57"/>
      <c r="W32" s="80"/>
      <c r="X32" s="258"/>
      <c r="Y32" s="252" t="s">
        <v>563</v>
      </c>
    </row>
    <row r="33">
      <c r="A33" s="41">
        <v>29.0</v>
      </c>
      <c r="B33" s="28"/>
      <c r="C33" s="28"/>
      <c r="D33" s="28"/>
      <c r="E33" s="43">
        <v>6.0</v>
      </c>
      <c r="F33" s="62" t="s">
        <v>647</v>
      </c>
      <c r="G33" s="69" t="s">
        <v>697</v>
      </c>
      <c r="H33" s="69" t="s">
        <v>215</v>
      </c>
      <c r="I33" s="69" t="s">
        <v>698</v>
      </c>
      <c r="J33" s="43" t="s">
        <v>163</v>
      </c>
      <c r="K33" s="90" t="s">
        <v>57</v>
      </c>
      <c r="L33" s="91">
        <v>31829.0</v>
      </c>
      <c r="M33" s="91" t="s">
        <v>699</v>
      </c>
      <c r="N33" s="77">
        <v>45636.0</v>
      </c>
      <c r="O33" s="77">
        <v>49288.0</v>
      </c>
      <c r="P33" s="43" t="s">
        <v>163</v>
      </c>
      <c r="Q33" s="57"/>
      <c r="R33" s="80"/>
      <c r="S33" s="28"/>
      <c r="T33" s="51">
        <v>1690000.0</v>
      </c>
      <c r="U33" s="28"/>
      <c r="V33" s="57"/>
      <c r="W33" s="80"/>
      <c r="X33" s="258"/>
      <c r="Y33" s="252" t="s">
        <v>563</v>
      </c>
    </row>
    <row r="34">
      <c r="A34" s="41">
        <v>30.0</v>
      </c>
      <c r="B34" s="28"/>
      <c r="C34" s="28"/>
      <c r="D34" s="28"/>
      <c r="E34" s="43">
        <v>6.0</v>
      </c>
      <c r="F34" s="28"/>
      <c r="G34" s="69" t="s">
        <v>44</v>
      </c>
      <c r="H34" s="69" t="s">
        <v>700</v>
      </c>
      <c r="I34" s="69" t="s">
        <v>701</v>
      </c>
      <c r="J34" s="43" t="s">
        <v>163</v>
      </c>
      <c r="K34" s="90" t="s">
        <v>47</v>
      </c>
      <c r="L34" s="285">
        <v>42673.0</v>
      </c>
      <c r="M34" s="285" t="s">
        <v>702</v>
      </c>
      <c r="N34" s="77">
        <v>46030.0</v>
      </c>
      <c r="O34" s="91">
        <v>47856.0</v>
      </c>
      <c r="P34" s="43" t="s">
        <v>163</v>
      </c>
      <c r="Q34" s="57"/>
      <c r="R34" s="80"/>
      <c r="S34" s="28"/>
      <c r="T34" s="51">
        <v>1690000.0</v>
      </c>
      <c r="U34" s="28"/>
      <c r="V34" s="57"/>
      <c r="W34" s="56"/>
      <c r="X34" s="258"/>
      <c r="Y34" s="252" t="s">
        <v>563</v>
      </c>
    </row>
    <row r="35">
      <c r="A35" s="41">
        <v>31.0</v>
      </c>
      <c r="B35" s="28"/>
      <c r="C35" s="28"/>
      <c r="D35" s="28"/>
      <c r="E35" s="43">
        <v>7.0</v>
      </c>
      <c r="F35" s="62" t="s">
        <v>647</v>
      </c>
      <c r="G35" s="69" t="s">
        <v>31</v>
      </c>
      <c r="H35" s="69" t="s">
        <v>703</v>
      </c>
      <c r="I35" s="69" t="s">
        <v>704</v>
      </c>
      <c r="J35" s="43" t="s">
        <v>163</v>
      </c>
      <c r="K35" s="90" t="s">
        <v>47</v>
      </c>
      <c r="L35" s="91">
        <v>30000.0</v>
      </c>
      <c r="M35" s="91" t="s">
        <v>705</v>
      </c>
      <c r="N35" s="77">
        <v>44965.0</v>
      </c>
      <c r="O35" s="77">
        <v>48618.0</v>
      </c>
      <c r="P35" s="43" t="s">
        <v>163</v>
      </c>
      <c r="Q35" s="57"/>
      <c r="R35" s="80"/>
      <c r="S35" s="28"/>
      <c r="T35" s="51">
        <v>1690000.0</v>
      </c>
      <c r="U35" s="28"/>
      <c r="V35" s="57"/>
      <c r="W35" s="284" t="s">
        <v>669</v>
      </c>
      <c r="X35" s="258"/>
      <c r="Y35" s="252" t="s">
        <v>563</v>
      </c>
    </row>
    <row r="36">
      <c r="A36" s="41">
        <v>32.0</v>
      </c>
      <c r="B36" s="28"/>
      <c r="C36" s="28"/>
      <c r="D36" s="28"/>
      <c r="E36" s="43">
        <v>7.0</v>
      </c>
      <c r="F36" s="28"/>
      <c r="G36" s="69" t="s">
        <v>31</v>
      </c>
      <c r="H36" s="69" t="s">
        <v>706</v>
      </c>
      <c r="I36" s="69" t="s">
        <v>707</v>
      </c>
      <c r="J36" s="43" t="s">
        <v>163</v>
      </c>
      <c r="K36" s="90" t="s">
        <v>47</v>
      </c>
      <c r="L36" s="285">
        <v>41989.0</v>
      </c>
      <c r="M36" s="285" t="s">
        <v>708</v>
      </c>
      <c r="N36" s="77">
        <v>45022.0</v>
      </c>
      <c r="O36" s="77">
        <v>46818.0</v>
      </c>
      <c r="P36" s="43" t="s">
        <v>163</v>
      </c>
      <c r="Q36" s="57"/>
      <c r="R36" s="80"/>
      <c r="S36" s="28"/>
      <c r="T36" s="51">
        <v>1690000.0</v>
      </c>
      <c r="U36" s="28"/>
      <c r="V36" s="57"/>
      <c r="W36" s="80"/>
      <c r="X36" s="258"/>
      <c r="Y36" s="252" t="s">
        <v>563</v>
      </c>
    </row>
    <row r="37">
      <c r="A37" s="41">
        <v>33.0</v>
      </c>
      <c r="B37" s="28"/>
      <c r="C37" s="28"/>
      <c r="D37" s="28"/>
      <c r="E37" s="43">
        <v>8.0</v>
      </c>
      <c r="F37" s="62" t="s">
        <v>647</v>
      </c>
      <c r="G37" s="69" t="s">
        <v>97</v>
      </c>
      <c r="H37" s="69" t="s">
        <v>709</v>
      </c>
      <c r="I37" s="69" t="s">
        <v>710</v>
      </c>
      <c r="J37" s="43" t="s">
        <v>163</v>
      </c>
      <c r="K37" s="90" t="s">
        <v>57</v>
      </c>
      <c r="L37" s="91">
        <v>31080.0</v>
      </c>
      <c r="M37" s="91" t="s">
        <v>711</v>
      </c>
      <c r="N37" s="77">
        <v>44965.0</v>
      </c>
      <c r="O37" s="77">
        <v>48618.0</v>
      </c>
      <c r="P37" s="43" t="s">
        <v>163</v>
      </c>
      <c r="Q37" s="57"/>
      <c r="R37" s="80"/>
      <c r="S37" s="28"/>
      <c r="T37" s="51">
        <v>1690000.0</v>
      </c>
      <c r="U37" s="28"/>
      <c r="V37" s="57"/>
      <c r="W37" s="80"/>
      <c r="X37" s="258"/>
      <c r="Y37" s="252" t="s">
        <v>563</v>
      </c>
    </row>
    <row r="38">
      <c r="A38" s="41">
        <v>34.0</v>
      </c>
      <c r="B38" s="28"/>
      <c r="C38" s="28"/>
      <c r="D38" s="28"/>
      <c r="E38" s="43">
        <v>8.0</v>
      </c>
      <c r="F38" s="28"/>
      <c r="G38" s="69" t="s">
        <v>31</v>
      </c>
      <c r="H38" s="69" t="s">
        <v>712</v>
      </c>
      <c r="I38" s="69" t="s">
        <v>713</v>
      </c>
      <c r="J38" s="43" t="s">
        <v>163</v>
      </c>
      <c r="K38" s="90" t="s">
        <v>57</v>
      </c>
      <c r="L38" s="91">
        <v>42396.0</v>
      </c>
      <c r="M38" s="91" t="s">
        <v>714</v>
      </c>
      <c r="N38" s="77">
        <v>45022.0</v>
      </c>
      <c r="O38" s="77">
        <v>46818.0</v>
      </c>
      <c r="P38" s="43" t="s">
        <v>163</v>
      </c>
      <c r="Q38" s="57"/>
      <c r="R38" s="80"/>
      <c r="S38" s="28"/>
      <c r="T38" s="51">
        <v>1690000.0</v>
      </c>
      <c r="U38" s="28"/>
      <c r="V38" s="57"/>
      <c r="W38" s="56"/>
      <c r="X38" s="258"/>
      <c r="Y38" s="252" t="s">
        <v>563</v>
      </c>
    </row>
    <row r="39">
      <c r="A39" s="41">
        <v>35.0</v>
      </c>
      <c r="B39" s="28"/>
      <c r="C39" s="28"/>
      <c r="D39" s="28"/>
      <c r="E39" s="98">
        <v>9.0</v>
      </c>
      <c r="F39" s="115" t="s">
        <v>647</v>
      </c>
      <c r="G39" s="101" t="s">
        <v>715</v>
      </c>
      <c r="H39" s="101" t="s">
        <v>716</v>
      </c>
      <c r="I39" s="101" t="s">
        <v>717</v>
      </c>
      <c r="J39" s="98" t="s">
        <v>163</v>
      </c>
      <c r="K39" s="286" t="s">
        <v>47</v>
      </c>
      <c r="L39" s="287">
        <v>29945.0</v>
      </c>
      <c r="M39" s="287" t="s">
        <v>718</v>
      </c>
      <c r="N39" s="288">
        <v>45910.0</v>
      </c>
      <c r="O39" s="288">
        <v>49562.0</v>
      </c>
      <c r="P39" s="98" t="s">
        <v>163</v>
      </c>
      <c r="Q39" s="104"/>
      <c r="R39" s="80"/>
      <c r="S39" s="28"/>
      <c r="T39" s="51">
        <v>1690000.0</v>
      </c>
      <c r="U39" s="28"/>
      <c r="V39" s="57"/>
      <c r="W39" s="289"/>
      <c r="X39" s="258"/>
      <c r="Y39" s="252" t="s">
        <v>563</v>
      </c>
    </row>
    <row r="40">
      <c r="A40" s="41">
        <v>36.0</v>
      </c>
      <c r="B40" s="39"/>
      <c r="C40" s="39"/>
      <c r="D40" s="39"/>
      <c r="E40" s="98">
        <v>9.0</v>
      </c>
      <c r="F40" s="28"/>
      <c r="G40" s="101" t="s">
        <v>719</v>
      </c>
      <c r="H40" s="101" t="s">
        <v>720</v>
      </c>
      <c r="I40" s="101" t="s">
        <v>721</v>
      </c>
      <c r="J40" s="98" t="s">
        <v>163</v>
      </c>
      <c r="K40" s="286" t="s">
        <v>57</v>
      </c>
      <c r="L40" s="290">
        <v>30447.0</v>
      </c>
      <c r="M40" s="290" t="s">
        <v>722</v>
      </c>
      <c r="N40" s="288">
        <v>45910.0</v>
      </c>
      <c r="O40" s="288">
        <v>49562.0</v>
      </c>
      <c r="P40" s="98" t="s">
        <v>163</v>
      </c>
      <c r="Q40" s="104"/>
      <c r="R40" s="56"/>
      <c r="S40" s="39"/>
      <c r="T40" s="51">
        <v>1690000.0</v>
      </c>
      <c r="U40" s="39"/>
      <c r="V40" s="57"/>
      <c r="W40" s="56"/>
      <c r="X40" s="258"/>
      <c r="Y40" s="252" t="s">
        <v>563</v>
      </c>
    </row>
    <row r="41">
      <c r="A41" s="60"/>
      <c r="B41" s="84"/>
      <c r="C41" s="84"/>
      <c r="D41" s="69"/>
      <c r="E41" s="69"/>
      <c r="F41" s="84"/>
      <c r="G41" s="69"/>
      <c r="H41" s="69"/>
      <c r="I41" s="69"/>
      <c r="J41" s="68"/>
      <c r="K41" s="46"/>
      <c r="L41" s="71"/>
      <c r="M41" s="68"/>
      <c r="N41" s="71"/>
      <c r="O41" s="71"/>
      <c r="P41" s="69"/>
      <c r="Q41" s="57"/>
      <c r="R41" s="291"/>
      <c r="S41" s="292"/>
      <c r="T41" s="283"/>
      <c r="U41" s="84"/>
      <c r="V41" s="57"/>
      <c r="W41" s="196"/>
      <c r="X41" s="258"/>
      <c r="Y41" s="95"/>
    </row>
    <row r="42">
      <c r="A42" s="60"/>
      <c r="B42" s="39"/>
      <c r="C42" s="39"/>
      <c r="D42" s="69"/>
      <c r="E42" s="69"/>
      <c r="F42" s="39"/>
      <c r="G42" s="69"/>
      <c r="H42" s="69"/>
      <c r="I42" s="69"/>
      <c r="J42" s="68"/>
      <c r="K42" s="46"/>
      <c r="L42" s="71"/>
      <c r="M42" s="68"/>
      <c r="N42" s="71"/>
      <c r="O42" s="71"/>
      <c r="P42" s="69"/>
      <c r="Q42" s="57"/>
      <c r="R42" s="291"/>
      <c r="S42" s="292"/>
      <c r="T42" s="283"/>
      <c r="U42" s="39"/>
      <c r="V42" s="57"/>
      <c r="W42" s="196"/>
      <c r="X42" s="258"/>
      <c r="Y42" s="95"/>
    </row>
    <row r="43">
      <c r="A43" s="60"/>
      <c r="B43" s="84"/>
      <c r="C43" s="84"/>
      <c r="D43" s="69"/>
      <c r="E43" s="69"/>
      <c r="F43" s="84"/>
      <c r="G43" s="68"/>
      <c r="H43" s="68"/>
      <c r="I43" s="69"/>
      <c r="J43" s="68"/>
      <c r="K43" s="46"/>
      <c r="L43" s="71"/>
      <c r="M43" s="68"/>
      <c r="N43" s="71"/>
      <c r="O43" s="71"/>
      <c r="P43" s="69"/>
      <c r="Q43" s="57"/>
      <c r="R43" s="291"/>
      <c r="S43" s="292"/>
      <c r="T43" s="283"/>
      <c r="U43" s="84"/>
      <c r="V43" s="57"/>
      <c r="W43" s="196"/>
      <c r="X43" s="258"/>
      <c r="Y43" s="95"/>
    </row>
    <row r="44">
      <c r="A44" s="60"/>
      <c r="B44" s="39"/>
      <c r="C44" s="39"/>
      <c r="D44" s="69"/>
      <c r="E44" s="69"/>
      <c r="F44" s="39"/>
      <c r="G44" s="68"/>
      <c r="H44" s="68"/>
      <c r="I44" s="69"/>
      <c r="J44" s="68"/>
      <c r="K44" s="46"/>
      <c r="L44" s="71"/>
      <c r="M44" s="68"/>
      <c r="N44" s="71"/>
      <c r="O44" s="71"/>
      <c r="P44" s="69"/>
      <c r="Q44" s="57"/>
      <c r="R44" s="291"/>
      <c r="S44" s="292"/>
      <c r="T44" s="283"/>
      <c r="U44" s="39"/>
      <c r="V44" s="57"/>
      <c r="W44" s="196"/>
      <c r="X44" s="258"/>
      <c r="Y44" s="95"/>
    </row>
    <row r="45">
      <c r="A45" s="60"/>
      <c r="B45" s="84"/>
      <c r="C45" s="84"/>
      <c r="D45" s="69"/>
      <c r="E45" s="69"/>
      <c r="F45" s="84"/>
      <c r="G45" s="68"/>
      <c r="H45" s="68"/>
      <c r="I45" s="69"/>
      <c r="J45" s="68"/>
      <c r="K45" s="46"/>
      <c r="L45" s="71"/>
      <c r="M45" s="68"/>
      <c r="N45" s="71"/>
      <c r="O45" s="71"/>
      <c r="P45" s="69"/>
      <c r="Q45" s="57"/>
      <c r="R45" s="291"/>
      <c r="S45" s="292"/>
      <c r="T45" s="283"/>
      <c r="U45" s="84"/>
      <c r="V45" s="57"/>
      <c r="W45" s="196"/>
      <c r="X45" s="258"/>
      <c r="Y45" s="95"/>
    </row>
    <row r="46">
      <c r="A46" s="60"/>
      <c r="B46" s="39"/>
      <c r="C46" s="39"/>
      <c r="D46" s="69"/>
      <c r="E46" s="69"/>
      <c r="F46" s="39"/>
      <c r="G46" s="68"/>
      <c r="H46" s="68"/>
      <c r="I46" s="69"/>
      <c r="J46" s="68"/>
      <c r="K46" s="46"/>
      <c r="L46" s="71"/>
      <c r="M46" s="68"/>
      <c r="N46" s="71"/>
      <c r="O46" s="71"/>
      <c r="P46" s="69"/>
      <c r="Q46" s="57"/>
      <c r="R46" s="291"/>
      <c r="S46" s="292"/>
      <c r="T46" s="283"/>
      <c r="U46" s="39"/>
      <c r="V46" s="57"/>
      <c r="W46" s="196"/>
      <c r="X46" s="258"/>
      <c r="Y46" s="95"/>
    </row>
    <row r="47">
      <c r="A47" s="60"/>
      <c r="B47" s="84"/>
      <c r="C47" s="84"/>
      <c r="D47" s="69"/>
      <c r="E47" s="69"/>
      <c r="F47" s="84"/>
      <c r="G47" s="68"/>
      <c r="H47" s="68"/>
      <c r="I47" s="69"/>
      <c r="J47" s="68"/>
      <c r="K47" s="46"/>
      <c r="L47" s="71"/>
      <c r="M47" s="68"/>
      <c r="N47" s="71"/>
      <c r="O47" s="71"/>
      <c r="P47" s="69"/>
      <c r="Q47" s="57"/>
      <c r="R47" s="291"/>
      <c r="S47" s="292"/>
      <c r="T47" s="283"/>
      <c r="U47" s="84"/>
      <c r="V47" s="57"/>
      <c r="W47" s="196"/>
      <c r="X47" s="258"/>
      <c r="Y47" s="95"/>
    </row>
    <row r="48">
      <c r="A48" s="60"/>
      <c r="B48" s="39"/>
      <c r="C48" s="39"/>
      <c r="D48" s="69"/>
      <c r="E48" s="69"/>
      <c r="F48" s="39"/>
      <c r="G48" s="68"/>
      <c r="H48" s="68"/>
      <c r="I48" s="69"/>
      <c r="J48" s="68"/>
      <c r="K48" s="46"/>
      <c r="L48" s="71"/>
      <c r="M48" s="68"/>
      <c r="N48" s="71"/>
      <c r="O48" s="71"/>
      <c r="P48" s="69"/>
      <c r="Q48" s="57"/>
      <c r="R48" s="291"/>
      <c r="S48" s="292"/>
      <c r="T48" s="283"/>
      <c r="U48" s="39"/>
      <c r="V48" s="57"/>
      <c r="W48" s="196"/>
      <c r="X48" s="258"/>
      <c r="Y48" s="95"/>
    </row>
    <row r="49">
      <c r="A49" s="60"/>
      <c r="B49" s="293"/>
      <c r="C49" s="294" t="s">
        <v>290</v>
      </c>
      <c r="D49" s="124"/>
      <c r="E49" s="124"/>
      <c r="F49" s="124"/>
      <c r="G49" s="295"/>
      <c r="H49" s="295"/>
      <c r="I49" s="124"/>
      <c r="J49" s="295"/>
      <c r="K49" s="124"/>
      <c r="L49" s="296"/>
      <c r="M49" s="295"/>
      <c r="N49" s="297"/>
      <c r="O49" s="297"/>
      <c r="P49" s="295"/>
      <c r="Q49" s="298"/>
      <c r="R49" s="299"/>
      <c r="S49" s="300"/>
      <c r="T49" s="301"/>
      <c r="U49" s="302"/>
      <c r="V49" s="303"/>
      <c r="W49" s="304"/>
      <c r="X49" s="305"/>
      <c r="Y49" s="95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 t="s">
        <v>291</v>
      </c>
      <c r="K50" s="138"/>
      <c r="L50" s="139"/>
      <c r="M50" s="138"/>
      <c r="N50" s="139"/>
      <c r="O50" s="139"/>
      <c r="P50" s="138"/>
      <c r="Q50" s="138"/>
      <c r="R50" s="239"/>
      <c r="T50" s="240"/>
      <c r="X50" s="129"/>
      <c r="Y50" s="95"/>
    </row>
    <row r="51">
      <c r="L51" s="239"/>
      <c r="N51" s="239"/>
      <c r="O51" s="239"/>
      <c r="R51" s="239"/>
      <c r="T51" s="240"/>
      <c r="X51" s="129"/>
      <c r="Y51" s="95"/>
    </row>
    <row r="52">
      <c r="L52" s="239"/>
      <c r="N52" s="239"/>
      <c r="O52" s="239"/>
      <c r="R52" s="239"/>
      <c r="T52" s="240"/>
      <c r="X52" s="129"/>
      <c r="Y52" s="95"/>
    </row>
    <row r="53">
      <c r="L53" s="239"/>
      <c r="N53" s="239"/>
      <c r="O53" s="239"/>
      <c r="R53" s="239"/>
      <c r="T53" s="240"/>
      <c r="X53" s="129"/>
      <c r="Y53" s="95"/>
    </row>
    <row r="54">
      <c r="L54" s="239"/>
      <c r="N54" s="239"/>
      <c r="O54" s="239"/>
      <c r="R54" s="239"/>
      <c r="T54" s="240"/>
      <c r="X54" s="129"/>
      <c r="Y54" s="95"/>
    </row>
    <row r="55">
      <c r="L55" s="239"/>
      <c r="N55" s="239"/>
      <c r="O55" s="239"/>
      <c r="R55" s="239"/>
      <c r="T55" s="240"/>
      <c r="X55" s="129"/>
      <c r="Y55" s="95"/>
    </row>
    <row r="56">
      <c r="L56" s="239"/>
      <c r="N56" s="239"/>
      <c r="O56" s="239"/>
      <c r="R56" s="239"/>
      <c r="T56" s="240"/>
      <c r="X56" s="129"/>
      <c r="Y56" s="95"/>
    </row>
    <row r="57">
      <c r="L57" s="239"/>
      <c r="N57" s="239"/>
      <c r="O57" s="239"/>
      <c r="R57" s="239"/>
      <c r="T57" s="240"/>
      <c r="X57" s="129"/>
      <c r="Y57" s="95"/>
    </row>
    <row r="58">
      <c r="L58" s="239"/>
      <c r="N58" s="239"/>
      <c r="O58" s="239"/>
      <c r="R58" s="239"/>
      <c r="T58" s="240"/>
      <c r="X58" s="129"/>
      <c r="Y58" s="95"/>
    </row>
    <row r="59">
      <c r="L59" s="239"/>
      <c r="N59" s="239"/>
      <c r="O59" s="239"/>
      <c r="R59" s="239"/>
      <c r="T59" s="240"/>
      <c r="X59" s="129"/>
      <c r="Y59" s="95"/>
    </row>
    <row r="60">
      <c r="L60" s="239"/>
      <c r="N60" s="239"/>
      <c r="O60" s="239"/>
      <c r="R60" s="239"/>
      <c r="T60" s="240"/>
      <c r="X60" s="129"/>
      <c r="Y60" s="95"/>
    </row>
    <row r="61">
      <c r="L61" s="239"/>
      <c r="N61" s="239"/>
      <c r="O61" s="239"/>
      <c r="R61" s="239"/>
      <c r="T61" s="240"/>
      <c r="X61" s="129"/>
      <c r="Y61" s="95"/>
    </row>
    <row r="62">
      <c r="L62" s="239"/>
      <c r="N62" s="239"/>
      <c r="O62" s="239"/>
      <c r="R62" s="239"/>
      <c r="T62" s="240"/>
      <c r="X62" s="129"/>
      <c r="Y62" s="95"/>
    </row>
    <row r="63">
      <c r="L63" s="239"/>
      <c r="N63" s="239"/>
      <c r="O63" s="239"/>
      <c r="R63" s="239"/>
      <c r="T63" s="240"/>
      <c r="X63" s="129"/>
      <c r="Y63" s="95"/>
    </row>
    <row r="64">
      <c r="L64" s="239"/>
      <c r="N64" s="239"/>
      <c r="O64" s="239"/>
      <c r="R64" s="239"/>
      <c r="T64" s="240"/>
      <c r="X64" s="129"/>
      <c r="Y64" s="95"/>
    </row>
    <row r="65">
      <c r="L65" s="239"/>
      <c r="N65" s="239"/>
      <c r="O65" s="239"/>
      <c r="R65" s="239"/>
      <c r="T65" s="240"/>
      <c r="X65" s="129"/>
      <c r="Y65" s="95"/>
    </row>
    <row r="66">
      <c r="L66" s="239"/>
      <c r="N66" s="239"/>
      <c r="O66" s="239"/>
      <c r="R66" s="239"/>
      <c r="T66" s="240"/>
      <c r="X66" s="129"/>
      <c r="Y66" s="95"/>
    </row>
    <row r="67">
      <c r="L67" s="239"/>
      <c r="N67" s="239"/>
      <c r="O67" s="239"/>
      <c r="R67" s="239"/>
      <c r="T67" s="240"/>
      <c r="X67" s="129"/>
      <c r="Y67" s="95"/>
    </row>
    <row r="68">
      <c r="L68" s="239"/>
      <c r="N68" s="239"/>
      <c r="O68" s="239"/>
      <c r="R68" s="239"/>
      <c r="T68" s="240"/>
      <c r="X68" s="129"/>
      <c r="Y68" s="95"/>
    </row>
    <row r="69">
      <c r="L69" s="239"/>
      <c r="N69" s="239"/>
      <c r="O69" s="239"/>
      <c r="R69" s="239"/>
      <c r="T69" s="240"/>
      <c r="X69" s="129"/>
      <c r="Y69" s="95"/>
    </row>
    <row r="70">
      <c r="L70" s="239"/>
      <c r="N70" s="239"/>
      <c r="O70" s="239"/>
      <c r="R70" s="239"/>
      <c r="T70" s="240"/>
      <c r="X70" s="129"/>
      <c r="Y70" s="95"/>
    </row>
    <row r="71">
      <c r="L71" s="239"/>
      <c r="N71" s="239"/>
      <c r="O71" s="239"/>
      <c r="R71" s="239"/>
      <c r="T71" s="240"/>
      <c r="X71" s="129"/>
      <c r="Y71" s="95"/>
    </row>
    <row r="72">
      <c r="L72" s="239"/>
      <c r="N72" s="239"/>
      <c r="O72" s="239"/>
      <c r="R72" s="239"/>
      <c r="T72" s="240"/>
      <c r="X72" s="129"/>
      <c r="Y72" s="95"/>
    </row>
    <row r="73">
      <c r="L73" s="239"/>
      <c r="N73" s="239"/>
      <c r="O73" s="239"/>
      <c r="R73" s="239"/>
      <c r="T73" s="240"/>
      <c r="X73" s="129"/>
      <c r="Y73" s="95"/>
    </row>
    <row r="74">
      <c r="L74" s="239"/>
      <c r="N74" s="239"/>
      <c r="O74" s="239"/>
      <c r="R74" s="239"/>
      <c r="T74" s="240"/>
      <c r="X74" s="129"/>
      <c r="Y74" s="95"/>
    </row>
    <row r="75">
      <c r="L75" s="239"/>
      <c r="N75" s="239"/>
      <c r="O75" s="239"/>
      <c r="R75" s="239"/>
      <c r="T75" s="240"/>
      <c r="X75" s="129"/>
      <c r="Y75" s="95"/>
    </row>
    <row r="76">
      <c r="L76" s="239"/>
      <c r="N76" s="239"/>
      <c r="O76" s="239"/>
      <c r="R76" s="239"/>
      <c r="T76" s="240"/>
      <c r="X76" s="129"/>
      <c r="Y76" s="95"/>
    </row>
    <row r="77">
      <c r="L77" s="239"/>
      <c r="N77" s="239"/>
      <c r="O77" s="239"/>
      <c r="R77" s="239"/>
      <c r="T77" s="240"/>
      <c r="X77" s="129"/>
      <c r="Y77" s="95"/>
    </row>
    <row r="78">
      <c r="L78" s="239"/>
      <c r="N78" s="239"/>
      <c r="O78" s="239"/>
      <c r="R78" s="239"/>
      <c r="T78" s="240"/>
      <c r="X78" s="129"/>
      <c r="Y78" s="95"/>
    </row>
    <row r="79">
      <c r="L79" s="239"/>
      <c r="N79" s="239"/>
      <c r="O79" s="239"/>
      <c r="R79" s="239"/>
      <c r="T79" s="240"/>
      <c r="X79" s="129"/>
      <c r="Y79" s="95"/>
    </row>
    <row r="80">
      <c r="L80" s="239"/>
      <c r="N80" s="239"/>
      <c r="O80" s="239"/>
      <c r="R80" s="239"/>
      <c r="T80" s="240"/>
      <c r="X80" s="129"/>
      <c r="Y80" s="95"/>
    </row>
    <row r="81">
      <c r="L81" s="239"/>
      <c r="N81" s="239"/>
      <c r="O81" s="239"/>
      <c r="R81" s="239"/>
      <c r="T81" s="240"/>
      <c r="X81" s="129"/>
      <c r="Y81" s="95"/>
    </row>
    <row r="82">
      <c r="L82" s="239"/>
      <c r="N82" s="239"/>
      <c r="O82" s="239"/>
      <c r="R82" s="239"/>
      <c r="T82" s="240"/>
      <c r="X82" s="129"/>
      <c r="Y82" s="95"/>
    </row>
    <row r="83">
      <c r="L83" s="239"/>
      <c r="N83" s="239"/>
      <c r="O83" s="239"/>
      <c r="R83" s="239"/>
      <c r="T83" s="240"/>
      <c r="X83" s="129"/>
      <c r="Y83" s="95"/>
    </row>
    <row r="84">
      <c r="L84" s="239"/>
      <c r="N84" s="239"/>
      <c r="O84" s="239"/>
      <c r="R84" s="239"/>
      <c r="T84" s="240"/>
      <c r="X84" s="129"/>
      <c r="Y84" s="95"/>
    </row>
    <row r="85">
      <c r="L85" s="239"/>
      <c r="N85" s="239"/>
      <c r="O85" s="239"/>
      <c r="R85" s="239"/>
      <c r="T85" s="240"/>
      <c r="X85" s="129"/>
      <c r="Y85" s="95"/>
    </row>
    <row r="86">
      <c r="L86" s="239"/>
      <c r="N86" s="239"/>
      <c r="O86" s="239"/>
      <c r="R86" s="239"/>
      <c r="T86" s="240"/>
      <c r="X86" s="129"/>
      <c r="Y86" s="95"/>
    </row>
    <row r="87">
      <c r="L87" s="239"/>
      <c r="N87" s="239"/>
      <c r="O87" s="239"/>
      <c r="R87" s="239"/>
      <c r="T87" s="240"/>
      <c r="X87" s="129"/>
      <c r="Y87" s="95"/>
    </row>
    <row r="88">
      <c r="L88" s="239"/>
      <c r="N88" s="239"/>
      <c r="O88" s="239"/>
      <c r="R88" s="239"/>
      <c r="T88" s="240"/>
      <c r="X88" s="129"/>
      <c r="Y88" s="95"/>
    </row>
    <row r="89">
      <c r="L89" s="239"/>
      <c r="N89" s="239"/>
      <c r="O89" s="239"/>
      <c r="R89" s="239"/>
      <c r="T89" s="240"/>
      <c r="X89" s="129"/>
      <c r="Y89" s="95"/>
    </row>
    <row r="90">
      <c r="L90" s="239"/>
      <c r="N90" s="239"/>
      <c r="O90" s="239"/>
      <c r="R90" s="239"/>
      <c r="T90" s="240"/>
      <c r="X90" s="129"/>
      <c r="Y90" s="95"/>
    </row>
    <row r="91">
      <c r="L91" s="239"/>
      <c r="N91" s="239"/>
      <c r="O91" s="239"/>
      <c r="R91" s="239"/>
      <c r="T91" s="240"/>
      <c r="X91" s="129"/>
      <c r="Y91" s="95"/>
    </row>
    <row r="92">
      <c r="L92" s="239"/>
      <c r="N92" s="239"/>
      <c r="O92" s="239"/>
      <c r="R92" s="239"/>
      <c r="T92" s="240"/>
      <c r="X92" s="129"/>
      <c r="Y92" s="95"/>
    </row>
    <row r="93">
      <c r="L93" s="239"/>
      <c r="N93" s="239"/>
      <c r="O93" s="239"/>
      <c r="R93" s="239"/>
      <c r="T93" s="240"/>
      <c r="X93" s="129"/>
      <c r="Y93" s="95"/>
    </row>
    <row r="94">
      <c r="L94" s="239"/>
      <c r="N94" s="239"/>
      <c r="O94" s="239"/>
      <c r="R94" s="239"/>
      <c r="T94" s="240"/>
      <c r="X94" s="129"/>
      <c r="Y94" s="95"/>
    </row>
    <row r="95">
      <c r="L95" s="239"/>
      <c r="N95" s="239"/>
      <c r="O95" s="239"/>
      <c r="R95" s="239"/>
      <c r="T95" s="240"/>
      <c r="X95" s="129"/>
      <c r="Y95" s="95"/>
    </row>
    <row r="96">
      <c r="L96" s="239"/>
      <c r="N96" s="239"/>
      <c r="O96" s="239"/>
      <c r="R96" s="239"/>
      <c r="T96" s="240"/>
      <c r="X96" s="129"/>
      <c r="Y96" s="95"/>
    </row>
    <row r="97">
      <c r="L97" s="239"/>
      <c r="N97" s="239"/>
      <c r="O97" s="239"/>
      <c r="R97" s="239"/>
      <c r="T97" s="240"/>
      <c r="X97" s="129"/>
      <c r="Y97" s="95"/>
    </row>
    <row r="98">
      <c r="L98" s="239"/>
      <c r="N98" s="239"/>
      <c r="O98" s="239"/>
      <c r="R98" s="239"/>
      <c r="T98" s="240"/>
      <c r="X98" s="129"/>
      <c r="Y98" s="95"/>
    </row>
    <row r="99">
      <c r="L99" s="239"/>
      <c r="N99" s="239"/>
      <c r="O99" s="239"/>
      <c r="R99" s="239"/>
      <c r="T99" s="240"/>
      <c r="X99" s="129"/>
      <c r="Y99" s="95"/>
    </row>
    <row r="100">
      <c r="L100" s="239"/>
      <c r="N100" s="239"/>
      <c r="O100" s="239"/>
      <c r="R100" s="239"/>
      <c r="T100" s="240"/>
      <c r="X100" s="129"/>
      <c r="Y100" s="95"/>
    </row>
    <row r="101">
      <c r="L101" s="239"/>
      <c r="N101" s="239"/>
      <c r="O101" s="239"/>
      <c r="R101" s="239"/>
      <c r="T101" s="240"/>
      <c r="X101" s="129"/>
      <c r="Y101" s="95"/>
    </row>
    <row r="102">
      <c r="L102" s="239"/>
      <c r="N102" s="239"/>
      <c r="O102" s="239"/>
      <c r="R102" s="239"/>
      <c r="T102" s="240"/>
      <c r="X102" s="129"/>
      <c r="Y102" s="95"/>
    </row>
    <row r="103">
      <c r="L103" s="239"/>
      <c r="N103" s="239"/>
      <c r="O103" s="239"/>
      <c r="R103" s="239"/>
      <c r="T103" s="240"/>
      <c r="X103" s="129"/>
      <c r="Y103" s="95"/>
    </row>
    <row r="104">
      <c r="L104" s="239"/>
      <c r="N104" s="239"/>
      <c r="O104" s="239"/>
      <c r="R104" s="239"/>
      <c r="T104" s="240"/>
      <c r="X104" s="129"/>
      <c r="Y104" s="95"/>
    </row>
    <row r="105">
      <c r="L105" s="239"/>
      <c r="N105" s="239"/>
      <c r="O105" s="239"/>
      <c r="R105" s="239"/>
      <c r="T105" s="240"/>
      <c r="X105" s="129"/>
      <c r="Y105" s="95"/>
    </row>
    <row r="106">
      <c r="L106" s="239"/>
      <c r="N106" s="239"/>
      <c r="O106" s="239"/>
      <c r="R106" s="239"/>
      <c r="T106" s="240"/>
      <c r="X106" s="129"/>
      <c r="Y106" s="95"/>
    </row>
    <row r="107">
      <c r="L107" s="239"/>
      <c r="N107" s="239"/>
      <c r="O107" s="239"/>
      <c r="R107" s="239"/>
      <c r="T107" s="240"/>
      <c r="X107" s="129"/>
      <c r="Y107" s="95"/>
    </row>
    <row r="108">
      <c r="L108" s="239"/>
      <c r="N108" s="239"/>
      <c r="O108" s="239"/>
      <c r="R108" s="239"/>
      <c r="T108" s="240"/>
      <c r="X108" s="129"/>
      <c r="Y108" s="95"/>
    </row>
    <row r="109">
      <c r="L109" s="239"/>
      <c r="N109" s="239"/>
      <c r="O109" s="239"/>
      <c r="R109" s="239"/>
      <c r="T109" s="240"/>
      <c r="X109" s="129"/>
      <c r="Y109" s="95"/>
    </row>
    <row r="110">
      <c r="L110" s="239"/>
      <c r="N110" s="239"/>
      <c r="O110" s="239"/>
      <c r="R110" s="239"/>
      <c r="T110" s="240"/>
      <c r="X110" s="129"/>
      <c r="Y110" s="95"/>
    </row>
    <row r="111">
      <c r="L111" s="239"/>
      <c r="N111" s="239"/>
      <c r="O111" s="239"/>
      <c r="R111" s="239"/>
      <c r="T111" s="240"/>
      <c r="X111" s="129"/>
      <c r="Y111" s="95"/>
    </row>
    <row r="112">
      <c r="L112" s="239"/>
      <c r="N112" s="239"/>
      <c r="O112" s="239"/>
      <c r="R112" s="239"/>
      <c r="T112" s="240"/>
      <c r="X112" s="129"/>
      <c r="Y112" s="95"/>
    </row>
    <row r="113">
      <c r="L113" s="239"/>
      <c r="N113" s="239"/>
      <c r="O113" s="239"/>
      <c r="R113" s="239"/>
      <c r="T113" s="240"/>
      <c r="X113" s="129"/>
      <c r="Y113" s="95"/>
    </row>
    <row r="114">
      <c r="L114" s="239"/>
      <c r="N114" s="239"/>
      <c r="O114" s="239"/>
      <c r="R114" s="239"/>
      <c r="T114" s="240"/>
      <c r="X114" s="129"/>
      <c r="Y114" s="95"/>
    </row>
    <row r="115">
      <c r="L115" s="239"/>
      <c r="N115" s="239"/>
      <c r="O115" s="239"/>
      <c r="R115" s="239"/>
      <c r="T115" s="240"/>
      <c r="X115" s="129"/>
      <c r="Y115" s="95"/>
    </row>
    <row r="116">
      <c r="L116" s="239"/>
      <c r="N116" s="239"/>
      <c r="O116" s="239"/>
      <c r="R116" s="239"/>
      <c r="T116" s="240"/>
      <c r="X116" s="129"/>
      <c r="Y116" s="95"/>
    </row>
    <row r="117">
      <c r="L117" s="239"/>
      <c r="N117" s="239"/>
      <c r="O117" s="239"/>
      <c r="R117" s="239"/>
      <c r="T117" s="240"/>
      <c r="X117" s="129"/>
      <c r="Y117" s="95"/>
    </row>
    <row r="118">
      <c r="L118" s="239"/>
      <c r="N118" s="239"/>
      <c r="O118" s="239"/>
      <c r="R118" s="239"/>
      <c r="T118" s="240"/>
      <c r="X118" s="129"/>
      <c r="Y118" s="95"/>
    </row>
    <row r="119">
      <c r="L119" s="239"/>
      <c r="N119" s="239"/>
      <c r="O119" s="239"/>
      <c r="R119" s="239"/>
      <c r="T119" s="240"/>
      <c r="X119" s="129"/>
      <c r="Y119" s="95"/>
    </row>
    <row r="120">
      <c r="L120" s="239"/>
      <c r="N120" s="239"/>
      <c r="O120" s="239"/>
      <c r="R120" s="239"/>
      <c r="T120" s="240"/>
      <c r="X120" s="129"/>
      <c r="Y120" s="95"/>
    </row>
    <row r="121">
      <c r="L121" s="239"/>
      <c r="N121" s="239"/>
      <c r="O121" s="239"/>
      <c r="R121" s="239"/>
      <c r="T121" s="240"/>
      <c r="X121" s="129"/>
      <c r="Y121" s="95"/>
    </row>
    <row r="122">
      <c r="L122" s="239"/>
      <c r="N122" s="239"/>
      <c r="O122" s="239"/>
      <c r="R122" s="239"/>
      <c r="T122" s="240"/>
      <c r="X122" s="129"/>
      <c r="Y122" s="95"/>
    </row>
    <row r="123">
      <c r="L123" s="239"/>
      <c r="N123" s="239"/>
      <c r="O123" s="239"/>
      <c r="R123" s="239"/>
      <c r="T123" s="240"/>
      <c r="X123" s="129"/>
      <c r="Y123" s="95"/>
    </row>
    <row r="124">
      <c r="L124" s="239"/>
      <c r="N124" s="239"/>
      <c r="O124" s="239"/>
      <c r="R124" s="239"/>
      <c r="T124" s="240"/>
      <c r="X124" s="129"/>
      <c r="Y124" s="95"/>
    </row>
    <row r="125">
      <c r="L125" s="239"/>
      <c r="N125" s="239"/>
      <c r="O125" s="239"/>
      <c r="R125" s="239"/>
      <c r="T125" s="240"/>
      <c r="X125" s="129"/>
      <c r="Y125" s="95"/>
    </row>
    <row r="126">
      <c r="L126" s="239"/>
      <c r="N126" s="239"/>
      <c r="O126" s="239"/>
      <c r="R126" s="239"/>
      <c r="T126" s="240"/>
      <c r="X126" s="129"/>
      <c r="Y126" s="95"/>
    </row>
    <row r="127">
      <c r="L127" s="239"/>
      <c r="N127" s="239"/>
      <c r="O127" s="239"/>
      <c r="R127" s="239"/>
      <c r="T127" s="240"/>
      <c r="X127" s="129"/>
      <c r="Y127" s="95"/>
    </row>
    <row r="128">
      <c r="L128" s="239"/>
      <c r="N128" s="239"/>
      <c r="O128" s="239"/>
      <c r="R128" s="239"/>
      <c r="T128" s="240"/>
      <c r="X128" s="129"/>
      <c r="Y128" s="95"/>
    </row>
    <row r="129">
      <c r="L129" s="239"/>
      <c r="N129" s="239"/>
      <c r="O129" s="239"/>
      <c r="R129" s="239"/>
      <c r="T129" s="240"/>
      <c r="X129" s="129"/>
      <c r="Y129" s="95"/>
    </row>
    <row r="130">
      <c r="L130" s="239"/>
      <c r="N130" s="239"/>
      <c r="O130" s="239"/>
      <c r="R130" s="239"/>
      <c r="T130" s="240"/>
      <c r="X130" s="129"/>
      <c r="Y130" s="95"/>
    </row>
    <row r="131">
      <c r="L131" s="239"/>
      <c r="N131" s="239"/>
      <c r="O131" s="239"/>
      <c r="R131" s="239"/>
      <c r="T131" s="240"/>
      <c r="X131" s="129"/>
      <c r="Y131" s="95"/>
    </row>
    <row r="132">
      <c r="L132" s="239"/>
      <c r="N132" s="239"/>
      <c r="O132" s="239"/>
      <c r="R132" s="239"/>
      <c r="T132" s="240"/>
      <c r="X132" s="129"/>
      <c r="Y132" s="95"/>
    </row>
    <row r="133">
      <c r="L133" s="239"/>
      <c r="N133" s="239"/>
      <c r="O133" s="239"/>
      <c r="R133" s="239"/>
      <c r="T133" s="240"/>
      <c r="X133" s="129"/>
      <c r="Y133" s="95"/>
    </row>
    <row r="134">
      <c r="L134" s="239"/>
      <c r="N134" s="239"/>
      <c r="O134" s="239"/>
      <c r="R134" s="239"/>
      <c r="T134" s="240"/>
      <c r="X134" s="129"/>
      <c r="Y134" s="95"/>
    </row>
    <row r="135">
      <c r="L135" s="239"/>
      <c r="N135" s="239"/>
      <c r="O135" s="239"/>
      <c r="R135" s="239"/>
      <c r="T135" s="240"/>
      <c r="X135" s="129"/>
      <c r="Y135" s="95"/>
    </row>
    <row r="136">
      <c r="L136" s="239"/>
      <c r="N136" s="239"/>
      <c r="O136" s="239"/>
      <c r="R136" s="239"/>
      <c r="T136" s="240"/>
      <c r="X136" s="129"/>
      <c r="Y136" s="95"/>
    </row>
    <row r="137">
      <c r="L137" s="239"/>
      <c r="N137" s="239"/>
      <c r="O137" s="239"/>
      <c r="R137" s="239"/>
      <c r="T137" s="240"/>
      <c r="X137" s="129"/>
      <c r="Y137" s="95"/>
    </row>
    <row r="138">
      <c r="L138" s="239"/>
      <c r="N138" s="239"/>
      <c r="O138" s="239"/>
      <c r="R138" s="239"/>
      <c r="T138" s="240"/>
      <c r="X138" s="129"/>
      <c r="Y138" s="95"/>
    </row>
    <row r="139">
      <c r="L139" s="239"/>
      <c r="N139" s="239"/>
      <c r="O139" s="239"/>
      <c r="R139" s="239"/>
      <c r="T139" s="240"/>
      <c r="X139" s="129"/>
      <c r="Y139" s="95"/>
    </row>
    <row r="140">
      <c r="L140" s="239"/>
      <c r="N140" s="239"/>
      <c r="O140" s="239"/>
      <c r="R140" s="239"/>
      <c r="T140" s="240"/>
      <c r="X140" s="129"/>
      <c r="Y140" s="95"/>
    </row>
    <row r="141">
      <c r="L141" s="239"/>
      <c r="N141" s="239"/>
      <c r="O141" s="239"/>
      <c r="R141" s="239"/>
      <c r="T141" s="240"/>
      <c r="X141" s="129"/>
      <c r="Y141" s="95"/>
    </row>
    <row r="142">
      <c r="L142" s="239"/>
      <c r="N142" s="239"/>
      <c r="O142" s="239"/>
      <c r="R142" s="239"/>
      <c r="T142" s="240"/>
      <c r="X142" s="129"/>
      <c r="Y142" s="95"/>
    </row>
    <row r="143">
      <c r="L143" s="239"/>
      <c r="N143" s="239"/>
      <c r="O143" s="239"/>
      <c r="R143" s="239"/>
      <c r="T143" s="240"/>
      <c r="X143" s="129"/>
      <c r="Y143" s="95"/>
    </row>
    <row r="144">
      <c r="L144" s="239"/>
      <c r="N144" s="239"/>
      <c r="O144" s="239"/>
      <c r="R144" s="239"/>
      <c r="T144" s="240"/>
      <c r="X144" s="129"/>
      <c r="Y144" s="95"/>
    </row>
    <row r="145">
      <c r="L145" s="239"/>
      <c r="N145" s="239"/>
      <c r="O145" s="239"/>
      <c r="R145" s="239"/>
      <c r="T145" s="240"/>
      <c r="X145" s="129"/>
      <c r="Y145" s="95"/>
    </row>
    <row r="146">
      <c r="L146" s="239"/>
      <c r="N146" s="239"/>
      <c r="O146" s="239"/>
      <c r="R146" s="239"/>
      <c r="T146" s="240"/>
      <c r="X146" s="129"/>
      <c r="Y146" s="95"/>
    </row>
    <row r="147">
      <c r="L147" s="239"/>
      <c r="N147" s="239"/>
      <c r="O147" s="239"/>
      <c r="R147" s="239"/>
      <c r="T147" s="240"/>
      <c r="X147" s="129"/>
      <c r="Y147" s="95"/>
    </row>
    <row r="148">
      <c r="L148" s="239"/>
      <c r="N148" s="239"/>
      <c r="O148" s="239"/>
      <c r="R148" s="239"/>
      <c r="T148" s="240"/>
      <c r="X148" s="129"/>
      <c r="Y148" s="95"/>
    </row>
    <row r="149">
      <c r="L149" s="239"/>
      <c r="N149" s="239"/>
      <c r="O149" s="239"/>
      <c r="R149" s="239"/>
      <c r="T149" s="240"/>
      <c r="X149" s="129"/>
      <c r="Y149" s="95"/>
    </row>
    <row r="150">
      <c r="L150" s="239"/>
      <c r="N150" s="239"/>
      <c r="O150" s="239"/>
      <c r="R150" s="239"/>
      <c r="T150" s="240"/>
      <c r="X150" s="129"/>
      <c r="Y150" s="95"/>
    </row>
    <row r="151">
      <c r="L151" s="239"/>
      <c r="N151" s="239"/>
      <c r="O151" s="239"/>
      <c r="R151" s="239"/>
      <c r="T151" s="240"/>
      <c r="X151" s="129"/>
      <c r="Y151" s="95"/>
    </row>
    <row r="152">
      <c r="L152" s="239"/>
      <c r="N152" s="239"/>
      <c r="O152" s="239"/>
      <c r="R152" s="239"/>
      <c r="T152" s="240"/>
      <c r="X152" s="129"/>
      <c r="Y152" s="95"/>
    </row>
    <row r="153">
      <c r="L153" s="239"/>
      <c r="N153" s="239"/>
      <c r="O153" s="239"/>
      <c r="R153" s="239"/>
      <c r="T153" s="240"/>
      <c r="X153" s="129"/>
      <c r="Y153" s="95"/>
    </row>
    <row r="154">
      <c r="L154" s="239"/>
      <c r="N154" s="239"/>
      <c r="O154" s="239"/>
      <c r="R154" s="239"/>
      <c r="T154" s="240"/>
      <c r="X154" s="129"/>
      <c r="Y154" s="95"/>
    </row>
    <row r="155">
      <c r="L155" s="239"/>
      <c r="N155" s="239"/>
      <c r="O155" s="239"/>
      <c r="R155" s="239"/>
      <c r="T155" s="240"/>
      <c r="X155" s="129"/>
      <c r="Y155" s="95"/>
    </row>
    <row r="156">
      <c r="L156" s="239"/>
      <c r="N156" s="239"/>
      <c r="O156" s="239"/>
      <c r="R156" s="239"/>
      <c r="T156" s="240"/>
      <c r="X156" s="129"/>
      <c r="Y156" s="95"/>
    </row>
    <row r="157">
      <c r="L157" s="239"/>
      <c r="N157" s="239"/>
      <c r="O157" s="239"/>
      <c r="R157" s="239"/>
      <c r="T157" s="240"/>
      <c r="X157" s="129"/>
      <c r="Y157" s="95"/>
    </row>
    <row r="158">
      <c r="L158" s="239"/>
      <c r="N158" s="239"/>
      <c r="O158" s="239"/>
      <c r="R158" s="239"/>
      <c r="T158" s="240"/>
      <c r="X158" s="129"/>
      <c r="Y158" s="95"/>
    </row>
    <row r="159">
      <c r="L159" s="239"/>
      <c r="N159" s="239"/>
      <c r="O159" s="239"/>
      <c r="R159" s="239"/>
      <c r="T159" s="240"/>
      <c r="X159" s="129"/>
      <c r="Y159" s="95"/>
    </row>
    <row r="160">
      <c r="L160" s="239"/>
      <c r="N160" s="239"/>
      <c r="O160" s="239"/>
      <c r="R160" s="239"/>
      <c r="T160" s="240"/>
      <c r="X160" s="129"/>
      <c r="Y160" s="95"/>
    </row>
    <row r="161">
      <c r="L161" s="239"/>
      <c r="N161" s="239"/>
      <c r="O161" s="239"/>
      <c r="R161" s="239"/>
      <c r="T161" s="240"/>
      <c r="X161" s="129"/>
      <c r="Y161" s="95"/>
    </row>
    <row r="162">
      <c r="L162" s="239"/>
      <c r="N162" s="239"/>
      <c r="O162" s="239"/>
      <c r="R162" s="239"/>
      <c r="T162" s="240"/>
      <c r="X162" s="129"/>
      <c r="Y162" s="95"/>
    </row>
    <row r="163">
      <c r="L163" s="239"/>
      <c r="N163" s="239"/>
      <c r="O163" s="239"/>
      <c r="R163" s="239"/>
      <c r="T163" s="240"/>
      <c r="X163" s="129"/>
      <c r="Y163" s="95"/>
    </row>
    <row r="164">
      <c r="L164" s="239"/>
      <c r="N164" s="239"/>
      <c r="O164" s="239"/>
      <c r="R164" s="239"/>
      <c r="T164" s="240"/>
      <c r="X164" s="129"/>
      <c r="Y164" s="95"/>
    </row>
    <row r="165">
      <c r="L165" s="239"/>
      <c r="N165" s="239"/>
      <c r="O165" s="239"/>
      <c r="R165" s="239"/>
      <c r="T165" s="240"/>
      <c r="X165" s="129"/>
      <c r="Y165" s="95"/>
    </row>
    <row r="166">
      <c r="L166" s="239"/>
      <c r="N166" s="239"/>
      <c r="O166" s="239"/>
      <c r="R166" s="239"/>
      <c r="T166" s="240"/>
      <c r="X166" s="129"/>
      <c r="Y166" s="95"/>
    </row>
    <row r="167">
      <c r="L167" s="239"/>
      <c r="N167" s="239"/>
      <c r="O167" s="239"/>
      <c r="R167" s="239"/>
      <c r="T167" s="240"/>
      <c r="X167" s="129"/>
      <c r="Y167" s="95"/>
    </row>
    <row r="168">
      <c r="L168" s="239"/>
      <c r="N168" s="239"/>
      <c r="O168" s="239"/>
      <c r="R168" s="239"/>
      <c r="T168" s="240"/>
      <c r="X168" s="129"/>
      <c r="Y168" s="95"/>
    </row>
    <row r="169">
      <c r="L169" s="239"/>
      <c r="N169" s="239"/>
      <c r="O169" s="239"/>
      <c r="R169" s="239"/>
      <c r="T169" s="240"/>
      <c r="X169" s="129"/>
      <c r="Y169" s="95"/>
    </row>
    <row r="170">
      <c r="L170" s="239"/>
      <c r="N170" s="239"/>
      <c r="O170" s="239"/>
      <c r="R170" s="239"/>
      <c r="T170" s="240"/>
      <c r="X170" s="129"/>
      <c r="Y170" s="95"/>
    </row>
    <row r="171">
      <c r="L171" s="239"/>
      <c r="N171" s="239"/>
      <c r="O171" s="239"/>
      <c r="R171" s="239"/>
      <c r="T171" s="240"/>
      <c r="X171" s="129"/>
      <c r="Y171" s="95"/>
    </row>
    <row r="172">
      <c r="L172" s="239"/>
      <c r="N172" s="239"/>
      <c r="O172" s="239"/>
      <c r="R172" s="239"/>
      <c r="T172" s="240"/>
      <c r="X172" s="129"/>
      <c r="Y172" s="95"/>
    </row>
    <row r="173">
      <c r="L173" s="239"/>
      <c r="N173" s="239"/>
      <c r="O173" s="239"/>
      <c r="R173" s="239"/>
      <c r="T173" s="240"/>
      <c r="X173" s="129"/>
      <c r="Y173" s="95"/>
    </row>
    <row r="174">
      <c r="L174" s="239"/>
      <c r="N174" s="239"/>
      <c r="O174" s="239"/>
      <c r="R174" s="239"/>
      <c r="T174" s="240"/>
      <c r="X174" s="129"/>
      <c r="Y174" s="95"/>
    </row>
    <row r="175">
      <c r="L175" s="239"/>
      <c r="N175" s="239"/>
      <c r="O175" s="239"/>
      <c r="R175" s="239"/>
      <c r="T175" s="240"/>
      <c r="X175" s="129"/>
      <c r="Y175" s="95"/>
    </row>
    <row r="176">
      <c r="L176" s="239"/>
      <c r="N176" s="239"/>
      <c r="O176" s="239"/>
      <c r="R176" s="239"/>
      <c r="T176" s="240"/>
      <c r="X176" s="129"/>
      <c r="Y176" s="95"/>
    </row>
    <row r="177">
      <c r="L177" s="239"/>
      <c r="N177" s="239"/>
      <c r="O177" s="239"/>
      <c r="R177" s="239"/>
      <c r="T177" s="240"/>
      <c r="X177" s="129"/>
      <c r="Y177" s="95"/>
    </row>
    <row r="178">
      <c r="L178" s="239"/>
      <c r="N178" s="239"/>
      <c r="O178" s="239"/>
      <c r="R178" s="239"/>
      <c r="T178" s="240"/>
      <c r="X178" s="129"/>
      <c r="Y178" s="95"/>
    </row>
    <row r="179">
      <c r="L179" s="239"/>
      <c r="N179" s="239"/>
      <c r="O179" s="239"/>
      <c r="R179" s="239"/>
      <c r="T179" s="240"/>
      <c r="X179" s="129"/>
      <c r="Y179" s="95"/>
    </row>
    <row r="180">
      <c r="L180" s="239"/>
      <c r="N180" s="239"/>
      <c r="O180" s="239"/>
      <c r="R180" s="239"/>
      <c r="T180" s="240"/>
      <c r="X180" s="129"/>
      <c r="Y180" s="95"/>
    </row>
    <row r="181">
      <c r="L181" s="239"/>
      <c r="N181" s="239"/>
      <c r="O181" s="239"/>
      <c r="R181" s="239"/>
      <c r="T181" s="240"/>
      <c r="X181" s="129"/>
      <c r="Y181" s="95"/>
    </row>
    <row r="182">
      <c r="L182" s="239"/>
      <c r="N182" s="239"/>
      <c r="O182" s="239"/>
      <c r="R182" s="239"/>
      <c r="T182" s="240"/>
      <c r="X182" s="129"/>
      <c r="Y182" s="95"/>
    </row>
    <row r="183">
      <c r="L183" s="239"/>
      <c r="N183" s="239"/>
      <c r="O183" s="239"/>
      <c r="R183" s="239"/>
      <c r="T183" s="240"/>
      <c r="X183" s="129"/>
      <c r="Y183" s="95"/>
    </row>
    <row r="184">
      <c r="L184" s="239"/>
      <c r="N184" s="239"/>
      <c r="O184" s="239"/>
      <c r="R184" s="239"/>
      <c r="T184" s="240"/>
      <c r="X184" s="129"/>
      <c r="Y184" s="95"/>
    </row>
    <row r="185">
      <c r="L185" s="239"/>
      <c r="N185" s="239"/>
      <c r="O185" s="239"/>
      <c r="R185" s="239"/>
      <c r="T185" s="240"/>
      <c r="X185" s="129"/>
      <c r="Y185" s="95"/>
    </row>
    <row r="186">
      <c r="L186" s="239"/>
      <c r="N186" s="239"/>
      <c r="O186" s="239"/>
      <c r="R186" s="239"/>
      <c r="T186" s="240"/>
      <c r="X186" s="129"/>
      <c r="Y186" s="95"/>
    </row>
    <row r="187">
      <c r="L187" s="239"/>
      <c r="N187" s="239"/>
      <c r="O187" s="239"/>
      <c r="R187" s="239"/>
      <c r="T187" s="240"/>
      <c r="X187" s="129"/>
      <c r="Y187" s="95"/>
    </row>
    <row r="188">
      <c r="L188" s="239"/>
      <c r="N188" s="239"/>
      <c r="O188" s="239"/>
      <c r="R188" s="239"/>
      <c r="T188" s="240"/>
      <c r="X188" s="129"/>
      <c r="Y188" s="95"/>
    </row>
    <row r="189">
      <c r="L189" s="239"/>
      <c r="N189" s="239"/>
      <c r="O189" s="239"/>
      <c r="R189" s="239"/>
      <c r="T189" s="240"/>
      <c r="X189" s="129"/>
      <c r="Y189" s="95"/>
    </row>
    <row r="190">
      <c r="L190" s="239"/>
      <c r="N190" s="239"/>
      <c r="O190" s="239"/>
      <c r="R190" s="239"/>
      <c r="T190" s="240"/>
      <c r="X190" s="129"/>
      <c r="Y190" s="95"/>
    </row>
    <row r="191">
      <c r="L191" s="239"/>
      <c r="N191" s="239"/>
      <c r="O191" s="239"/>
      <c r="R191" s="239"/>
      <c r="T191" s="240"/>
      <c r="X191" s="129"/>
      <c r="Y191" s="95"/>
    </row>
    <row r="192">
      <c r="L192" s="239"/>
      <c r="N192" s="239"/>
      <c r="O192" s="239"/>
      <c r="R192" s="239"/>
      <c r="T192" s="240"/>
      <c r="X192" s="129"/>
      <c r="Y192" s="95"/>
    </row>
    <row r="193">
      <c r="L193" s="239"/>
      <c r="N193" s="239"/>
      <c r="O193" s="239"/>
      <c r="R193" s="239"/>
      <c r="T193" s="240"/>
      <c r="X193" s="129"/>
      <c r="Y193" s="95"/>
    </row>
    <row r="194">
      <c r="L194" s="239"/>
      <c r="N194" s="239"/>
      <c r="O194" s="239"/>
      <c r="R194" s="239"/>
      <c r="T194" s="240"/>
      <c r="X194" s="129"/>
      <c r="Y194" s="95"/>
    </row>
    <row r="195">
      <c r="L195" s="239"/>
      <c r="N195" s="239"/>
      <c r="O195" s="239"/>
      <c r="R195" s="239"/>
      <c r="T195" s="240"/>
      <c r="X195" s="129"/>
      <c r="Y195" s="95"/>
    </row>
    <row r="196">
      <c r="L196" s="239"/>
      <c r="N196" s="239"/>
      <c r="O196" s="239"/>
      <c r="R196" s="239"/>
      <c r="T196" s="240"/>
      <c r="X196" s="129"/>
      <c r="Y196" s="95"/>
    </row>
    <row r="197">
      <c r="L197" s="239"/>
      <c r="N197" s="239"/>
      <c r="O197" s="239"/>
      <c r="R197" s="239"/>
      <c r="T197" s="240"/>
      <c r="X197" s="129"/>
      <c r="Y197" s="95"/>
    </row>
    <row r="198">
      <c r="L198" s="239"/>
      <c r="N198" s="239"/>
      <c r="O198" s="239"/>
      <c r="R198" s="239"/>
      <c r="T198" s="240"/>
      <c r="X198" s="129"/>
      <c r="Y198" s="95"/>
    </row>
    <row r="199">
      <c r="L199" s="239"/>
      <c r="N199" s="239"/>
      <c r="O199" s="239"/>
      <c r="R199" s="239"/>
      <c r="T199" s="240"/>
      <c r="X199" s="129"/>
      <c r="Y199" s="95"/>
    </row>
    <row r="200">
      <c r="L200" s="239"/>
      <c r="N200" s="239"/>
      <c r="O200" s="239"/>
      <c r="R200" s="239"/>
      <c r="T200" s="240"/>
      <c r="X200" s="129"/>
      <c r="Y200" s="95"/>
    </row>
    <row r="201">
      <c r="L201" s="239"/>
      <c r="N201" s="239"/>
      <c r="O201" s="239"/>
      <c r="R201" s="239"/>
      <c r="T201" s="240"/>
      <c r="X201" s="129"/>
      <c r="Y201" s="95"/>
    </row>
    <row r="202">
      <c r="L202" s="239"/>
      <c r="N202" s="239"/>
      <c r="O202" s="239"/>
      <c r="R202" s="239"/>
      <c r="T202" s="240"/>
      <c r="X202" s="129"/>
      <c r="Y202" s="95"/>
    </row>
    <row r="203">
      <c r="L203" s="239"/>
      <c r="N203" s="239"/>
      <c r="O203" s="239"/>
      <c r="R203" s="239"/>
      <c r="T203" s="240"/>
      <c r="X203" s="129"/>
      <c r="Y203" s="95"/>
    </row>
    <row r="204">
      <c r="L204" s="239"/>
      <c r="N204" s="239"/>
      <c r="O204" s="239"/>
      <c r="R204" s="239"/>
      <c r="T204" s="240"/>
      <c r="X204" s="129"/>
      <c r="Y204" s="95"/>
    </row>
    <row r="205">
      <c r="L205" s="239"/>
      <c r="N205" s="239"/>
      <c r="O205" s="239"/>
      <c r="R205" s="239"/>
      <c r="T205" s="240"/>
      <c r="X205" s="129"/>
      <c r="Y205" s="95"/>
    </row>
    <row r="206">
      <c r="L206" s="239"/>
      <c r="N206" s="239"/>
      <c r="O206" s="239"/>
      <c r="R206" s="239"/>
      <c r="T206" s="240"/>
      <c r="X206" s="129"/>
      <c r="Y206" s="95"/>
    </row>
    <row r="207">
      <c r="L207" s="239"/>
      <c r="N207" s="239"/>
      <c r="O207" s="239"/>
      <c r="R207" s="239"/>
      <c r="T207" s="240"/>
      <c r="X207" s="129"/>
      <c r="Y207" s="95"/>
    </row>
    <row r="208">
      <c r="L208" s="239"/>
      <c r="N208" s="239"/>
      <c r="O208" s="239"/>
      <c r="R208" s="239"/>
      <c r="T208" s="240"/>
      <c r="X208" s="129"/>
      <c r="Y208" s="95"/>
    </row>
    <row r="209">
      <c r="L209" s="239"/>
      <c r="N209" s="239"/>
      <c r="O209" s="239"/>
      <c r="R209" s="239"/>
      <c r="T209" s="240"/>
      <c r="X209" s="129"/>
      <c r="Y209" s="95"/>
    </row>
    <row r="210">
      <c r="L210" s="239"/>
      <c r="N210" s="239"/>
      <c r="O210" s="239"/>
      <c r="R210" s="239"/>
      <c r="T210" s="240"/>
      <c r="X210" s="129"/>
      <c r="Y210" s="95"/>
    </row>
    <row r="211">
      <c r="L211" s="239"/>
      <c r="N211" s="239"/>
      <c r="O211" s="239"/>
      <c r="R211" s="239"/>
      <c r="T211" s="240"/>
      <c r="X211" s="129"/>
      <c r="Y211" s="95"/>
    </row>
    <row r="212">
      <c r="L212" s="239"/>
      <c r="N212" s="239"/>
      <c r="O212" s="239"/>
      <c r="R212" s="239"/>
      <c r="T212" s="240"/>
      <c r="X212" s="129"/>
      <c r="Y212" s="95"/>
    </row>
    <row r="213">
      <c r="L213" s="239"/>
      <c r="N213" s="239"/>
      <c r="O213" s="239"/>
      <c r="R213" s="239"/>
      <c r="T213" s="240"/>
      <c r="X213" s="129"/>
      <c r="Y213" s="95"/>
    </row>
    <row r="214">
      <c r="L214" s="239"/>
      <c r="N214" s="239"/>
      <c r="O214" s="239"/>
      <c r="R214" s="239"/>
      <c r="T214" s="240"/>
      <c r="X214" s="129"/>
      <c r="Y214" s="95"/>
    </row>
    <row r="215">
      <c r="L215" s="239"/>
      <c r="N215" s="239"/>
      <c r="O215" s="239"/>
      <c r="R215" s="239"/>
      <c r="T215" s="240"/>
      <c r="X215" s="129"/>
      <c r="Y215" s="95"/>
    </row>
    <row r="216">
      <c r="L216" s="239"/>
      <c r="N216" s="239"/>
      <c r="O216" s="239"/>
      <c r="R216" s="239"/>
      <c r="T216" s="240"/>
      <c r="X216" s="129"/>
      <c r="Y216" s="95"/>
    </row>
    <row r="217">
      <c r="L217" s="239"/>
      <c r="N217" s="239"/>
      <c r="O217" s="239"/>
      <c r="R217" s="239"/>
      <c r="T217" s="240"/>
      <c r="X217" s="129"/>
      <c r="Y217" s="95"/>
    </row>
    <row r="218">
      <c r="L218" s="239"/>
      <c r="N218" s="239"/>
      <c r="O218" s="239"/>
      <c r="R218" s="239"/>
      <c r="T218" s="240"/>
      <c r="X218" s="129"/>
      <c r="Y218" s="95"/>
    </row>
    <row r="219">
      <c r="L219" s="239"/>
      <c r="N219" s="239"/>
      <c r="O219" s="239"/>
      <c r="R219" s="239"/>
      <c r="T219" s="240"/>
      <c r="X219" s="129"/>
      <c r="Y219" s="95"/>
    </row>
    <row r="220">
      <c r="L220" s="239"/>
      <c r="N220" s="239"/>
      <c r="O220" s="239"/>
      <c r="R220" s="239"/>
      <c r="T220" s="240"/>
      <c r="X220" s="129"/>
      <c r="Y220" s="95"/>
    </row>
    <row r="221">
      <c r="L221" s="239"/>
      <c r="N221" s="239"/>
      <c r="O221" s="239"/>
      <c r="R221" s="239"/>
      <c r="T221" s="240"/>
      <c r="X221" s="129"/>
      <c r="Y221" s="95"/>
    </row>
    <row r="222">
      <c r="L222" s="239"/>
      <c r="N222" s="239"/>
      <c r="O222" s="239"/>
      <c r="R222" s="239"/>
      <c r="T222" s="240"/>
      <c r="X222" s="129"/>
      <c r="Y222" s="95"/>
    </row>
    <row r="223">
      <c r="L223" s="239"/>
      <c r="N223" s="239"/>
      <c r="O223" s="239"/>
      <c r="R223" s="239"/>
      <c r="T223" s="240"/>
      <c r="X223" s="129"/>
      <c r="Y223" s="95"/>
    </row>
    <row r="224">
      <c r="L224" s="239"/>
      <c r="N224" s="239"/>
      <c r="O224" s="239"/>
      <c r="R224" s="239"/>
      <c r="T224" s="240"/>
      <c r="X224" s="129"/>
      <c r="Y224" s="95"/>
    </row>
    <row r="225">
      <c r="L225" s="239"/>
      <c r="N225" s="239"/>
      <c r="O225" s="239"/>
      <c r="R225" s="239"/>
      <c r="T225" s="240"/>
      <c r="X225" s="129"/>
      <c r="Y225" s="95"/>
    </row>
    <row r="226">
      <c r="L226" s="239"/>
      <c r="N226" s="239"/>
      <c r="O226" s="239"/>
      <c r="R226" s="239"/>
      <c r="T226" s="240"/>
      <c r="X226" s="129"/>
      <c r="Y226" s="95"/>
    </row>
    <row r="227">
      <c r="L227" s="239"/>
      <c r="N227" s="239"/>
      <c r="O227" s="239"/>
      <c r="R227" s="239"/>
      <c r="T227" s="240"/>
      <c r="X227" s="129"/>
      <c r="Y227" s="95"/>
    </row>
    <row r="228">
      <c r="L228" s="239"/>
      <c r="N228" s="239"/>
      <c r="O228" s="239"/>
      <c r="R228" s="239"/>
      <c r="T228" s="240"/>
      <c r="X228" s="129"/>
      <c r="Y228" s="95"/>
    </row>
    <row r="229">
      <c r="L229" s="239"/>
      <c r="N229" s="239"/>
      <c r="O229" s="239"/>
      <c r="R229" s="239"/>
      <c r="T229" s="240"/>
      <c r="X229" s="129"/>
      <c r="Y229" s="95"/>
    </row>
    <row r="230">
      <c r="L230" s="239"/>
      <c r="N230" s="239"/>
      <c r="O230" s="239"/>
      <c r="R230" s="239"/>
      <c r="T230" s="240"/>
      <c r="X230" s="129"/>
      <c r="Y230" s="95"/>
    </row>
    <row r="231">
      <c r="L231" s="239"/>
      <c r="N231" s="239"/>
      <c r="O231" s="239"/>
      <c r="R231" s="239"/>
      <c r="T231" s="240"/>
      <c r="X231" s="129"/>
      <c r="Y231" s="95"/>
    </row>
    <row r="232">
      <c r="L232" s="239"/>
      <c r="N232" s="239"/>
      <c r="O232" s="239"/>
      <c r="R232" s="239"/>
      <c r="T232" s="240"/>
      <c r="X232" s="129"/>
      <c r="Y232" s="95"/>
    </row>
    <row r="233">
      <c r="L233" s="239"/>
      <c r="N233" s="239"/>
      <c r="O233" s="239"/>
      <c r="R233" s="239"/>
      <c r="T233" s="240"/>
      <c r="X233" s="129"/>
      <c r="Y233" s="95"/>
    </row>
    <row r="234">
      <c r="L234" s="239"/>
      <c r="N234" s="239"/>
      <c r="O234" s="239"/>
      <c r="R234" s="239"/>
      <c r="T234" s="240"/>
      <c r="X234" s="129"/>
      <c r="Y234" s="95"/>
    </row>
    <row r="235">
      <c r="L235" s="239"/>
      <c r="N235" s="239"/>
      <c r="O235" s="239"/>
      <c r="R235" s="239"/>
      <c r="T235" s="240"/>
      <c r="X235" s="129"/>
      <c r="Y235" s="95"/>
    </row>
    <row r="236">
      <c r="L236" s="239"/>
      <c r="N236" s="239"/>
      <c r="O236" s="239"/>
      <c r="R236" s="239"/>
      <c r="T236" s="240"/>
      <c r="X236" s="129"/>
      <c r="Y236" s="95"/>
    </row>
    <row r="237">
      <c r="L237" s="239"/>
      <c r="N237" s="239"/>
      <c r="O237" s="239"/>
      <c r="R237" s="239"/>
      <c r="T237" s="240"/>
      <c r="X237" s="129"/>
      <c r="Y237" s="95"/>
    </row>
    <row r="238">
      <c r="L238" s="239"/>
      <c r="N238" s="239"/>
      <c r="O238" s="239"/>
      <c r="R238" s="239"/>
      <c r="T238" s="240"/>
      <c r="X238" s="129"/>
      <c r="Y238" s="95"/>
    </row>
    <row r="239">
      <c r="L239" s="239"/>
      <c r="N239" s="239"/>
      <c r="O239" s="239"/>
      <c r="R239" s="239"/>
      <c r="T239" s="240"/>
      <c r="X239" s="129"/>
      <c r="Y239" s="95"/>
    </row>
    <row r="240">
      <c r="L240" s="239"/>
      <c r="N240" s="239"/>
      <c r="O240" s="239"/>
      <c r="R240" s="239"/>
      <c r="T240" s="240"/>
      <c r="X240" s="129"/>
      <c r="Y240" s="95"/>
    </row>
    <row r="241">
      <c r="L241" s="239"/>
      <c r="N241" s="239"/>
      <c r="O241" s="239"/>
      <c r="R241" s="239"/>
      <c r="T241" s="240"/>
      <c r="X241" s="129"/>
      <c r="Y241" s="95"/>
    </row>
    <row r="242">
      <c r="L242" s="239"/>
      <c r="N242" s="239"/>
      <c r="O242" s="239"/>
      <c r="R242" s="239"/>
      <c r="T242" s="240"/>
      <c r="X242" s="129"/>
      <c r="Y242" s="95"/>
    </row>
    <row r="243">
      <c r="L243" s="239"/>
      <c r="N243" s="239"/>
      <c r="O243" s="239"/>
      <c r="R243" s="239"/>
      <c r="T243" s="240"/>
      <c r="X243" s="129"/>
      <c r="Y243" s="95"/>
    </row>
    <row r="244">
      <c r="L244" s="239"/>
      <c r="N244" s="239"/>
      <c r="O244" s="239"/>
      <c r="R244" s="239"/>
      <c r="T244" s="240"/>
      <c r="X244" s="129"/>
      <c r="Y244" s="95"/>
    </row>
    <row r="245">
      <c r="L245" s="239"/>
      <c r="N245" s="239"/>
      <c r="O245" s="239"/>
      <c r="R245" s="239"/>
      <c r="T245" s="240"/>
      <c r="X245" s="129"/>
      <c r="Y245" s="95"/>
    </row>
    <row r="246">
      <c r="L246" s="239"/>
      <c r="N246" s="239"/>
      <c r="O246" s="239"/>
      <c r="R246" s="239"/>
      <c r="T246" s="240"/>
      <c r="X246" s="129"/>
      <c r="Y246" s="95"/>
    </row>
    <row r="247">
      <c r="L247" s="239"/>
      <c r="N247" s="239"/>
      <c r="O247" s="239"/>
      <c r="R247" s="239"/>
      <c r="T247" s="240"/>
      <c r="X247" s="129"/>
      <c r="Y247" s="95"/>
    </row>
    <row r="248">
      <c r="L248" s="239"/>
      <c r="N248" s="239"/>
      <c r="O248" s="239"/>
      <c r="R248" s="239"/>
      <c r="T248" s="240"/>
      <c r="X248" s="129"/>
      <c r="Y248" s="95"/>
    </row>
    <row r="249">
      <c r="L249" s="239"/>
      <c r="N249" s="239"/>
      <c r="O249" s="239"/>
      <c r="R249" s="239"/>
      <c r="T249" s="240"/>
      <c r="X249" s="129"/>
      <c r="Y249" s="95"/>
    </row>
    <row r="250">
      <c r="L250" s="239"/>
      <c r="N250" s="239"/>
      <c r="O250" s="239"/>
      <c r="R250" s="239"/>
      <c r="T250" s="240"/>
      <c r="X250" s="129"/>
      <c r="Y250" s="95"/>
    </row>
    <row r="251">
      <c r="L251" s="239"/>
      <c r="N251" s="239"/>
      <c r="O251" s="239"/>
      <c r="R251" s="239"/>
      <c r="T251" s="240"/>
      <c r="X251" s="129"/>
      <c r="Y251" s="95"/>
    </row>
    <row r="252">
      <c r="L252" s="239"/>
      <c r="N252" s="239"/>
      <c r="O252" s="239"/>
      <c r="R252" s="239"/>
      <c r="T252" s="240"/>
      <c r="X252" s="129"/>
      <c r="Y252" s="95"/>
    </row>
    <row r="253">
      <c r="L253" s="239"/>
      <c r="N253" s="239"/>
      <c r="O253" s="239"/>
      <c r="R253" s="239"/>
      <c r="T253" s="240"/>
      <c r="X253" s="129"/>
      <c r="Y253" s="95"/>
    </row>
    <row r="254">
      <c r="L254" s="239"/>
      <c r="N254" s="239"/>
      <c r="O254" s="239"/>
      <c r="R254" s="239"/>
      <c r="T254" s="240"/>
      <c r="X254" s="129"/>
      <c r="Y254" s="95"/>
    </row>
    <row r="255">
      <c r="L255" s="239"/>
      <c r="N255" s="239"/>
      <c r="O255" s="239"/>
      <c r="R255" s="239"/>
      <c r="T255" s="240"/>
      <c r="X255" s="129"/>
      <c r="Y255" s="95"/>
    </row>
    <row r="256">
      <c r="L256" s="239"/>
      <c r="N256" s="239"/>
      <c r="O256" s="239"/>
      <c r="R256" s="239"/>
      <c r="T256" s="240"/>
      <c r="X256" s="129"/>
      <c r="Y256" s="95"/>
    </row>
    <row r="257">
      <c r="L257" s="239"/>
      <c r="N257" s="239"/>
      <c r="O257" s="239"/>
      <c r="R257" s="239"/>
      <c r="T257" s="240"/>
      <c r="X257" s="129"/>
      <c r="Y257" s="95"/>
    </row>
    <row r="258">
      <c r="L258" s="239"/>
      <c r="N258" s="239"/>
      <c r="O258" s="239"/>
      <c r="R258" s="239"/>
      <c r="T258" s="240"/>
      <c r="X258" s="129"/>
      <c r="Y258" s="95"/>
    </row>
    <row r="259">
      <c r="L259" s="239"/>
      <c r="N259" s="239"/>
      <c r="O259" s="239"/>
      <c r="R259" s="239"/>
      <c r="T259" s="240"/>
      <c r="X259" s="129"/>
      <c r="Y259" s="95"/>
    </row>
    <row r="260">
      <c r="L260" s="239"/>
      <c r="N260" s="239"/>
      <c r="O260" s="239"/>
      <c r="R260" s="239"/>
      <c r="T260" s="240"/>
      <c r="X260" s="129"/>
      <c r="Y260" s="95"/>
    </row>
    <row r="261">
      <c r="L261" s="239"/>
      <c r="N261" s="239"/>
      <c r="O261" s="239"/>
      <c r="R261" s="239"/>
      <c r="T261" s="240"/>
      <c r="X261" s="129"/>
      <c r="Y261" s="95"/>
    </row>
    <row r="262">
      <c r="L262" s="239"/>
      <c r="N262" s="239"/>
      <c r="O262" s="239"/>
      <c r="R262" s="239"/>
      <c r="T262" s="240"/>
      <c r="X262" s="129"/>
      <c r="Y262" s="95"/>
    </row>
    <row r="263">
      <c r="L263" s="239"/>
      <c r="N263" s="239"/>
      <c r="O263" s="239"/>
      <c r="R263" s="239"/>
      <c r="T263" s="240"/>
      <c r="X263" s="129"/>
      <c r="Y263" s="95"/>
    </row>
    <row r="264">
      <c r="L264" s="239"/>
      <c r="N264" s="239"/>
      <c r="O264" s="239"/>
      <c r="R264" s="239"/>
      <c r="T264" s="240"/>
      <c r="X264" s="129"/>
      <c r="Y264" s="95"/>
    </row>
    <row r="265">
      <c r="L265" s="239"/>
      <c r="N265" s="239"/>
      <c r="O265" s="239"/>
      <c r="R265" s="239"/>
      <c r="T265" s="240"/>
      <c r="X265" s="129"/>
      <c r="Y265" s="95"/>
    </row>
    <row r="266">
      <c r="L266" s="239"/>
      <c r="N266" s="239"/>
      <c r="O266" s="239"/>
      <c r="R266" s="239"/>
      <c r="T266" s="240"/>
      <c r="X266" s="129"/>
      <c r="Y266" s="95"/>
    </row>
    <row r="267">
      <c r="L267" s="239"/>
      <c r="N267" s="239"/>
      <c r="O267" s="239"/>
      <c r="R267" s="239"/>
      <c r="T267" s="240"/>
      <c r="X267" s="129"/>
      <c r="Y267" s="95"/>
    </row>
    <row r="268">
      <c r="L268" s="239"/>
      <c r="N268" s="239"/>
      <c r="O268" s="239"/>
      <c r="R268" s="239"/>
      <c r="T268" s="240"/>
      <c r="X268" s="129"/>
      <c r="Y268" s="95"/>
    </row>
    <row r="269">
      <c r="L269" s="239"/>
      <c r="N269" s="239"/>
      <c r="O269" s="239"/>
      <c r="R269" s="239"/>
      <c r="T269" s="240"/>
      <c r="X269" s="129"/>
      <c r="Y269" s="95"/>
    </row>
    <row r="270">
      <c r="L270" s="239"/>
      <c r="N270" s="239"/>
      <c r="O270" s="239"/>
      <c r="R270" s="239"/>
      <c r="T270" s="240"/>
      <c r="X270" s="129"/>
      <c r="Y270" s="95"/>
    </row>
    <row r="271">
      <c r="L271" s="239"/>
      <c r="N271" s="239"/>
      <c r="O271" s="239"/>
      <c r="R271" s="239"/>
      <c r="T271" s="240"/>
      <c r="X271" s="129"/>
      <c r="Y271" s="95"/>
    </row>
    <row r="272">
      <c r="L272" s="239"/>
      <c r="N272" s="239"/>
      <c r="O272" s="239"/>
      <c r="R272" s="239"/>
      <c r="T272" s="240"/>
      <c r="X272" s="129"/>
      <c r="Y272" s="95"/>
    </row>
    <row r="273">
      <c r="L273" s="239"/>
      <c r="N273" s="239"/>
      <c r="O273" s="239"/>
      <c r="R273" s="239"/>
      <c r="T273" s="240"/>
      <c r="X273" s="129"/>
      <c r="Y273" s="95"/>
    </row>
    <row r="274">
      <c r="L274" s="239"/>
      <c r="N274" s="239"/>
      <c r="O274" s="239"/>
      <c r="R274" s="239"/>
      <c r="T274" s="240"/>
      <c r="X274" s="129"/>
      <c r="Y274" s="95"/>
    </row>
    <row r="275">
      <c r="L275" s="239"/>
      <c r="N275" s="239"/>
      <c r="O275" s="239"/>
      <c r="R275" s="239"/>
      <c r="T275" s="240"/>
      <c r="X275" s="129"/>
      <c r="Y275" s="95"/>
    </row>
    <row r="276">
      <c r="L276" s="239"/>
      <c r="N276" s="239"/>
      <c r="O276" s="239"/>
      <c r="R276" s="239"/>
      <c r="T276" s="240"/>
      <c r="X276" s="129"/>
      <c r="Y276" s="95"/>
    </row>
    <row r="277">
      <c r="L277" s="239"/>
      <c r="N277" s="239"/>
      <c r="O277" s="239"/>
      <c r="R277" s="239"/>
      <c r="T277" s="240"/>
      <c r="X277" s="129"/>
      <c r="Y277" s="95"/>
    </row>
    <row r="278">
      <c r="L278" s="239"/>
      <c r="N278" s="239"/>
      <c r="O278" s="239"/>
      <c r="R278" s="239"/>
      <c r="T278" s="240"/>
      <c r="X278" s="129"/>
      <c r="Y278" s="95"/>
    </row>
    <row r="279">
      <c r="L279" s="239"/>
      <c r="N279" s="239"/>
      <c r="O279" s="239"/>
      <c r="R279" s="239"/>
      <c r="T279" s="240"/>
      <c r="X279" s="129"/>
      <c r="Y279" s="95"/>
    </row>
    <row r="280">
      <c r="L280" s="239"/>
      <c r="N280" s="239"/>
      <c r="O280" s="239"/>
      <c r="R280" s="239"/>
      <c r="T280" s="240"/>
      <c r="X280" s="129"/>
      <c r="Y280" s="95"/>
    </row>
    <row r="281">
      <c r="L281" s="239"/>
      <c r="N281" s="239"/>
      <c r="O281" s="239"/>
      <c r="R281" s="239"/>
      <c r="T281" s="240"/>
      <c r="X281" s="129"/>
      <c r="Y281" s="95"/>
    </row>
    <row r="282">
      <c r="L282" s="239"/>
      <c r="N282" s="239"/>
      <c r="O282" s="239"/>
      <c r="R282" s="239"/>
      <c r="T282" s="240"/>
      <c r="X282" s="129"/>
      <c r="Y282" s="95"/>
    </row>
    <row r="283">
      <c r="L283" s="239"/>
      <c r="N283" s="239"/>
      <c r="O283" s="239"/>
      <c r="R283" s="239"/>
      <c r="T283" s="240"/>
      <c r="X283" s="129"/>
      <c r="Y283" s="95"/>
    </row>
    <row r="284">
      <c r="L284" s="239"/>
      <c r="N284" s="239"/>
      <c r="O284" s="239"/>
      <c r="R284" s="239"/>
      <c r="T284" s="240"/>
      <c r="X284" s="129"/>
      <c r="Y284" s="95"/>
    </row>
    <row r="285">
      <c r="L285" s="239"/>
      <c r="N285" s="239"/>
      <c r="O285" s="239"/>
      <c r="R285" s="239"/>
      <c r="T285" s="240"/>
      <c r="X285" s="129"/>
      <c r="Y285" s="95"/>
    </row>
    <row r="286">
      <c r="L286" s="239"/>
      <c r="N286" s="239"/>
      <c r="O286" s="239"/>
      <c r="R286" s="239"/>
      <c r="T286" s="240"/>
      <c r="X286" s="129"/>
      <c r="Y286" s="95"/>
    </row>
    <row r="287">
      <c r="L287" s="239"/>
      <c r="N287" s="239"/>
      <c r="O287" s="239"/>
      <c r="R287" s="239"/>
      <c r="T287" s="240"/>
      <c r="X287" s="129"/>
      <c r="Y287" s="95"/>
    </row>
    <row r="288">
      <c r="L288" s="239"/>
      <c r="N288" s="239"/>
      <c r="O288" s="239"/>
      <c r="R288" s="239"/>
      <c r="T288" s="240"/>
      <c r="X288" s="129"/>
      <c r="Y288" s="95"/>
    </row>
    <row r="289">
      <c r="L289" s="239"/>
      <c r="N289" s="239"/>
      <c r="O289" s="239"/>
      <c r="R289" s="239"/>
      <c r="T289" s="240"/>
      <c r="X289" s="129"/>
      <c r="Y289" s="95"/>
    </row>
    <row r="290">
      <c r="L290" s="239"/>
      <c r="N290" s="239"/>
      <c r="O290" s="239"/>
      <c r="R290" s="239"/>
      <c r="T290" s="240"/>
      <c r="X290" s="129"/>
      <c r="Y290" s="95"/>
    </row>
    <row r="291">
      <c r="L291" s="239"/>
      <c r="N291" s="239"/>
      <c r="O291" s="239"/>
      <c r="R291" s="239"/>
      <c r="T291" s="240"/>
      <c r="X291" s="129"/>
      <c r="Y291" s="95"/>
    </row>
    <row r="292">
      <c r="L292" s="239"/>
      <c r="N292" s="239"/>
      <c r="O292" s="239"/>
      <c r="R292" s="239"/>
      <c r="T292" s="240"/>
      <c r="X292" s="129"/>
      <c r="Y292" s="95"/>
    </row>
    <row r="293">
      <c r="L293" s="239"/>
      <c r="N293" s="239"/>
      <c r="O293" s="239"/>
      <c r="R293" s="239"/>
      <c r="T293" s="240"/>
      <c r="X293" s="129"/>
      <c r="Y293" s="95"/>
    </row>
    <row r="294">
      <c r="L294" s="239"/>
      <c r="N294" s="239"/>
      <c r="O294" s="239"/>
      <c r="R294" s="239"/>
      <c r="T294" s="240"/>
      <c r="X294" s="129"/>
      <c r="Y294" s="95"/>
    </row>
    <row r="295">
      <c r="L295" s="239"/>
      <c r="N295" s="239"/>
      <c r="O295" s="239"/>
      <c r="R295" s="239"/>
      <c r="T295" s="240"/>
      <c r="X295" s="129"/>
      <c r="Y295" s="95"/>
    </row>
    <row r="296">
      <c r="L296" s="239"/>
      <c r="N296" s="239"/>
      <c r="O296" s="239"/>
      <c r="R296" s="239"/>
      <c r="T296" s="240"/>
      <c r="X296" s="129"/>
      <c r="Y296" s="95"/>
    </row>
    <row r="297">
      <c r="L297" s="239"/>
      <c r="N297" s="239"/>
      <c r="O297" s="239"/>
      <c r="R297" s="239"/>
      <c r="T297" s="240"/>
      <c r="X297" s="129"/>
      <c r="Y297" s="95"/>
    </row>
    <row r="298">
      <c r="L298" s="239"/>
      <c r="N298" s="239"/>
      <c r="O298" s="239"/>
      <c r="R298" s="239"/>
      <c r="T298" s="240"/>
      <c r="X298" s="129"/>
      <c r="Y298" s="95"/>
    </row>
    <row r="299">
      <c r="L299" s="239"/>
      <c r="N299" s="239"/>
      <c r="O299" s="239"/>
      <c r="R299" s="239"/>
      <c r="T299" s="240"/>
      <c r="X299" s="129"/>
      <c r="Y299" s="95"/>
    </row>
    <row r="300">
      <c r="L300" s="239"/>
      <c r="N300" s="239"/>
      <c r="O300" s="239"/>
      <c r="R300" s="239"/>
      <c r="T300" s="240"/>
      <c r="X300" s="129"/>
      <c r="Y300" s="95"/>
    </row>
    <row r="301">
      <c r="L301" s="239"/>
      <c r="N301" s="239"/>
      <c r="O301" s="239"/>
      <c r="R301" s="239"/>
      <c r="T301" s="240"/>
      <c r="X301" s="129"/>
      <c r="Y301" s="95"/>
    </row>
    <row r="302">
      <c r="L302" s="239"/>
      <c r="N302" s="239"/>
      <c r="O302" s="239"/>
      <c r="R302" s="239"/>
      <c r="T302" s="240"/>
      <c r="X302" s="129"/>
      <c r="Y302" s="95"/>
    </row>
    <row r="303">
      <c r="L303" s="239"/>
      <c r="N303" s="239"/>
      <c r="O303" s="239"/>
      <c r="R303" s="239"/>
      <c r="T303" s="240"/>
      <c r="X303" s="129"/>
      <c r="Y303" s="95"/>
    </row>
    <row r="304">
      <c r="L304" s="239"/>
      <c r="N304" s="239"/>
      <c r="O304" s="239"/>
      <c r="R304" s="239"/>
      <c r="T304" s="240"/>
      <c r="X304" s="129"/>
      <c r="Y304" s="95"/>
    </row>
    <row r="305">
      <c r="L305" s="239"/>
      <c r="N305" s="239"/>
      <c r="O305" s="239"/>
      <c r="R305" s="239"/>
      <c r="T305" s="240"/>
      <c r="X305" s="129"/>
      <c r="Y305" s="95"/>
    </row>
    <row r="306">
      <c r="L306" s="239"/>
      <c r="N306" s="239"/>
      <c r="O306" s="239"/>
      <c r="R306" s="239"/>
      <c r="T306" s="240"/>
      <c r="X306" s="129"/>
      <c r="Y306" s="95"/>
    </row>
    <row r="307">
      <c r="L307" s="239"/>
      <c r="N307" s="239"/>
      <c r="O307" s="239"/>
      <c r="R307" s="239"/>
      <c r="T307" s="240"/>
      <c r="X307" s="129"/>
      <c r="Y307" s="95"/>
    </row>
    <row r="308">
      <c r="L308" s="239"/>
      <c r="N308" s="239"/>
      <c r="O308" s="239"/>
      <c r="R308" s="239"/>
      <c r="T308" s="240"/>
      <c r="X308" s="129"/>
      <c r="Y308" s="95"/>
    </row>
    <row r="309">
      <c r="L309" s="239"/>
      <c r="N309" s="239"/>
      <c r="O309" s="239"/>
      <c r="R309" s="239"/>
      <c r="T309" s="240"/>
      <c r="X309" s="129"/>
      <c r="Y309" s="95"/>
    </row>
    <row r="310">
      <c r="L310" s="239"/>
      <c r="N310" s="239"/>
      <c r="O310" s="239"/>
      <c r="R310" s="239"/>
      <c r="T310" s="240"/>
      <c r="X310" s="129"/>
      <c r="Y310" s="95"/>
    </row>
    <row r="311">
      <c r="L311" s="239"/>
      <c r="N311" s="239"/>
      <c r="O311" s="239"/>
      <c r="R311" s="239"/>
      <c r="T311" s="240"/>
      <c r="X311" s="129"/>
      <c r="Y311" s="95"/>
    </row>
    <row r="312">
      <c r="L312" s="239"/>
      <c r="N312" s="239"/>
      <c r="O312" s="239"/>
      <c r="R312" s="239"/>
      <c r="T312" s="240"/>
      <c r="X312" s="129"/>
      <c r="Y312" s="95"/>
    </row>
    <row r="313">
      <c r="L313" s="239"/>
      <c r="N313" s="239"/>
      <c r="O313" s="239"/>
      <c r="R313" s="239"/>
      <c r="T313" s="240"/>
      <c r="X313" s="129"/>
      <c r="Y313" s="95"/>
    </row>
    <row r="314">
      <c r="L314" s="239"/>
      <c r="N314" s="239"/>
      <c r="O314" s="239"/>
      <c r="R314" s="239"/>
      <c r="T314" s="240"/>
      <c r="X314" s="129"/>
      <c r="Y314" s="95"/>
    </row>
    <row r="315">
      <c r="L315" s="239"/>
      <c r="N315" s="239"/>
      <c r="O315" s="239"/>
      <c r="R315" s="239"/>
      <c r="T315" s="240"/>
      <c r="X315" s="129"/>
      <c r="Y315" s="95"/>
    </row>
    <row r="316">
      <c r="L316" s="239"/>
      <c r="N316" s="239"/>
      <c r="O316" s="239"/>
      <c r="R316" s="239"/>
      <c r="T316" s="240"/>
      <c r="X316" s="129"/>
      <c r="Y316" s="95"/>
    </row>
    <row r="317">
      <c r="L317" s="239"/>
      <c r="N317" s="239"/>
      <c r="O317" s="239"/>
      <c r="R317" s="239"/>
      <c r="T317" s="240"/>
      <c r="X317" s="129"/>
      <c r="Y317" s="95"/>
    </row>
    <row r="318">
      <c r="L318" s="239"/>
      <c r="N318" s="239"/>
      <c r="O318" s="239"/>
      <c r="R318" s="239"/>
      <c r="T318" s="240"/>
      <c r="X318" s="129"/>
      <c r="Y318" s="95"/>
    </row>
    <row r="319">
      <c r="L319" s="239"/>
      <c r="N319" s="239"/>
      <c r="O319" s="239"/>
      <c r="R319" s="239"/>
      <c r="T319" s="240"/>
      <c r="X319" s="129"/>
      <c r="Y319" s="95"/>
    </row>
    <row r="320">
      <c r="L320" s="239"/>
      <c r="N320" s="239"/>
      <c r="O320" s="239"/>
      <c r="R320" s="239"/>
      <c r="T320" s="240"/>
      <c r="X320" s="129"/>
      <c r="Y320" s="95"/>
    </row>
    <row r="321">
      <c r="L321" s="239"/>
      <c r="N321" s="239"/>
      <c r="O321" s="239"/>
      <c r="R321" s="239"/>
      <c r="T321" s="240"/>
      <c r="X321" s="129"/>
      <c r="Y321" s="95"/>
    </row>
    <row r="322">
      <c r="L322" s="239"/>
      <c r="N322" s="239"/>
      <c r="O322" s="239"/>
      <c r="R322" s="239"/>
      <c r="T322" s="240"/>
      <c r="X322" s="129"/>
      <c r="Y322" s="95"/>
    </row>
    <row r="323">
      <c r="L323" s="239"/>
      <c r="N323" s="239"/>
      <c r="O323" s="239"/>
      <c r="R323" s="239"/>
      <c r="T323" s="240"/>
      <c r="X323" s="129"/>
      <c r="Y323" s="95"/>
    </row>
    <row r="324">
      <c r="L324" s="239"/>
      <c r="N324" s="239"/>
      <c r="O324" s="239"/>
      <c r="R324" s="239"/>
      <c r="T324" s="240"/>
      <c r="X324" s="129"/>
      <c r="Y324" s="95"/>
    </row>
    <row r="325">
      <c r="L325" s="239"/>
      <c r="N325" s="239"/>
      <c r="O325" s="239"/>
      <c r="R325" s="239"/>
      <c r="T325" s="240"/>
      <c r="X325" s="129"/>
      <c r="Y325" s="95"/>
    </row>
    <row r="326">
      <c r="L326" s="239"/>
      <c r="N326" s="239"/>
      <c r="O326" s="239"/>
      <c r="R326" s="239"/>
      <c r="T326" s="240"/>
      <c r="X326" s="129"/>
      <c r="Y326" s="95"/>
    </row>
    <row r="327">
      <c r="L327" s="239"/>
      <c r="N327" s="239"/>
      <c r="O327" s="239"/>
      <c r="R327" s="239"/>
      <c r="T327" s="240"/>
      <c r="X327" s="129"/>
      <c r="Y327" s="95"/>
    </row>
    <row r="328">
      <c r="L328" s="239"/>
      <c r="N328" s="239"/>
      <c r="O328" s="239"/>
      <c r="R328" s="239"/>
      <c r="T328" s="240"/>
      <c r="X328" s="129"/>
      <c r="Y328" s="95"/>
    </row>
    <row r="329">
      <c r="L329" s="239"/>
      <c r="N329" s="239"/>
      <c r="O329" s="239"/>
      <c r="R329" s="239"/>
      <c r="T329" s="240"/>
      <c r="X329" s="129"/>
      <c r="Y329" s="95"/>
    </row>
    <row r="330">
      <c r="L330" s="239"/>
      <c r="N330" s="239"/>
      <c r="O330" s="239"/>
      <c r="R330" s="239"/>
      <c r="T330" s="240"/>
      <c r="X330" s="129"/>
      <c r="Y330" s="95"/>
    </row>
    <row r="331">
      <c r="L331" s="239"/>
      <c r="N331" s="239"/>
      <c r="O331" s="239"/>
      <c r="R331" s="239"/>
      <c r="T331" s="240"/>
      <c r="X331" s="129"/>
      <c r="Y331" s="95"/>
    </row>
    <row r="332">
      <c r="L332" s="239"/>
      <c r="N332" s="239"/>
      <c r="O332" s="239"/>
      <c r="R332" s="239"/>
      <c r="T332" s="240"/>
      <c r="X332" s="129"/>
      <c r="Y332" s="95"/>
    </row>
    <row r="333">
      <c r="L333" s="239"/>
      <c r="N333" s="239"/>
      <c r="O333" s="239"/>
      <c r="R333" s="239"/>
      <c r="T333" s="240"/>
      <c r="X333" s="129"/>
      <c r="Y333" s="95"/>
    </row>
    <row r="334">
      <c r="L334" s="239"/>
      <c r="N334" s="239"/>
      <c r="O334" s="239"/>
      <c r="R334" s="239"/>
      <c r="T334" s="240"/>
      <c r="X334" s="129"/>
      <c r="Y334" s="95"/>
    </row>
    <row r="335">
      <c r="L335" s="239"/>
      <c r="N335" s="239"/>
      <c r="O335" s="239"/>
      <c r="R335" s="239"/>
      <c r="T335" s="240"/>
      <c r="X335" s="129"/>
      <c r="Y335" s="95"/>
    </row>
    <row r="336">
      <c r="L336" s="239"/>
      <c r="N336" s="239"/>
      <c r="O336" s="239"/>
      <c r="R336" s="239"/>
      <c r="T336" s="240"/>
      <c r="X336" s="129"/>
      <c r="Y336" s="95"/>
    </row>
    <row r="337">
      <c r="L337" s="239"/>
      <c r="N337" s="239"/>
      <c r="O337" s="239"/>
      <c r="R337" s="239"/>
      <c r="T337" s="240"/>
      <c r="X337" s="129"/>
      <c r="Y337" s="95"/>
    </row>
    <row r="338">
      <c r="L338" s="239"/>
      <c r="N338" s="239"/>
      <c r="O338" s="239"/>
      <c r="R338" s="239"/>
      <c r="T338" s="240"/>
      <c r="X338" s="129"/>
      <c r="Y338" s="95"/>
    </row>
    <row r="339">
      <c r="L339" s="239"/>
      <c r="N339" s="239"/>
      <c r="O339" s="239"/>
      <c r="R339" s="239"/>
      <c r="T339" s="240"/>
      <c r="X339" s="129"/>
      <c r="Y339" s="95"/>
    </row>
    <row r="340">
      <c r="L340" s="239"/>
      <c r="N340" s="239"/>
      <c r="O340" s="239"/>
      <c r="R340" s="239"/>
      <c r="T340" s="240"/>
      <c r="X340" s="129"/>
      <c r="Y340" s="95"/>
    </row>
    <row r="341">
      <c r="L341" s="239"/>
      <c r="N341" s="239"/>
      <c r="O341" s="239"/>
      <c r="R341" s="239"/>
      <c r="T341" s="240"/>
      <c r="X341" s="129"/>
      <c r="Y341" s="95"/>
    </row>
    <row r="342">
      <c r="L342" s="239"/>
      <c r="N342" s="239"/>
      <c r="O342" s="239"/>
      <c r="R342" s="239"/>
      <c r="T342" s="240"/>
      <c r="X342" s="129"/>
      <c r="Y342" s="95"/>
    </row>
    <row r="343">
      <c r="L343" s="239"/>
      <c r="N343" s="239"/>
      <c r="O343" s="239"/>
      <c r="R343" s="239"/>
      <c r="T343" s="240"/>
      <c r="X343" s="129"/>
      <c r="Y343" s="95"/>
    </row>
    <row r="344">
      <c r="L344" s="239"/>
      <c r="N344" s="239"/>
      <c r="O344" s="239"/>
      <c r="R344" s="239"/>
      <c r="T344" s="240"/>
      <c r="X344" s="129"/>
      <c r="Y344" s="95"/>
    </row>
    <row r="345">
      <c r="L345" s="239"/>
      <c r="N345" s="239"/>
      <c r="O345" s="239"/>
      <c r="R345" s="239"/>
      <c r="T345" s="240"/>
      <c r="X345" s="129"/>
      <c r="Y345" s="95"/>
    </row>
    <row r="346">
      <c r="L346" s="239"/>
      <c r="N346" s="239"/>
      <c r="O346" s="239"/>
      <c r="R346" s="239"/>
      <c r="T346" s="240"/>
      <c r="X346" s="129"/>
      <c r="Y346" s="95"/>
    </row>
    <row r="347">
      <c r="L347" s="239"/>
      <c r="N347" s="239"/>
      <c r="O347" s="239"/>
      <c r="R347" s="239"/>
      <c r="T347" s="240"/>
      <c r="X347" s="129"/>
      <c r="Y347" s="95"/>
    </row>
    <row r="348">
      <c r="L348" s="239"/>
      <c r="N348" s="239"/>
      <c r="O348" s="239"/>
      <c r="R348" s="239"/>
      <c r="T348" s="240"/>
      <c r="X348" s="129"/>
      <c r="Y348" s="95"/>
    </row>
    <row r="349">
      <c r="L349" s="239"/>
      <c r="N349" s="239"/>
      <c r="O349" s="239"/>
      <c r="R349" s="239"/>
      <c r="T349" s="240"/>
      <c r="X349" s="129"/>
      <c r="Y349" s="95"/>
    </row>
    <row r="350">
      <c r="L350" s="239"/>
      <c r="N350" s="239"/>
      <c r="O350" s="239"/>
      <c r="R350" s="239"/>
      <c r="T350" s="240"/>
      <c r="X350" s="129"/>
      <c r="Y350" s="95"/>
    </row>
    <row r="351">
      <c r="L351" s="239"/>
      <c r="N351" s="239"/>
      <c r="O351" s="239"/>
      <c r="R351" s="239"/>
      <c r="T351" s="240"/>
      <c r="X351" s="129"/>
      <c r="Y351" s="95"/>
    </row>
    <row r="352">
      <c r="L352" s="239"/>
      <c r="N352" s="239"/>
      <c r="O352" s="239"/>
      <c r="R352" s="239"/>
      <c r="T352" s="240"/>
      <c r="X352" s="129"/>
      <c r="Y352" s="95"/>
    </row>
    <row r="353">
      <c r="L353" s="239"/>
      <c r="N353" s="239"/>
      <c r="O353" s="239"/>
      <c r="R353" s="239"/>
      <c r="T353" s="240"/>
      <c r="X353" s="129"/>
      <c r="Y353" s="95"/>
    </row>
    <row r="354">
      <c r="L354" s="239"/>
      <c r="N354" s="239"/>
      <c r="O354" s="239"/>
      <c r="R354" s="239"/>
      <c r="T354" s="240"/>
      <c r="X354" s="129"/>
      <c r="Y354" s="95"/>
    </row>
    <row r="355">
      <c r="L355" s="239"/>
      <c r="N355" s="239"/>
      <c r="O355" s="239"/>
      <c r="R355" s="239"/>
      <c r="T355" s="240"/>
      <c r="X355" s="129"/>
      <c r="Y355" s="95"/>
    </row>
    <row r="356">
      <c r="L356" s="239"/>
      <c r="N356" s="239"/>
      <c r="O356" s="239"/>
      <c r="R356" s="239"/>
      <c r="T356" s="240"/>
      <c r="X356" s="129"/>
      <c r="Y356" s="95"/>
    </row>
    <row r="357">
      <c r="L357" s="239"/>
      <c r="N357" s="239"/>
      <c r="O357" s="239"/>
      <c r="R357" s="239"/>
      <c r="T357" s="240"/>
      <c r="X357" s="129"/>
      <c r="Y357" s="95"/>
    </row>
    <row r="358">
      <c r="L358" s="239"/>
      <c r="N358" s="239"/>
      <c r="O358" s="239"/>
      <c r="R358" s="239"/>
      <c r="T358" s="240"/>
      <c r="X358" s="129"/>
      <c r="Y358" s="95"/>
    </row>
    <row r="359">
      <c r="L359" s="239"/>
      <c r="N359" s="239"/>
      <c r="O359" s="239"/>
      <c r="R359" s="239"/>
      <c r="T359" s="240"/>
      <c r="X359" s="129"/>
      <c r="Y359" s="95"/>
    </row>
    <row r="360">
      <c r="L360" s="239"/>
      <c r="N360" s="239"/>
      <c r="O360" s="239"/>
      <c r="R360" s="239"/>
      <c r="T360" s="240"/>
      <c r="X360" s="129"/>
      <c r="Y360" s="95"/>
    </row>
    <row r="361">
      <c r="L361" s="239"/>
      <c r="N361" s="239"/>
      <c r="O361" s="239"/>
      <c r="R361" s="239"/>
      <c r="T361" s="240"/>
      <c r="X361" s="129"/>
      <c r="Y361" s="95"/>
    </row>
    <row r="362">
      <c r="L362" s="239"/>
      <c r="N362" s="239"/>
      <c r="O362" s="239"/>
      <c r="R362" s="239"/>
      <c r="T362" s="240"/>
      <c r="X362" s="129"/>
      <c r="Y362" s="95"/>
    </row>
    <row r="363">
      <c r="L363" s="239"/>
      <c r="N363" s="239"/>
      <c r="O363" s="239"/>
      <c r="R363" s="239"/>
      <c r="T363" s="240"/>
      <c r="X363" s="129"/>
      <c r="Y363" s="95"/>
    </row>
    <row r="364">
      <c r="L364" s="239"/>
      <c r="N364" s="239"/>
      <c r="O364" s="239"/>
      <c r="R364" s="239"/>
      <c r="T364" s="240"/>
      <c r="X364" s="129"/>
      <c r="Y364" s="95"/>
    </row>
    <row r="365">
      <c r="L365" s="239"/>
      <c r="N365" s="239"/>
      <c r="O365" s="239"/>
      <c r="R365" s="239"/>
      <c r="T365" s="240"/>
      <c r="X365" s="129"/>
      <c r="Y365" s="95"/>
    </row>
    <row r="366">
      <c r="L366" s="239"/>
      <c r="N366" s="239"/>
      <c r="O366" s="239"/>
      <c r="R366" s="239"/>
      <c r="T366" s="240"/>
      <c r="X366" s="129"/>
      <c r="Y366" s="95"/>
    </row>
    <row r="367">
      <c r="L367" s="239"/>
      <c r="N367" s="239"/>
      <c r="O367" s="239"/>
      <c r="R367" s="239"/>
      <c r="T367" s="240"/>
      <c r="X367" s="129"/>
      <c r="Y367" s="95"/>
    </row>
    <row r="368">
      <c r="L368" s="239"/>
      <c r="N368" s="239"/>
      <c r="O368" s="239"/>
      <c r="R368" s="239"/>
      <c r="T368" s="240"/>
      <c r="X368" s="129"/>
      <c r="Y368" s="95"/>
    </row>
    <row r="369">
      <c r="L369" s="239"/>
      <c r="N369" s="239"/>
      <c r="O369" s="239"/>
      <c r="R369" s="239"/>
      <c r="T369" s="240"/>
      <c r="X369" s="129"/>
      <c r="Y369" s="95"/>
    </row>
    <row r="370">
      <c r="L370" s="239"/>
      <c r="N370" s="239"/>
      <c r="O370" s="239"/>
      <c r="R370" s="239"/>
      <c r="T370" s="240"/>
      <c r="X370" s="129"/>
      <c r="Y370" s="95"/>
    </row>
    <row r="371">
      <c r="L371" s="239"/>
      <c r="N371" s="239"/>
      <c r="O371" s="239"/>
      <c r="R371" s="239"/>
      <c r="T371" s="240"/>
      <c r="X371" s="129"/>
      <c r="Y371" s="95"/>
    </row>
    <row r="372">
      <c r="L372" s="239"/>
      <c r="N372" s="239"/>
      <c r="O372" s="239"/>
      <c r="R372" s="239"/>
      <c r="T372" s="240"/>
      <c r="X372" s="129"/>
      <c r="Y372" s="95"/>
    </row>
    <row r="373">
      <c r="L373" s="239"/>
      <c r="N373" s="239"/>
      <c r="O373" s="239"/>
      <c r="R373" s="239"/>
      <c r="T373" s="240"/>
      <c r="X373" s="129"/>
      <c r="Y373" s="95"/>
    </row>
    <row r="374">
      <c r="L374" s="239"/>
      <c r="N374" s="239"/>
      <c r="O374" s="239"/>
      <c r="R374" s="239"/>
      <c r="T374" s="240"/>
      <c r="X374" s="129"/>
      <c r="Y374" s="95"/>
    </row>
    <row r="375">
      <c r="L375" s="239"/>
      <c r="N375" s="239"/>
      <c r="O375" s="239"/>
      <c r="R375" s="239"/>
      <c r="T375" s="240"/>
      <c r="X375" s="129"/>
      <c r="Y375" s="95"/>
    </row>
    <row r="376">
      <c r="L376" s="239"/>
      <c r="N376" s="239"/>
      <c r="O376" s="239"/>
      <c r="R376" s="239"/>
      <c r="T376" s="240"/>
      <c r="X376" s="129"/>
      <c r="Y376" s="95"/>
    </row>
    <row r="377">
      <c r="L377" s="239"/>
      <c r="N377" s="239"/>
      <c r="O377" s="239"/>
      <c r="R377" s="239"/>
      <c r="T377" s="240"/>
      <c r="X377" s="129"/>
      <c r="Y377" s="95"/>
    </row>
    <row r="378">
      <c r="L378" s="239"/>
      <c r="N378" s="239"/>
      <c r="O378" s="239"/>
      <c r="R378" s="239"/>
      <c r="T378" s="240"/>
      <c r="X378" s="129"/>
      <c r="Y378" s="95"/>
    </row>
    <row r="379">
      <c r="L379" s="239"/>
      <c r="N379" s="239"/>
      <c r="O379" s="239"/>
      <c r="R379" s="239"/>
      <c r="T379" s="240"/>
      <c r="X379" s="129"/>
      <c r="Y379" s="95"/>
    </row>
    <row r="380">
      <c r="L380" s="239"/>
      <c r="N380" s="239"/>
      <c r="O380" s="239"/>
      <c r="R380" s="239"/>
      <c r="T380" s="240"/>
      <c r="X380" s="129"/>
      <c r="Y380" s="95"/>
    </row>
    <row r="381">
      <c r="L381" s="239"/>
      <c r="N381" s="239"/>
      <c r="O381" s="239"/>
      <c r="R381" s="239"/>
      <c r="T381" s="240"/>
      <c r="X381" s="129"/>
      <c r="Y381" s="95"/>
    </row>
    <row r="382">
      <c r="L382" s="239"/>
      <c r="N382" s="239"/>
      <c r="O382" s="239"/>
      <c r="R382" s="239"/>
      <c r="T382" s="240"/>
      <c r="X382" s="129"/>
      <c r="Y382" s="95"/>
    </row>
    <row r="383">
      <c r="L383" s="239"/>
      <c r="N383" s="239"/>
      <c r="O383" s="239"/>
      <c r="R383" s="239"/>
      <c r="T383" s="240"/>
      <c r="X383" s="129"/>
      <c r="Y383" s="95"/>
    </row>
    <row r="384">
      <c r="L384" s="239"/>
      <c r="N384" s="239"/>
      <c r="O384" s="239"/>
      <c r="R384" s="239"/>
      <c r="T384" s="240"/>
      <c r="X384" s="129"/>
      <c r="Y384" s="95"/>
    </row>
    <row r="385">
      <c r="L385" s="239"/>
      <c r="N385" s="239"/>
      <c r="O385" s="239"/>
      <c r="R385" s="239"/>
      <c r="T385" s="240"/>
      <c r="X385" s="129"/>
      <c r="Y385" s="95"/>
    </row>
    <row r="386">
      <c r="L386" s="239"/>
      <c r="N386" s="239"/>
      <c r="O386" s="239"/>
      <c r="R386" s="239"/>
      <c r="T386" s="240"/>
      <c r="X386" s="129"/>
      <c r="Y386" s="95"/>
    </row>
    <row r="387">
      <c r="L387" s="239"/>
      <c r="N387" s="239"/>
      <c r="O387" s="239"/>
      <c r="R387" s="239"/>
      <c r="T387" s="240"/>
      <c r="X387" s="129"/>
      <c r="Y387" s="95"/>
    </row>
    <row r="388">
      <c r="L388" s="239"/>
      <c r="N388" s="239"/>
      <c r="O388" s="239"/>
      <c r="R388" s="239"/>
      <c r="T388" s="240"/>
      <c r="X388" s="129"/>
      <c r="Y388" s="95"/>
    </row>
    <row r="389">
      <c r="L389" s="239"/>
      <c r="N389" s="239"/>
      <c r="O389" s="239"/>
      <c r="R389" s="239"/>
      <c r="T389" s="240"/>
      <c r="X389" s="129"/>
      <c r="Y389" s="95"/>
    </row>
    <row r="390">
      <c r="L390" s="239"/>
      <c r="N390" s="239"/>
      <c r="O390" s="239"/>
      <c r="R390" s="239"/>
      <c r="T390" s="240"/>
      <c r="X390" s="129"/>
      <c r="Y390" s="95"/>
    </row>
    <row r="391">
      <c r="L391" s="239"/>
      <c r="N391" s="239"/>
      <c r="O391" s="239"/>
      <c r="R391" s="239"/>
      <c r="T391" s="240"/>
      <c r="X391" s="129"/>
      <c r="Y391" s="95"/>
    </row>
    <row r="392">
      <c r="L392" s="239"/>
      <c r="N392" s="239"/>
      <c r="O392" s="239"/>
      <c r="R392" s="239"/>
      <c r="T392" s="240"/>
      <c r="X392" s="129"/>
      <c r="Y392" s="95"/>
    </row>
    <row r="393">
      <c r="L393" s="239"/>
      <c r="N393" s="239"/>
      <c r="O393" s="239"/>
      <c r="R393" s="239"/>
      <c r="T393" s="240"/>
      <c r="X393" s="129"/>
      <c r="Y393" s="95"/>
    </row>
    <row r="394">
      <c r="L394" s="239"/>
      <c r="N394" s="239"/>
      <c r="O394" s="239"/>
      <c r="R394" s="239"/>
      <c r="T394" s="240"/>
      <c r="X394" s="129"/>
      <c r="Y394" s="95"/>
    </row>
    <row r="395">
      <c r="L395" s="239"/>
      <c r="N395" s="239"/>
      <c r="O395" s="239"/>
      <c r="R395" s="239"/>
      <c r="T395" s="240"/>
      <c r="X395" s="129"/>
      <c r="Y395" s="95"/>
    </row>
    <row r="396">
      <c r="L396" s="239"/>
      <c r="N396" s="239"/>
      <c r="O396" s="239"/>
      <c r="R396" s="239"/>
      <c r="T396" s="240"/>
      <c r="X396" s="129"/>
      <c r="Y396" s="95"/>
    </row>
    <row r="397">
      <c r="L397" s="239"/>
      <c r="N397" s="239"/>
      <c r="O397" s="239"/>
      <c r="R397" s="239"/>
      <c r="T397" s="240"/>
      <c r="X397" s="129"/>
      <c r="Y397" s="95"/>
    </row>
    <row r="398">
      <c r="L398" s="239"/>
      <c r="N398" s="239"/>
      <c r="O398" s="239"/>
      <c r="R398" s="239"/>
      <c r="T398" s="240"/>
      <c r="X398" s="129"/>
      <c r="Y398" s="95"/>
    </row>
    <row r="399">
      <c r="L399" s="239"/>
      <c r="N399" s="239"/>
      <c r="O399" s="239"/>
      <c r="R399" s="239"/>
      <c r="T399" s="240"/>
      <c r="X399" s="129"/>
      <c r="Y399" s="95"/>
    </row>
    <row r="400">
      <c r="L400" s="239"/>
      <c r="N400" s="239"/>
      <c r="O400" s="239"/>
      <c r="R400" s="239"/>
      <c r="T400" s="240"/>
      <c r="X400" s="129"/>
      <c r="Y400" s="95"/>
    </row>
    <row r="401">
      <c r="L401" s="239"/>
      <c r="N401" s="239"/>
      <c r="O401" s="239"/>
      <c r="R401" s="239"/>
      <c r="T401" s="240"/>
      <c r="X401" s="129"/>
      <c r="Y401" s="95"/>
    </row>
    <row r="402">
      <c r="L402" s="239"/>
      <c r="N402" s="239"/>
      <c r="O402" s="239"/>
      <c r="R402" s="239"/>
      <c r="T402" s="240"/>
      <c r="X402" s="129"/>
      <c r="Y402" s="95"/>
    </row>
    <row r="403">
      <c r="L403" s="239"/>
      <c r="N403" s="239"/>
      <c r="O403" s="239"/>
      <c r="R403" s="239"/>
      <c r="T403" s="240"/>
      <c r="X403" s="129"/>
      <c r="Y403" s="95"/>
    </row>
    <row r="404">
      <c r="L404" s="239"/>
      <c r="N404" s="239"/>
      <c r="O404" s="239"/>
      <c r="R404" s="239"/>
      <c r="T404" s="240"/>
      <c r="X404" s="129"/>
      <c r="Y404" s="95"/>
    </row>
    <row r="405">
      <c r="L405" s="239"/>
      <c r="N405" s="239"/>
      <c r="O405" s="239"/>
      <c r="R405" s="239"/>
      <c r="T405" s="240"/>
      <c r="X405" s="129"/>
      <c r="Y405" s="95"/>
    </row>
    <row r="406">
      <c r="L406" s="239"/>
      <c r="N406" s="239"/>
      <c r="O406" s="239"/>
      <c r="R406" s="239"/>
      <c r="T406" s="240"/>
      <c r="X406" s="129"/>
      <c r="Y406" s="95"/>
    </row>
    <row r="407">
      <c r="L407" s="239"/>
      <c r="N407" s="239"/>
      <c r="O407" s="239"/>
      <c r="R407" s="239"/>
      <c r="T407" s="240"/>
      <c r="X407" s="129"/>
      <c r="Y407" s="95"/>
    </row>
    <row r="408">
      <c r="L408" s="239"/>
      <c r="N408" s="239"/>
      <c r="O408" s="239"/>
      <c r="R408" s="239"/>
      <c r="T408" s="240"/>
      <c r="X408" s="129"/>
      <c r="Y408" s="95"/>
    </row>
    <row r="409">
      <c r="L409" s="239"/>
      <c r="N409" s="239"/>
      <c r="O409" s="239"/>
      <c r="R409" s="239"/>
      <c r="T409" s="240"/>
      <c r="X409" s="129"/>
      <c r="Y409" s="95"/>
    </row>
    <row r="410">
      <c r="L410" s="239"/>
      <c r="N410" s="239"/>
      <c r="O410" s="239"/>
      <c r="R410" s="239"/>
      <c r="T410" s="240"/>
      <c r="X410" s="129"/>
      <c r="Y410" s="95"/>
    </row>
    <row r="411">
      <c r="L411" s="239"/>
      <c r="N411" s="239"/>
      <c r="O411" s="239"/>
      <c r="R411" s="239"/>
      <c r="T411" s="240"/>
      <c r="X411" s="129"/>
      <c r="Y411" s="95"/>
    </row>
    <row r="412">
      <c r="L412" s="239"/>
      <c r="N412" s="239"/>
      <c r="O412" s="239"/>
      <c r="R412" s="239"/>
      <c r="T412" s="240"/>
      <c r="X412" s="129"/>
      <c r="Y412" s="95"/>
    </row>
    <row r="413">
      <c r="L413" s="239"/>
      <c r="N413" s="239"/>
      <c r="O413" s="239"/>
      <c r="R413" s="239"/>
      <c r="T413" s="240"/>
      <c r="X413" s="129"/>
      <c r="Y413" s="95"/>
    </row>
    <row r="414">
      <c r="L414" s="239"/>
      <c r="N414" s="239"/>
      <c r="O414" s="239"/>
      <c r="R414" s="239"/>
      <c r="T414" s="240"/>
      <c r="X414" s="129"/>
      <c r="Y414" s="95"/>
    </row>
    <row r="415">
      <c r="L415" s="239"/>
      <c r="N415" s="239"/>
      <c r="O415" s="239"/>
      <c r="R415" s="239"/>
      <c r="T415" s="240"/>
      <c r="X415" s="129"/>
      <c r="Y415" s="95"/>
    </row>
    <row r="416">
      <c r="L416" s="239"/>
      <c r="N416" s="239"/>
      <c r="O416" s="239"/>
      <c r="R416" s="239"/>
      <c r="T416" s="240"/>
      <c r="X416" s="129"/>
      <c r="Y416" s="95"/>
    </row>
    <row r="417">
      <c r="L417" s="239"/>
      <c r="N417" s="239"/>
      <c r="O417" s="239"/>
      <c r="R417" s="239"/>
      <c r="T417" s="240"/>
      <c r="X417" s="129"/>
      <c r="Y417" s="95"/>
    </row>
    <row r="418">
      <c r="L418" s="239"/>
      <c r="N418" s="239"/>
      <c r="O418" s="239"/>
      <c r="R418" s="239"/>
      <c r="T418" s="240"/>
      <c r="X418" s="129"/>
      <c r="Y418" s="95"/>
    </row>
    <row r="419">
      <c r="L419" s="239"/>
      <c r="N419" s="239"/>
      <c r="O419" s="239"/>
      <c r="R419" s="239"/>
      <c r="T419" s="240"/>
      <c r="X419" s="129"/>
      <c r="Y419" s="95"/>
    </row>
    <row r="420">
      <c r="L420" s="239"/>
      <c r="N420" s="239"/>
      <c r="O420" s="239"/>
      <c r="R420" s="239"/>
      <c r="T420" s="240"/>
      <c r="X420" s="129"/>
      <c r="Y420" s="95"/>
    </row>
    <row r="421">
      <c r="L421" s="239"/>
      <c r="N421" s="239"/>
      <c r="O421" s="239"/>
      <c r="R421" s="239"/>
      <c r="T421" s="240"/>
      <c r="X421" s="129"/>
      <c r="Y421" s="95"/>
    </row>
    <row r="422">
      <c r="L422" s="239"/>
      <c r="N422" s="239"/>
      <c r="O422" s="239"/>
      <c r="R422" s="239"/>
      <c r="T422" s="240"/>
      <c r="X422" s="129"/>
      <c r="Y422" s="95"/>
    </row>
    <row r="423">
      <c r="L423" s="239"/>
      <c r="N423" s="239"/>
      <c r="O423" s="239"/>
      <c r="R423" s="239"/>
      <c r="T423" s="240"/>
      <c r="X423" s="129"/>
      <c r="Y423" s="95"/>
    </row>
    <row r="424">
      <c r="L424" s="239"/>
      <c r="N424" s="239"/>
      <c r="O424" s="239"/>
      <c r="R424" s="239"/>
      <c r="T424" s="240"/>
      <c r="X424" s="129"/>
      <c r="Y424" s="95"/>
    </row>
    <row r="425">
      <c r="L425" s="239"/>
      <c r="N425" s="239"/>
      <c r="O425" s="239"/>
      <c r="R425" s="239"/>
      <c r="T425" s="240"/>
      <c r="X425" s="129"/>
      <c r="Y425" s="95"/>
    </row>
    <row r="426">
      <c r="L426" s="239"/>
      <c r="N426" s="239"/>
      <c r="O426" s="239"/>
      <c r="R426" s="239"/>
      <c r="T426" s="240"/>
      <c r="X426" s="129"/>
      <c r="Y426" s="95"/>
    </row>
    <row r="427">
      <c r="L427" s="239"/>
      <c r="N427" s="239"/>
      <c r="O427" s="239"/>
      <c r="R427" s="239"/>
      <c r="T427" s="240"/>
      <c r="X427" s="129"/>
      <c r="Y427" s="95"/>
    </row>
    <row r="428">
      <c r="L428" s="239"/>
      <c r="N428" s="239"/>
      <c r="O428" s="239"/>
      <c r="R428" s="239"/>
      <c r="T428" s="240"/>
      <c r="X428" s="129"/>
      <c r="Y428" s="95"/>
    </row>
    <row r="429">
      <c r="L429" s="239"/>
      <c r="N429" s="239"/>
      <c r="O429" s="239"/>
      <c r="R429" s="239"/>
      <c r="T429" s="240"/>
      <c r="X429" s="129"/>
      <c r="Y429" s="95"/>
    </row>
    <row r="430">
      <c r="L430" s="239"/>
      <c r="N430" s="239"/>
      <c r="O430" s="239"/>
      <c r="R430" s="239"/>
      <c r="T430" s="240"/>
      <c r="X430" s="129"/>
      <c r="Y430" s="95"/>
    </row>
    <row r="431">
      <c r="L431" s="239"/>
      <c r="N431" s="239"/>
      <c r="O431" s="239"/>
      <c r="R431" s="239"/>
      <c r="T431" s="240"/>
      <c r="X431" s="129"/>
      <c r="Y431" s="95"/>
    </row>
    <row r="432">
      <c r="L432" s="239"/>
      <c r="N432" s="239"/>
      <c r="O432" s="239"/>
      <c r="R432" s="239"/>
      <c r="T432" s="240"/>
      <c r="X432" s="129"/>
      <c r="Y432" s="95"/>
    </row>
    <row r="433">
      <c r="L433" s="239"/>
      <c r="N433" s="239"/>
      <c r="O433" s="239"/>
      <c r="R433" s="239"/>
      <c r="T433" s="240"/>
      <c r="X433" s="129"/>
      <c r="Y433" s="95"/>
    </row>
    <row r="434">
      <c r="L434" s="239"/>
      <c r="N434" s="239"/>
      <c r="O434" s="239"/>
      <c r="R434" s="239"/>
      <c r="T434" s="240"/>
      <c r="X434" s="129"/>
      <c r="Y434" s="95"/>
    </row>
    <row r="435">
      <c r="L435" s="239"/>
      <c r="N435" s="239"/>
      <c r="O435" s="239"/>
      <c r="R435" s="239"/>
      <c r="T435" s="240"/>
      <c r="X435" s="129"/>
      <c r="Y435" s="95"/>
    </row>
    <row r="436">
      <c r="L436" s="239"/>
      <c r="N436" s="239"/>
      <c r="O436" s="239"/>
      <c r="R436" s="239"/>
      <c r="T436" s="240"/>
      <c r="X436" s="129"/>
      <c r="Y436" s="95"/>
    </row>
    <row r="437">
      <c r="L437" s="239"/>
      <c r="N437" s="239"/>
      <c r="O437" s="239"/>
      <c r="R437" s="239"/>
      <c r="T437" s="240"/>
      <c r="X437" s="129"/>
      <c r="Y437" s="95"/>
    </row>
    <row r="438">
      <c r="L438" s="239"/>
      <c r="N438" s="239"/>
      <c r="O438" s="239"/>
      <c r="R438" s="239"/>
      <c r="T438" s="240"/>
      <c r="X438" s="129"/>
      <c r="Y438" s="95"/>
    </row>
    <row r="439">
      <c r="L439" s="239"/>
      <c r="N439" s="239"/>
      <c r="O439" s="239"/>
      <c r="R439" s="239"/>
      <c r="T439" s="240"/>
      <c r="X439" s="129"/>
      <c r="Y439" s="95"/>
    </row>
    <row r="440">
      <c r="L440" s="239"/>
      <c r="N440" s="239"/>
      <c r="O440" s="239"/>
      <c r="R440" s="239"/>
      <c r="T440" s="240"/>
      <c r="X440" s="129"/>
      <c r="Y440" s="95"/>
    </row>
    <row r="441">
      <c r="L441" s="239"/>
      <c r="N441" s="239"/>
      <c r="O441" s="239"/>
      <c r="R441" s="239"/>
      <c r="T441" s="240"/>
      <c r="X441" s="129"/>
      <c r="Y441" s="95"/>
    </row>
    <row r="442">
      <c r="L442" s="239"/>
      <c r="N442" s="239"/>
      <c r="O442" s="239"/>
      <c r="R442" s="239"/>
      <c r="T442" s="240"/>
      <c r="X442" s="129"/>
      <c r="Y442" s="95"/>
    </row>
    <row r="443">
      <c r="L443" s="239"/>
      <c r="N443" s="239"/>
      <c r="O443" s="239"/>
      <c r="R443" s="239"/>
      <c r="T443" s="240"/>
      <c r="X443" s="129"/>
      <c r="Y443" s="95"/>
    </row>
    <row r="444">
      <c r="L444" s="239"/>
      <c r="N444" s="239"/>
      <c r="O444" s="239"/>
      <c r="R444" s="239"/>
      <c r="T444" s="240"/>
      <c r="X444" s="129"/>
      <c r="Y444" s="95"/>
    </row>
    <row r="445">
      <c r="L445" s="239"/>
      <c r="N445" s="239"/>
      <c r="O445" s="239"/>
      <c r="R445" s="239"/>
      <c r="T445" s="240"/>
      <c r="X445" s="129"/>
      <c r="Y445" s="95"/>
    </row>
    <row r="446">
      <c r="L446" s="239"/>
      <c r="N446" s="239"/>
      <c r="O446" s="239"/>
      <c r="R446" s="239"/>
      <c r="T446" s="240"/>
      <c r="X446" s="129"/>
      <c r="Y446" s="95"/>
    </row>
    <row r="447">
      <c r="L447" s="239"/>
      <c r="N447" s="239"/>
      <c r="O447" s="239"/>
      <c r="R447" s="239"/>
      <c r="T447" s="240"/>
      <c r="X447" s="129"/>
      <c r="Y447" s="95"/>
    </row>
    <row r="448">
      <c r="L448" s="239"/>
      <c r="N448" s="239"/>
      <c r="O448" s="239"/>
      <c r="R448" s="239"/>
      <c r="T448" s="240"/>
      <c r="X448" s="129"/>
      <c r="Y448" s="95"/>
    </row>
    <row r="449">
      <c r="L449" s="239"/>
      <c r="N449" s="239"/>
      <c r="O449" s="239"/>
      <c r="R449" s="239"/>
      <c r="T449" s="240"/>
      <c r="X449" s="129"/>
      <c r="Y449" s="95"/>
    </row>
    <row r="450">
      <c r="L450" s="239"/>
      <c r="N450" s="239"/>
      <c r="O450" s="239"/>
      <c r="R450" s="239"/>
      <c r="T450" s="240"/>
      <c r="X450" s="129"/>
      <c r="Y450" s="95"/>
    </row>
    <row r="451">
      <c r="L451" s="239"/>
      <c r="N451" s="239"/>
      <c r="O451" s="239"/>
      <c r="R451" s="239"/>
      <c r="T451" s="240"/>
      <c r="X451" s="129"/>
      <c r="Y451" s="95"/>
    </row>
    <row r="452">
      <c r="L452" s="239"/>
      <c r="N452" s="239"/>
      <c r="O452" s="239"/>
      <c r="R452" s="239"/>
      <c r="T452" s="240"/>
      <c r="X452" s="129"/>
      <c r="Y452" s="95"/>
    </row>
    <row r="453">
      <c r="L453" s="239"/>
      <c r="N453" s="239"/>
      <c r="O453" s="239"/>
      <c r="R453" s="239"/>
      <c r="T453" s="240"/>
      <c r="X453" s="129"/>
      <c r="Y453" s="95"/>
    </row>
    <row r="454">
      <c r="L454" s="239"/>
      <c r="N454" s="239"/>
      <c r="O454" s="239"/>
      <c r="R454" s="239"/>
      <c r="T454" s="240"/>
      <c r="X454" s="129"/>
      <c r="Y454" s="95"/>
    </row>
    <row r="455">
      <c r="L455" s="239"/>
      <c r="N455" s="239"/>
      <c r="O455" s="239"/>
      <c r="R455" s="239"/>
      <c r="T455" s="240"/>
      <c r="X455" s="129"/>
      <c r="Y455" s="95"/>
    </row>
    <row r="456">
      <c r="L456" s="239"/>
      <c r="N456" s="239"/>
      <c r="O456" s="239"/>
      <c r="R456" s="239"/>
      <c r="T456" s="240"/>
      <c r="X456" s="129"/>
      <c r="Y456" s="95"/>
    </row>
    <row r="457">
      <c r="L457" s="239"/>
      <c r="N457" s="239"/>
      <c r="O457" s="239"/>
      <c r="R457" s="239"/>
      <c r="T457" s="240"/>
      <c r="X457" s="129"/>
      <c r="Y457" s="95"/>
    </row>
    <row r="458">
      <c r="L458" s="239"/>
      <c r="N458" s="239"/>
      <c r="O458" s="239"/>
      <c r="R458" s="239"/>
      <c r="T458" s="240"/>
      <c r="X458" s="129"/>
      <c r="Y458" s="95"/>
    </row>
    <row r="459">
      <c r="L459" s="239"/>
      <c r="N459" s="239"/>
      <c r="O459" s="239"/>
      <c r="R459" s="239"/>
      <c r="T459" s="240"/>
      <c r="X459" s="129"/>
      <c r="Y459" s="95"/>
    </row>
    <row r="460">
      <c r="L460" s="239"/>
      <c r="N460" s="239"/>
      <c r="O460" s="239"/>
      <c r="R460" s="239"/>
      <c r="T460" s="240"/>
      <c r="X460" s="129"/>
      <c r="Y460" s="95"/>
    </row>
    <row r="461">
      <c r="L461" s="239"/>
      <c r="N461" s="239"/>
      <c r="O461" s="239"/>
      <c r="R461" s="239"/>
      <c r="T461" s="240"/>
      <c r="X461" s="129"/>
      <c r="Y461" s="95"/>
    </row>
    <row r="462">
      <c r="L462" s="239"/>
      <c r="N462" s="239"/>
      <c r="O462" s="239"/>
      <c r="R462" s="239"/>
      <c r="T462" s="240"/>
      <c r="X462" s="129"/>
      <c r="Y462" s="95"/>
    </row>
    <row r="463">
      <c r="L463" s="239"/>
      <c r="N463" s="239"/>
      <c r="O463" s="239"/>
      <c r="R463" s="239"/>
      <c r="T463" s="240"/>
      <c r="X463" s="129"/>
      <c r="Y463" s="95"/>
    </row>
    <row r="464">
      <c r="L464" s="239"/>
      <c r="N464" s="239"/>
      <c r="O464" s="239"/>
      <c r="R464" s="239"/>
      <c r="T464" s="240"/>
      <c r="X464" s="129"/>
      <c r="Y464" s="95"/>
    </row>
    <row r="465">
      <c r="L465" s="239"/>
      <c r="N465" s="239"/>
      <c r="O465" s="239"/>
      <c r="R465" s="239"/>
      <c r="T465" s="240"/>
      <c r="X465" s="129"/>
      <c r="Y465" s="95"/>
    </row>
    <row r="466">
      <c r="L466" s="239"/>
      <c r="N466" s="239"/>
      <c r="O466" s="239"/>
      <c r="R466" s="239"/>
      <c r="T466" s="240"/>
      <c r="X466" s="129"/>
      <c r="Y466" s="95"/>
    </row>
    <row r="467">
      <c r="L467" s="239"/>
      <c r="N467" s="239"/>
      <c r="O467" s="239"/>
      <c r="R467" s="239"/>
      <c r="T467" s="240"/>
      <c r="X467" s="129"/>
      <c r="Y467" s="95"/>
    </row>
    <row r="468">
      <c r="L468" s="239"/>
      <c r="N468" s="239"/>
      <c r="O468" s="239"/>
      <c r="R468" s="239"/>
      <c r="T468" s="240"/>
      <c r="X468" s="129"/>
      <c r="Y468" s="95"/>
    </row>
    <row r="469">
      <c r="L469" s="239"/>
      <c r="N469" s="239"/>
      <c r="O469" s="239"/>
      <c r="R469" s="239"/>
      <c r="T469" s="240"/>
      <c r="X469" s="129"/>
      <c r="Y469" s="95"/>
    </row>
    <row r="470">
      <c r="L470" s="239"/>
      <c r="N470" s="239"/>
      <c r="O470" s="239"/>
      <c r="R470" s="239"/>
      <c r="T470" s="240"/>
      <c r="X470" s="129"/>
      <c r="Y470" s="95"/>
    </row>
    <row r="471">
      <c r="L471" s="239"/>
      <c r="N471" s="239"/>
      <c r="O471" s="239"/>
      <c r="R471" s="239"/>
      <c r="T471" s="240"/>
      <c r="X471" s="129"/>
      <c r="Y471" s="95"/>
    </row>
    <row r="472">
      <c r="L472" s="239"/>
      <c r="N472" s="239"/>
      <c r="O472" s="239"/>
      <c r="R472" s="239"/>
      <c r="T472" s="240"/>
      <c r="X472" s="129"/>
      <c r="Y472" s="95"/>
    </row>
    <row r="473">
      <c r="L473" s="239"/>
      <c r="N473" s="239"/>
      <c r="O473" s="239"/>
      <c r="R473" s="239"/>
      <c r="T473" s="240"/>
      <c r="X473" s="129"/>
      <c r="Y473" s="95"/>
    </row>
    <row r="474">
      <c r="L474" s="239"/>
      <c r="N474" s="239"/>
      <c r="O474" s="239"/>
      <c r="R474" s="239"/>
      <c r="T474" s="240"/>
      <c r="X474" s="129"/>
      <c r="Y474" s="95"/>
    </row>
    <row r="475">
      <c r="L475" s="239"/>
      <c r="N475" s="239"/>
      <c r="O475" s="239"/>
      <c r="R475" s="239"/>
      <c r="T475" s="240"/>
      <c r="X475" s="129"/>
      <c r="Y475" s="95"/>
    </row>
    <row r="476">
      <c r="L476" s="239"/>
      <c r="N476" s="239"/>
      <c r="O476" s="239"/>
      <c r="R476" s="239"/>
      <c r="T476" s="240"/>
      <c r="X476" s="129"/>
      <c r="Y476" s="95"/>
    </row>
    <row r="477">
      <c r="L477" s="239"/>
      <c r="N477" s="239"/>
      <c r="O477" s="239"/>
      <c r="R477" s="239"/>
      <c r="T477" s="240"/>
      <c r="X477" s="129"/>
      <c r="Y477" s="95"/>
    </row>
    <row r="478">
      <c r="L478" s="239"/>
      <c r="N478" s="239"/>
      <c r="O478" s="239"/>
      <c r="R478" s="239"/>
      <c r="T478" s="240"/>
      <c r="X478" s="129"/>
      <c r="Y478" s="95"/>
    </row>
    <row r="479">
      <c r="L479" s="239"/>
      <c r="N479" s="239"/>
      <c r="O479" s="239"/>
      <c r="R479" s="239"/>
      <c r="T479" s="240"/>
      <c r="X479" s="129"/>
      <c r="Y479" s="95"/>
    </row>
    <row r="480">
      <c r="L480" s="239"/>
      <c r="N480" s="239"/>
      <c r="O480" s="239"/>
      <c r="R480" s="239"/>
      <c r="T480" s="240"/>
      <c r="X480" s="129"/>
      <c r="Y480" s="95"/>
    </row>
    <row r="481">
      <c r="L481" s="239"/>
      <c r="N481" s="239"/>
      <c r="O481" s="239"/>
      <c r="R481" s="239"/>
      <c r="T481" s="240"/>
      <c r="X481" s="129"/>
      <c r="Y481" s="95"/>
    </row>
    <row r="482">
      <c r="L482" s="239"/>
      <c r="N482" s="239"/>
      <c r="O482" s="239"/>
      <c r="R482" s="239"/>
      <c r="T482" s="240"/>
      <c r="X482" s="129"/>
      <c r="Y482" s="95"/>
    </row>
    <row r="483">
      <c r="L483" s="239"/>
      <c r="N483" s="239"/>
      <c r="O483" s="239"/>
      <c r="R483" s="239"/>
      <c r="T483" s="240"/>
      <c r="X483" s="129"/>
      <c r="Y483" s="95"/>
    </row>
    <row r="484">
      <c r="L484" s="239"/>
      <c r="N484" s="239"/>
      <c r="O484" s="239"/>
      <c r="R484" s="239"/>
      <c r="T484" s="240"/>
      <c r="X484" s="129"/>
      <c r="Y484" s="95"/>
    </row>
    <row r="485">
      <c r="L485" s="239"/>
      <c r="N485" s="239"/>
      <c r="O485" s="239"/>
      <c r="R485" s="239"/>
      <c r="T485" s="240"/>
      <c r="X485" s="129"/>
      <c r="Y485" s="95"/>
    </row>
    <row r="486">
      <c r="L486" s="239"/>
      <c r="N486" s="239"/>
      <c r="O486" s="239"/>
      <c r="R486" s="239"/>
      <c r="T486" s="240"/>
      <c r="X486" s="129"/>
      <c r="Y486" s="95"/>
    </row>
    <row r="487">
      <c r="L487" s="239"/>
      <c r="N487" s="239"/>
      <c r="O487" s="239"/>
      <c r="R487" s="239"/>
      <c r="T487" s="240"/>
      <c r="X487" s="129"/>
      <c r="Y487" s="95"/>
    </row>
    <row r="488">
      <c r="L488" s="239"/>
      <c r="N488" s="239"/>
      <c r="O488" s="239"/>
      <c r="R488" s="239"/>
      <c r="T488" s="240"/>
      <c r="X488" s="129"/>
      <c r="Y488" s="95"/>
    </row>
    <row r="489">
      <c r="L489" s="239"/>
      <c r="N489" s="239"/>
      <c r="O489" s="239"/>
      <c r="R489" s="239"/>
      <c r="T489" s="240"/>
      <c r="X489" s="129"/>
      <c r="Y489" s="95"/>
    </row>
    <row r="490">
      <c r="L490" s="239"/>
      <c r="N490" s="239"/>
      <c r="O490" s="239"/>
      <c r="R490" s="239"/>
      <c r="T490" s="240"/>
      <c r="X490" s="129"/>
      <c r="Y490" s="95"/>
    </row>
    <row r="491">
      <c r="L491" s="239"/>
      <c r="N491" s="239"/>
      <c r="O491" s="239"/>
      <c r="R491" s="239"/>
      <c r="T491" s="240"/>
      <c r="X491" s="129"/>
      <c r="Y491" s="95"/>
    </row>
    <row r="492">
      <c r="L492" s="239"/>
      <c r="N492" s="239"/>
      <c r="O492" s="239"/>
      <c r="R492" s="239"/>
      <c r="T492" s="240"/>
      <c r="X492" s="129"/>
      <c r="Y492" s="95"/>
    </row>
    <row r="493">
      <c r="L493" s="239"/>
      <c r="N493" s="239"/>
      <c r="O493" s="239"/>
      <c r="R493" s="239"/>
      <c r="T493" s="240"/>
      <c r="X493" s="129"/>
      <c r="Y493" s="95"/>
    </row>
    <row r="494">
      <c r="L494" s="239"/>
      <c r="N494" s="239"/>
      <c r="O494" s="239"/>
      <c r="R494" s="239"/>
      <c r="T494" s="240"/>
      <c r="X494" s="129"/>
      <c r="Y494" s="95"/>
    </row>
    <row r="495">
      <c r="L495" s="239"/>
      <c r="N495" s="239"/>
      <c r="O495" s="239"/>
      <c r="R495" s="239"/>
      <c r="T495" s="240"/>
      <c r="X495" s="129"/>
      <c r="Y495" s="95"/>
    </row>
    <row r="496">
      <c r="L496" s="239"/>
      <c r="N496" s="239"/>
      <c r="O496" s="239"/>
      <c r="R496" s="239"/>
      <c r="T496" s="240"/>
      <c r="X496" s="129"/>
      <c r="Y496" s="95"/>
    </row>
    <row r="497">
      <c r="L497" s="239"/>
      <c r="N497" s="239"/>
      <c r="O497" s="239"/>
      <c r="R497" s="239"/>
      <c r="T497" s="240"/>
      <c r="X497" s="129"/>
      <c r="Y497" s="95"/>
    </row>
    <row r="498">
      <c r="L498" s="239"/>
      <c r="N498" s="239"/>
      <c r="O498" s="239"/>
      <c r="R498" s="239"/>
      <c r="T498" s="240"/>
      <c r="X498" s="129"/>
      <c r="Y498" s="95"/>
    </row>
    <row r="499">
      <c r="L499" s="239"/>
      <c r="N499" s="239"/>
      <c r="O499" s="239"/>
      <c r="R499" s="239"/>
      <c r="T499" s="240"/>
      <c r="X499" s="129"/>
      <c r="Y499" s="95"/>
    </row>
    <row r="500">
      <c r="L500" s="239"/>
      <c r="N500" s="239"/>
      <c r="O500" s="239"/>
      <c r="R500" s="239"/>
      <c r="T500" s="240"/>
      <c r="X500" s="129"/>
      <c r="Y500" s="95"/>
    </row>
    <row r="501">
      <c r="L501" s="239"/>
      <c r="N501" s="239"/>
      <c r="O501" s="239"/>
      <c r="R501" s="239"/>
      <c r="T501" s="240"/>
      <c r="X501" s="129"/>
      <c r="Y501" s="95"/>
    </row>
    <row r="502">
      <c r="L502" s="239"/>
      <c r="N502" s="239"/>
      <c r="O502" s="239"/>
      <c r="R502" s="239"/>
      <c r="T502" s="240"/>
      <c r="X502" s="129"/>
      <c r="Y502" s="95"/>
    </row>
    <row r="503">
      <c r="L503" s="239"/>
      <c r="N503" s="239"/>
      <c r="O503" s="239"/>
      <c r="R503" s="239"/>
      <c r="T503" s="240"/>
      <c r="X503" s="129"/>
      <c r="Y503" s="95"/>
    </row>
    <row r="504">
      <c r="L504" s="239"/>
      <c r="N504" s="239"/>
      <c r="O504" s="239"/>
      <c r="R504" s="239"/>
      <c r="T504" s="240"/>
      <c r="X504" s="129"/>
      <c r="Y504" s="95"/>
    </row>
    <row r="505">
      <c r="L505" s="239"/>
      <c r="N505" s="239"/>
      <c r="O505" s="239"/>
      <c r="R505" s="239"/>
      <c r="T505" s="240"/>
      <c r="X505" s="129"/>
      <c r="Y505" s="95"/>
    </row>
    <row r="506">
      <c r="L506" s="239"/>
      <c r="N506" s="239"/>
      <c r="O506" s="239"/>
      <c r="R506" s="239"/>
      <c r="T506" s="240"/>
      <c r="X506" s="129"/>
      <c r="Y506" s="95"/>
    </row>
    <row r="507">
      <c r="L507" s="239"/>
      <c r="N507" s="239"/>
      <c r="O507" s="239"/>
      <c r="R507" s="239"/>
      <c r="T507" s="240"/>
      <c r="X507" s="129"/>
      <c r="Y507" s="95"/>
    </row>
    <row r="508">
      <c r="L508" s="239"/>
      <c r="N508" s="239"/>
      <c r="O508" s="239"/>
      <c r="R508" s="239"/>
      <c r="T508" s="240"/>
      <c r="X508" s="129"/>
      <c r="Y508" s="95"/>
    </row>
    <row r="509">
      <c r="L509" s="239"/>
      <c r="N509" s="239"/>
      <c r="O509" s="239"/>
      <c r="R509" s="239"/>
      <c r="T509" s="240"/>
      <c r="X509" s="129"/>
      <c r="Y509" s="95"/>
    </row>
    <row r="510">
      <c r="L510" s="239"/>
      <c r="N510" s="239"/>
      <c r="O510" s="239"/>
      <c r="R510" s="239"/>
      <c r="T510" s="240"/>
      <c r="X510" s="129"/>
      <c r="Y510" s="95"/>
    </row>
    <row r="511">
      <c r="L511" s="239"/>
      <c r="N511" s="239"/>
      <c r="O511" s="239"/>
      <c r="R511" s="239"/>
      <c r="T511" s="240"/>
      <c r="X511" s="129"/>
      <c r="Y511" s="95"/>
    </row>
    <row r="512">
      <c r="L512" s="239"/>
      <c r="N512" s="239"/>
      <c r="O512" s="239"/>
      <c r="R512" s="239"/>
      <c r="T512" s="240"/>
      <c r="X512" s="129"/>
      <c r="Y512" s="95"/>
    </row>
    <row r="513">
      <c r="L513" s="239"/>
      <c r="N513" s="239"/>
      <c r="O513" s="239"/>
      <c r="R513" s="239"/>
      <c r="T513" s="240"/>
      <c r="X513" s="129"/>
      <c r="Y513" s="95"/>
    </row>
    <row r="514">
      <c r="L514" s="239"/>
      <c r="N514" s="239"/>
      <c r="O514" s="239"/>
      <c r="R514" s="239"/>
      <c r="T514" s="240"/>
      <c r="X514" s="129"/>
      <c r="Y514" s="95"/>
    </row>
    <row r="515">
      <c r="L515" s="239"/>
      <c r="N515" s="239"/>
      <c r="O515" s="239"/>
      <c r="R515" s="239"/>
      <c r="T515" s="240"/>
      <c r="X515" s="129"/>
      <c r="Y515" s="95"/>
    </row>
    <row r="516">
      <c r="L516" s="239"/>
      <c r="N516" s="239"/>
      <c r="O516" s="239"/>
      <c r="R516" s="239"/>
      <c r="T516" s="240"/>
      <c r="X516" s="129"/>
      <c r="Y516" s="95"/>
    </row>
    <row r="517">
      <c r="L517" s="239"/>
      <c r="N517" s="239"/>
      <c r="O517" s="239"/>
      <c r="R517" s="239"/>
      <c r="T517" s="240"/>
      <c r="X517" s="129"/>
      <c r="Y517" s="95"/>
    </row>
    <row r="518">
      <c r="L518" s="239"/>
      <c r="N518" s="239"/>
      <c r="O518" s="239"/>
      <c r="R518" s="239"/>
      <c r="T518" s="240"/>
      <c r="X518" s="129"/>
      <c r="Y518" s="95"/>
    </row>
    <row r="519">
      <c r="L519" s="239"/>
      <c r="N519" s="239"/>
      <c r="O519" s="239"/>
      <c r="R519" s="239"/>
      <c r="T519" s="240"/>
      <c r="X519" s="129"/>
      <c r="Y519" s="95"/>
    </row>
    <row r="520">
      <c r="L520" s="239"/>
      <c r="N520" s="239"/>
      <c r="O520" s="239"/>
      <c r="R520" s="239"/>
      <c r="T520" s="240"/>
      <c r="X520" s="129"/>
      <c r="Y520" s="95"/>
    </row>
    <row r="521">
      <c r="L521" s="239"/>
      <c r="N521" s="239"/>
      <c r="O521" s="239"/>
      <c r="R521" s="239"/>
      <c r="T521" s="240"/>
      <c r="X521" s="129"/>
      <c r="Y521" s="95"/>
    </row>
    <row r="522">
      <c r="L522" s="239"/>
      <c r="N522" s="239"/>
      <c r="O522" s="239"/>
      <c r="R522" s="239"/>
      <c r="T522" s="240"/>
      <c r="X522" s="129"/>
      <c r="Y522" s="95"/>
    </row>
    <row r="523">
      <c r="L523" s="239"/>
      <c r="N523" s="239"/>
      <c r="O523" s="239"/>
      <c r="R523" s="239"/>
      <c r="T523" s="240"/>
      <c r="X523" s="129"/>
      <c r="Y523" s="95"/>
    </row>
    <row r="524">
      <c r="L524" s="239"/>
      <c r="N524" s="239"/>
      <c r="O524" s="239"/>
      <c r="R524" s="239"/>
      <c r="T524" s="240"/>
      <c r="X524" s="129"/>
      <c r="Y524" s="95"/>
    </row>
    <row r="525">
      <c r="L525" s="239"/>
      <c r="N525" s="239"/>
      <c r="O525" s="239"/>
      <c r="R525" s="239"/>
      <c r="T525" s="240"/>
      <c r="X525" s="129"/>
      <c r="Y525" s="95"/>
    </row>
    <row r="526">
      <c r="L526" s="239"/>
      <c r="N526" s="239"/>
      <c r="O526" s="239"/>
      <c r="R526" s="239"/>
      <c r="T526" s="240"/>
      <c r="X526" s="129"/>
      <c r="Y526" s="95"/>
    </row>
    <row r="527">
      <c r="L527" s="239"/>
      <c r="N527" s="239"/>
      <c r="O527" s="239"/>
      <c r="R527" s="239"/>
      <c r="T527" s="240"/>
      <c r="X527" s="129"/>
      <c r="Y527" s="95"/>
    </row>
    <row r="528">
      <c r="L528" s="239"/>
      <c r="N528" s="239"/>
      <c r="O528" s="239"/>
      <c r="R528" s="239"/>
      <c r="T528" s="240"/>
      <c r="X528" s="129"/>
      <c r="Y528" s="95"/>
    </row>
    <row r="529">
      <c r="L529" s="239"/>
      <c r="N529" s="239"/>
      <c r="O529" s="239"/>
      <c r="R529" s="239"/>
      <c r="T529" s="240"/>
      <c r="X529" s="129"/>
      <c r="Y529" s="95"/>
    </row>
    <row r="530">
      <c r="L530" s="239"/>
      <c r="N530" s="239"/>
      <c r="O530" s="239"/>
      <c r="R530" s="239"/>
      <c r="T530" s="240"/>
      <c r="X530" s="129"/>
      <c r="Y530" s="95"/>
    </row>
    <row r="531">
      <c r="L531" s="239"/>
      <c r="N531" s="239"/>
      <c r="O531" s="239"/>
      <c r="R531" s="239"/>
      <c r="T531" s="240"/>
      <c r="X531" s="129"/>
      <c r="Y531" s="95"/>
    </row>
    <row r="532">
      <c r="L532" s="239"/>
      <c r="N532" s="239"/>
      <c r="O532" s="239"/>
      <c r="R532" s="239"/>
      <c r="T532" s="240"/>
      <c r="X532" s="129"/>
      <c r="Y532" s="95"/>
    </row>
    <row r="533">
      <c r="L533" s="239"/>
      <c r="N533" s="239"/>
      <c r="O533" s="239"/>
      <c r="R533" s="239"/>
      <c r="T533" s="240"/>
      <c r="X533" s="129"/>
      <c r="Y533" s="95"/>
    </row>
    <row r="534">
      <c r="L534" s="239"/>
      <c r="N534" s="239"/>
      <c r="O534" s="239"/>
      <c r="R534" s="239"/>
      <c r="T534" s="240"/>
      <c r="X534" s="129"/>
      <c r="Y534" s="95"/>
    </row>
    <row r="535">
      <c r="L535" s="239"/>
      <c r="N535" s="239"/>
      <c r="O535" s="239"/>
      <c r="R535" s="239"/>
      <c r="T535" s="240"/>
      <c r="X535" s="129"/>
      <c r="Y535" s="95"/>
    </row>
    <row r="536">
      <c r="L536" s="239"/>
      <c r="N536" s="239"/>
      <c r="O536" s="239"/>
      <c r="R536" s="239"/>
      <c r="T536" s="240"/>
      <c r="X536" s="129"/>
      <c r="Y536" s="95"/>
    </row>
    <row r="537">
      <c r="L537" s="239"/>
      <c r="N537" s="239"/>
      <c r="O537" s="239"/>
      <c r="R537" s="239"/>
      <c r="T537" s="240"/>
      <c r="X537" s="129"/>
      <c r="Y537" s="95"/>
    </row>
    <row r="538">
      <c r="L538" s="239"/>
      <c r="N538" s="239"/>
      <c r="O538" s="239"/>
      <c r="R538" s="239"/>
      <c r="T538" s="240"/>
      <c r="X538" s="129"/>
      <c r="Y538" s="95"/>
    </row>
    <row r="539">
      <c r="L539" s="239"/>
      <c r="N539" s="239"/>
      <c r="O539" s="239"/>
      <c r="R539" s="239"/>
      <c r="T539" s="240"/>
      <c r="X539" s="129"/>
      <c r="Y539" s="95"/>
    </row>
    <row r="540">
      <c r="L540" s="239"/>
      <c r="N540" s="239"/>
      <c r="O540" s="239"/>
      <c r="R540" s="239"/>
      <c r="T540" s="240"/>
      <c r="X540" s="129"/>
      <c r="Y540" s="95"/>
    </row>
    <row r="541">
      <c r="L541" s="239"/>
      <c r="N541" s="239"/>
      <c r="O541" s="239"/>
      <c r="R541" s="239"/>
      <c r="T541" s="240"/>
      <c r="X541" s="129"/>
      <c r="Y541" s="95"/>
    </row>
    <row r="542">
      <c r="L542" s="239"/>
      <c r="N542" s="239"/>
      <c r="O542" s="239"/>
      <c r="R542" s="239"/>
      <c r="T542" s="240"/>
      <c r="X542" s="129"/>
      <c r="Y542" s="95"/>
    </row>
    <row r="543">
      <c r="L543" s="239"/>
      <c r="N543" s="239"/>
      <c r="O543" s="239"/>
      <c r="R543" s="239"/>
      <c r="T543" s="240"/>
      <c r="X543" s="129"/>
      <c r="Y543" s="95"/>
    </row>
    <row r="544">
      <c r="L544" s="239"/>
      <c r="N544" s="239"/>
      <c r="O544" s="239"/>
      <c r="R544" s="239"/>
      <c r="T544" s="240"/>
      <c r="X544" s="129"/>
      <c r="Y544" s="95"/>
    </row>
    <row r="545">
      <c r="L545" s="239"/>
      <c r="N545" s="239"/>
      <c r="O545" s="239"/>
      <c r="R545" s="239"/>
      <c r="T545" s="240"/>
      <c r="X545" s="129"/>
      <c r="Y545" s="95"/>
    </row>
    <row r="546">
      <c r="L546" s="239"/>
      <c r="N546" s="239"/>
      <c r="O546" s="239"/>
      <c r="R546" s="239"/>
      <c r="T546" s="240"/>
      <c r="X546" s="129"/>
      <c r="Y546" s="95"/>
    </row>
    <row r="547">
      <c r="L547" s="239"/>
      <c r="N547" s="239"/>
      <c r="O547" s="239"/>
      <c r="R547" s="239"/>
      <c r="T547" s="240"/>
      <c r="X547" s="129"/>
      <c r="Y547" s="95"/>
    </row>
    <row r="548">
      <c r="L548" s="239"/>
      <c r="N548" s="239"/>
      <c r="O548" s="239"/>
      <c r="R548" s="239"/>
      <c r="T548" s="240"/>
      <c r="X548" s="129"/>
      <c r="Y548" s="95"/>
    </row>
    <row r="549">
      <c r="L549" s="239"/>
      <c r="N549" s="239"/>
      <c r="O549" s="239"/>
      <c r="R549" s="239"/>
      <c r="T549" s="240"/>
      <c r="X549" s="129"/>
      <c r="Y549" s="95"/>
    </row>
    <row r="550">
      <c r="L550" s="239"/>
      <c r="N550" s="239"/>
      <c r="O550" s="239"/>
      <c r="R550" s="239"/>
      <c r="T550" s="240"/>
      <c r="X550" s="129"/>
      <c r="Y550" s="95"/>
    </row>
    <row r="551">
      <c r="L551" s="239"/>
      <c r="N551" s="239"/>
      <c r="O551" s="239"/>
      <c r="R551" s="239"/>
      <c r="T551" s="240"/>
      <c r="X551" s="129"/>
      <c r="Y551" s="95"/>
    </row>
    <row r="552">
      <c r="L552" s="239"/>
      <c r="N552" s="239"/>
      <c r="O552" s="239"/>
      <c r="R552" s="239"/>
      <c r="T552" s="240"/>
      <c r="X552" s="129"/>
      <c r="Y552" s="95"/>
    </row>
    <row r="553">
      <c r="L553" s="239"/>
      <c r="N553" s="239"/>
      <c r="O553" s="239"/>
      <c r="R553" s="239"/>
      <c r="T553" s="240"/>
      <c r="X553" s="129"/>
      <c r="Y553" s="95"/>
    </row>
    <row r="554">
      <c r="L554" s="239"/>
      <c r="N554" s="239"/>
      <c r="O554" s="239"/>
      <c r="R554" s="239"/>
      <c r="T554" s="240"/>
      <c r="X554" s="129"/>
      <c r="Y554" s="95"/>
    </row>
    <row r="555">
      <c r="L555" s="239"/>
      <c r="N555" s="239"/>
      <c r="O555" s="239"/>
      <c r="R555" s="239"/>
      <c r="T555" s="240"/>
      <c r="X555" s="129"/>
      <c r="Y555" s="95"/>
    </row>
    <row r="556">
      <c r="L556" s="239"/>
      <c r="N556" s="239"/>
      <c r="O556" s="239"/>
      <c r="R556" s="239"/>
      <c r="T556" s="240"/>
      <c r="X556" s="129"/>
      <c r="Y556" s="95"/>
    </row>
    <row r="557">
      <c r="L557" s="239"/>
      <c r="N557" s="239"/>
      <c r="O557" s="239"/>
      <c r="R557" s="239"/>
      <c r="T557" s="240"/>
      <c r="X557" s="129"/>
      <c r="Y557" s="95"/>
    </row>
    <row r="558">
      <c r="L558" s="239"/>
      <c r="N558" s="239"/>
      <c r="O558" s="239"/>
      <c r="R558" s="239"/>
      <c r="T558" s="240"/>
      <c r="X558" s="129"/>
      <c r="Y558" s="95"/>
    </row>
    <row r="559">
      <c r="L559" s="239"/>
      <c r="N559" s="239"/>
      <c r="O559" s="239"/>
      <c r="R559" s="239"/>
      <c r="T559" s="240"/>
      <c r="X559" s="129"/>
      <c r="Y559" s="95"/>
    </row>
    <row r="560">
      <c r="L560" s="239"/>
      <c r="N560" s="239"/>
      <c r="O560" s="239"/>
      <c r="R560" s="239"/>
      <c r="T560" s="240"/>
      <c r="X560" s="129"/>
      <c r="Y560" s="95"/>
    </row>
    <row r="561">
      <c r="L561" s="239"/>
      <c r="N561" s="239"/>
      <c r="O561" s="239"/>
      <c r="R561" s="239"/>
      <c r="T561" s="240"/>
      <c r="X561" s="129"/>
      <c r="Y561" s="95"/>
    </row>
    <row r="562">
      <c r="L562" s="239"/>
      <c r="N562" s="239"/>
      <c r="O562" s="239"/>
      <c r="R562" s="239"/>
      <c r="T562" s="240"/>
      <c r="X562" s="129"/>
      <c r="Y562" s="95"/>
    </row>
    <row r="563">
      <c r="L563" s="239"/>
      <c r="N563" s="239"/>
      <c r="O563" s="239"/>
      <c r="R563" s="239"/>
      <c r="T563" s="240"/>
      <c r="X563" s="129"/>
      <c r="Y563" s="95"/>
    </row>
    <row r="564">
      <c r="L564" s="239"/>
      <c r="N564" s="239"/>
      <c r="O564" s="239"/>
      <c r="R564" s="239"/>
      <c r="T564" s="240"/>
      <c r="X564" s="129"/>
      <c r="Y564" s="95"/>
    </row>
    <row r="565">
      <c r="L565" s="239"/>
      <c r="N565" s="239"/>
      <c r="O565" s="239"/>
      <c r="R565" s="239"/>
      <c r="T565" s="240"/>
      <c r="X565" s="129"/>
      <c r="Y565" s="95"/>
    </row>
    <row r="566">
      <c r="L566" s="239"/>
      <c r="N566" s="239"/>
      <c r="O566" s="239"/>
      <c r="R566" s="239"/>
      <c r="T566" s="240"/>
      <c r="X566" s="129"/>
      <c r="Y566" s="95"/>
    </row>
    <row r="567">
      <c r="L567" s="239"/>
      <c r="N567" s="239"/>
      <c r="O567" s="239"/>
      <c r="R567" s="239"/>
      <c r="T567" s="240"/>
      <c r="X567" s="129"/>
      <c r="Y567" s="95"/>
    </row>
    <row r="568">
      <c r="L568" s="239"/>
      <c r="N568" s="239"/>
      <c r="O568" s="239"/>
      <c r="R568" s="239"/>
      <c r="T568" s="240"/>
      <c r="X568" s="129"/>
      <c r="Y568" s="95"/>
    </row>
    <row r="569">
      <c r="L569" s="239"/>
      <c r="N569" s="239"/>
      <c r="O569" s="239"/>
      <c r="R569" s="239"/>
      <c r="T569" s="240"/>
      <c r="X569" s="129"/>
      <c r="Y569" s="95"/>
    </row>
    <row r="570">
      <c r="L570" s="239"/>
      <c r="N570" s="239"/>
      <c r="O570" s="239"/>
      <c r="R570" s="239"/>
      <c r="T570" s="240"/>
      <c r="X570" s="129"/>
      <c r="Y570" s="95"/>
    </row>
    <row r="571">
      <c r="L571" s="239"/>
      <c r="N571" s="239"/>
      <c r="O571" s="239"/>
      <c r="R571" s="239"/>
      <c r="T571" s="240"/>
      <c r="X571" s="129"/>
      <c r="Y571" s="95"/>
    </row>
    <row r="572">
      <c r="L572" s="239"/>
      <c r="N572" s="239"/>
      <c r="O572" s="239"/>
      <c r="R572" s="239"/>
      <c r="T572" s="240"/>
      <c r="X572" s="129"/>
      <c r="Y572" s="95"/>
    </row>
    <row r="573">
      <c r="L573" s="239"/>
      <c r="N573" s="239"/>
      <c r="O573" s="239"/>
      <c r="R573" s="239"/>
      <c r="T573" s="240"/>
      <c r="X573" s="129"/>
      <c r="Y573" s="95"/>
    </row>
    <row r="574">
      <c r="L574" s="239"/>
      <c r="N574" s="239"/>
      <c r="O574" s="239"/>
      <c r="R574" s="239"/>
      <c r="T574" s="240"/>
      <c r="X574" s="129"/>
      <c r="Y574" s="95"/>
    </row>
    <row r="575">
      <c r="L575" s="239"/>
      <c r="N575" s="239"/>
      <c r="O575" s="239"/>
      <c r="R575" s="239"/>
      <c r="T575" s="240"/>
      <c r="X575" s="129"/>
      <c r="Y575" s="95"/>
    </row>
    <row r="576">
      <c r="L576" s="239"/>
      <c r="N576" s="239"/>
      <c r="O576" s="239"/>
      <c r="R576" s="239"/>
      <c r="T576" s="240"/>
      <c r="X576" s="129"/>
      <c r="Y576" s="95"/>
    </row>
    <row r="577">
      <c r="L577" s="239"/>
      <c r="N577" s="239"/>
      <c r="O577" s="239"/>
      <c r="R577" s="239"/>
      <c r="T577" s="240"/>
      <c r="X577" s="129"/>
      <c r="Y577" s="95"/>
    </row>
    <row r="578">
      <c r="L578" s="239"/>
      <c r="N578" s="239"/>
      <c r="O578" s="239"/>
      <c r="R578" s="239"/>
      <c r="T578" s="240"/>
      <c r="X578" s="129"/>
      <c r="Y578" s="95"/>
    </row>
    <row r="579">
      <c r="L579" s="239"/>
      <c r="N579" s="239"/>
      <c r="O579" s="239"/>
      <c r="R579" s="239"/>
      <c r="T579" s="240"/>
      <c r="X579" s="129"/>
      <c r="Y579" s="95"/>
    </row>
    <row r="580">
      <c r="L580" s="239"/>
      <c r="N580" s="239"/>
      <c r="O580" s="239"/>
      <c r="R580" s="239"/>
      <c r="T580" s="240"/>
      <c r="X580" s="129"/>
      <c r="Y580" s="95"/>
    </row>
    <row r="581">
      <c r="L581" s="239"/>
      <c r="N581" s="239"/>
      <c r="O581" s="239"/>
      <c r="R581" s="239"/>
      <c r="T581" s="240"/>
      <c r="X581" s="129"/>
      <c r="Y581" s="95"/>
    </row>
    <row r="582">
      <c r="L582" s="239"/>
      <c r="N582" s="239"/>
      <c r="O582" s="239"/>
      <c r="R582" s="239"/>
      <c r="T582" s="240"/>
      <c r="X582" s="129"/>
      <c r="Y582" s="95"/>
    </row>
    <row r="583">
      <c r="L583" s="239"/>
      <c r="N583" s="239"/>
      <c r="O583" s="239"/>
      <c r="R583" s="239"/>
      <c r="T583" s="240"/>
      <c r="X583" s="129"/>
      <c r="Y583" s="95"/>
    </row>
    <row r="584">
      <c r="L584" s="239"/>
      <c r="N584" s="239"/>
      <c r="O584" s="239"/>
      <c r="R584" s="239"/>
      <c r="T584" s="240"/>
      <c r="X584" s="129"/>
      <c r="Y584" s="95"/>
    </row>
    <row r="585">
      <c r="L585" s="239"/>
      <c r="N585" s="239"/>
      <c r="O585" s="239"/>
      <c r="R585" s="239"/>
      <c r="T585" s="240"/>
      <c r="X585" s="129"/>
      <c r="Y585" s="95"/>
    </row>
    <row r="586">
      <c r="L586" s="239"/>
      <c r="N586" s="239"/>
      <c r="O586" s="239"/>
      <c r="R586" s="239"/>
      <c r="T586" s="240"/>
      <c r="X586" s="129"/>
      <c r="Y586" s="95"/>
    </row>
    <row r="587">
      <c r="L587" s="239"/>
      <c r="N587" s="239"/>
      <c r="O587" s="239"/>
      <c r="R587" s="239"/>
      <c r="T587" s="240"/>
      <c r="X587" s="129"/>
      <c r="Y587" s="95"/>
    </row>
    <row r="588">
      <c r="L588" s="239"/>
      <c r="N588" s="239"/>
      <c r="O588" s="239"/>
      <c r="R588" s="239"/>
      <c r="T588" s="240"/>
      <c r="X588" s="129"/>
      <c r="Y588" s="95"/>
    </row>
    <row r="589">
      <c r="L589" s="239"/>
      <c r="N589" s="239"/>
      <c r="O589" s="239"/>
      <c r="R589" s="239"/>
      <c r="T589" s="240"/>
      <c r="X589" s="129"/>
      <c r="Y589" s="95"/>
    </row>
    <row r="590">
      <c r="L590" s="239"/>
      <c r="N590" s="239"/>
      <c r="O590" s="239"/>
      <c r="R590" s="239"/>
      <c r="T590" s="240"/>
      <c r="X590" s="129"/>
      <c r="Y590" s="95"/>
    </row>
    <row r="591">
      <c r="L591" s="239"/>
      <c r="N591" s="239"/>
      <c r="O591" s="239"/>
      <c r="R591" s="239"/>
      <c r="T591" s="240"/>
      <c r="X591" s="129"/>
      <c r="Y591" s="95"/>
    </row>
    <row r="592">
      <c r="L592" s="239"/>
      <c r="N592" s="239"/>
      <c r="O592" s="239"/>
      <c r="R592" s="239"/>
      <c r="T592" s="240"/>
      <c r="X592" s="129"/>
      <c r="Y592" s="95"/>
    </row>
    <row r="593">
      <c r="L593" s="239"/>
      <c r="N593" s="239"/>
      <c r="O593" s="239"/>
      <c r="R593" s="239"/>
      <c r="T593" s="240"/>
      <c r="X593" s="129"/>
      <c r="Y593" s="95"/>
    </row>
    <row r="594">
      <c r="L594" s="239"/>
      <c r="N594" s="239"/>
      <c r="O594" s="239"/>
      <c r="R594" s="239"/>
      <c r="T594" s="240"/>
      <c r="X594" s="129"/>
      <c r="Y594" s="95"/>
    </row>
    <row r="595">
      <c r="L595" s="239"/>
      <c r="N595" s="239"/>
      <c r="O595" s="239"/>
      <c r="R595" s="239"/>
      <c r="T595" s="240"/>
      <c r="X595" s="129"/>
      <c r="Y595" s="95"/>
    </row>
    <row r="596">
      <c r="L596" s="239"/>
      <c r="N596" s="239"/>
      <c r="O596" s="239"/>
      <c r="R596" s="239"/>
      <c r="T596" s="240"/>
      <c r="X596" s="129"/>
      <c r="Y596" s="95"/>
    </row>
    <row r="597">
      <c r="L597" s="239"/>
      <c r="N597" s="239"/>
      <c r="O597" s="239"/>
      <c r="R597" s="239"/>
      <c r="T597" s="240"/>
      <c r="X597" s="129"/>
      <c r="Y597" s="95"/>
    </row>
    <row r="598">
      <c r="L598" s="239"/>
      <c r="N598" s="239"/>
      <c r="O598" s="239"/>
      <c r="R598" s="239"/>
      <c r="T598" s="240"/>
      <c r="X598" s="129"/>
      <c r="Y598" s="95"/>
    </row>
    <row r="599">
      <c r="L599" s="239"/>
      <c r="N599" s="239"/>
      <c r="O599" s="239"/>
      <c r="R599" s="239"/>
      <c r="T599" s="240"/>
      <c r="X599" s="129"/>
      <c r="Y599" s="95"/>
    </row>
    <row r="600">
      <c r="L600" s="239"/>
      <c r="N600" s="239"/>
      <c r="O600" s="239"/>
      <c r="R600" s="239"/>
      <c r="T600" s="240"/>
      <c r="X600" s="129"/>
      <c r="Y600" s="95"/>
    </row>
    <row r="601">
      <c r="L601" s="239"/>
      <c r="N601" s="239"/>
      <c r="O601" s="239"/>
      <c r="R601" s="239"/>
      <c r="T601" s="240"/>
      <c r="X601" s="129"/>
      <c r="Y601" s="95"/>
    </row>
    <row r="602">
      <c r="L602" s="239"/>
      <c r="N602" s="239"/>
      <c r="O602" s="239"/>
      <c r="R602" s="239"/>
      <c r="T602" s="240"/>
      <c r="X602" s="129"/>
      <c r="Y602" s="95"/>
    </row>
    <row r="603">
      <c r="L603" s="239"/>
      <c r="N603" s="239"/>
      <c r="O603" s="239"/>
      <c r="R603" s="239"/>
      <c r="T603" s="240"/>
      <c r="X603" s="129"/>
      <c r="Y603" s="95"/>
    </row>
    <row r="604">
      <c r="L604" s="239"/>
      <c r="N604" s="239"/>
      <c r="O604" s="239"/>
      <c r="R604" s="239"/>
      <c r="T604" s="240"/>
      <c r="X604" s="129"/>
      <c r="Y604" s="95"/>
    </row>
    <row r="605">
      <c r="L605" s="239"/>
      <c r="N605" s="239"/>
      <c r="O605" s="239"/>
      <c r="R605" s="239"/>
      <c r="T605" s="240"/>
      <c r="X605" s="129"/>
      <c r="Y605" s="95"/>
    </row>
    <row r="606">
      <c r="L606" s="239"/>
      <c r="N606" s="239"/>
      <c r="O606" s="239"/>
      <c r="R606" s="239"/>
      <c r="T606" s="240"/>
      <c r="X606" s="129"/>
      <c r="Y606" s="95"/>
    </row>
    <row r="607">
      <c r="L607" s="239"/>
      <c r="N607" s="239"/>
      <c r="O607" s="239"/>
      <c r="R607" s="239"/>
      <c r="T607" s="240"/>
      <c r="X607" s="129"/>
      <c r="Y607" s="95"/>
    </row>
    <row r="608">
      <c r="L608" s="239"/>
      <c r="N608" s="239"/>
      <c r="O608" s="239"/>
      <c r="R608" s="239"/>
      <c r="T608" s="240"/>
      <c r="X608" s="129"/>
      <c r="Y608" s="95"/>
    </row>
    <row r="609">
      <c r="L609" s="239"/>
      <c r="N609" s="239"/>
      <c r="O609" s="239"/>
      <c r="R609" s="239"/>
      <c r="T609" s="240"/>
      <c r="X609" s="129"/>
      <c r="Y609" s="95"/>
    </row>
    <row r="610">
      <c r="L610" s="239"/>
      <c r="N610" s="239"/>
      <c r="O610" s="239"/>
      <c r="R610" s="239"/>
      <c r="T610" s="240"/>
      <c r="X610" s="129"/>
      <c r="Y610" s="95"/>
    </row>
    <row r="611">
      <c r="L611" s="239"/>
      <c r="N611" s="239"/>
      <c r="O611" s="239"/>
      <c r="R611" s="239"/>
      <c r="T611" s="240"/>
      <c r="X611" s="129"/>
      <c r="Y611" s="95"/>
    </row>
    <row r="612">
      <c r="L612" s="239"/>
      <c r="N612" s="239"/>
      <c r="O612" s="239"/>
      <c r="R612" s="239"/>
      <c r="T612" s="240"/>
      <c r="X612" s="129"/>
      <c r="Y612" s="95"/>
    </row>
    <row r="613">
      <c r="L613" s="239"/>
      <c r="N613" s="239"/>
      <c r="O613" s="239"/>
      <c r="R613" s="239"/>
      <c r="T613" s="240"/>
      <c r="X613" s="129"/>
      <c r="Y613" s="95"/>
    </row>
    <row r="614">
      <c r="L614" s="239"/>
      <c r="N614" s="239"/>
      <c r="O614" s="239"/>
      <c r="R614" s="239"/>
      <c r="T614" s="240"/>
      <c r="X614" s="129"/>
      <c r="Y614" s="95"/>
    </row>
    <row r="615">
      <c r="L615" s="239"/>
      <c r="N615" s="239"/>
      <c r="O615" s="239"/>
      <c r="R615" s="239"/>
      <c r="T615" s="240"/>
      <c r="X615" s="129"/>
      <c r="Y615" s="95"/>
    </row>
    <row r="616">
      <c r="L616" s="239"/>
      <c r="N616" s="239"/>
      <c r="O616" s="239"/>
      <c r="R616" s="239"/>
      <c r="T616" s="240"/>
      <c r="X616" s="129"/>
      <c r="Y616" s="95"/>
    </row>
    <row r="617">
      <c r="L617" s="239"/>
      <c r="N617" s="239"/>
      <c r="O617" s="239"/>
      <c r="R617" s="239"/>
      <c r="T617" s="240"/>
      <c r="X617" s="129"/>
      <c r="Y617" s="95"/>
    </row>
    <row r="618">
      <c r="L618" s="239"/>
      <c r="N618" s="239"/>
      <c r="O618" s="239"/>
      <c r="R618" s="239"/>
      <c r="T618" s="240"/>
      <c r="X618" s="129"/>
      <c r="Y618" s="95"/>
    </row>
    <row r="619">
      <c r="L619" s="239"/>
      <c r="N619" s="239"/>
      <c r="O619" s="239"/>
      <c r="R619" s="239"/>
      <c r="T619" s="240"/>
      <c r="X619" s="129"/>
      <c r="Y619" s="95"/>
    </row>
    <row r="620">
      <c r="L620" s="239"/>
      <c r="N620" s="239"/>
      <c r="O620" s="239"/>
      <c r="R620" s="239"/>
      <c r="T620" s="240"/>
      <c r="X620" s="129"/>
      <c r="Y620" s="95"/>
    </row>
    <row r="621">
      <c r="L621" s="239"/>
      <c r="N621" s="239"/>
      <c r="O621" s="239"/>
      <c r="R621" s="239"/>
      <c r="T621" s="240"/>
      <c r="X621" s="129"/>
      <c r="Y621" s="95"/>
    </row>
    <row r="622">
      <c r="L622" s="239"/>
      <c r="N622" s="239"/>
      <c r="O622" s="239"/>
      <c r="R622" s="239"/>
      <c r="T622" s="240"/>
      <c r="X622" s="129"/>
      <c r="Y622" s="95"/>
    </row>
    <row r="623">
      <c r="L623" s="239"/>
      <c r="N623" s="239"/>
      <c r="O623" s="239"/>
      <c r="R623" s="239"/>
      <c r="T623" s="240"/>
      <c r="X623" s="129"/>
      <c r="Y623" s="95"/>
    </row>
    <row r="624">
      <c r="L624" s="239"/>
      <c r="N624" s="239"/>
      <c r="O624" s="239"/>
      <c r="R624" s="239"/>
      <c r="T624" s="240"/>
      <c r="X624" s="129"/>
      <c r="Y624" s="95"/>
    </row>
    <row r="625">
      <c r="L625" s="239"/>
      <c r="N625" s="239"/>
      <c r="O625" s="239"/>
      <c r="R625" s="239"/>
      <c r="T625" s="240"/>
      <c r="X625" s="129"/>
      <c r="Y625" s="95"/>
    </row>
    <row r="626">
      <c r="L626" s="239"/>
      <c r="N626" s="239"/>
      <c r="O626" s="239"/>
      <c r="R626" s="239"/>
      <c r="T626" s="240"/>
      <c r="X626" s="129"/>
      <c r="Y626" s="95"/>
    </row>
    <row r="627">
      <c r="L627" s="239"/>
      <c r="N627" s="239"/>
      <c r="O627" s="239"/>
      <c r="R627" s="239"/>
      <c r="T627" s="240"/>
      <c r="X627" s="129"/>
      <c r="Y627" s="95"/>
    </row>
    <row r="628">
      <c r="L628" s="239"/>
      <c r="N628" s="239"/>
      <c r="O628" s="239"/>
      <c r="R628" s="239"/>
      <c r="T628" s="240"/>
      <c r="X628" s="129"/>
      <c r="Y628" s="95"/>
    </row>
    <row r="629">
      <c r="L629" s="239"/>
      <c r="N629" s="239"/>
      <c r="O629" s="239"/>
      <c r="R629" s="239"/>
      <c r="T629" s="240"/>
      <c r="X629" s="129"/>
      <c r="Y629" s="95"/>
    </row>
    <row r="630">
      <c r="L630" s="239"/>
      <c r="N630" s="239"/>
      <c r="O630" s="239"/>
      <c r="R630" s="239"/>
      <c r="T630" s="240"/>
      <c r="X630" s="129"/>
      <c r="Y630" s="95"/>
    </row>
    <row r="631">
      <c r="L631" s="239"/>
      <c r="N631" s="239"/>
      <c r="O631" s="239"/>
      <c r="R631" s="239"/>
      <c r="T631" s="240"/>
      <c r="X631" s="129"/>
      <c r="Y631" s="95"/>
    </row>
    <row r="632">
      <c r="L632" s="239"/>
      <c r="N632" s="239"/>
      <c r="O632" s="239"/>
      <c r="R632" s="239"/>
      <c r="T632" s="240"/>
      <c r="X632" s="129"/>
      <c r="Y632" s="95"/>
    </row>
    <row r="633">
      <c r="L633" s="239"/>
      <c r="N633" s="239"/>
      <c r="O633" s="239"/>
      <c r="R633" s="239"/>
      <c r="T633" s="240"/>
      <c r="X633" s="129"/>
      <c r="Y633" s="95"/>
    </row>
    <row r="634">
      <c r="L634" s="239"/>
      <c r="N634" s="239"/>
      <c r="O634" s="239"/>
      <c r="R634" s="239"/>
      <c r="T634" s="240"/>
      <c r="X634" s="129"/>
      <c r="Y634" s="95"/>
    </row>
    <row r="635">
      <c r="L635" s="239"/>
      <c r="N635" s="239"/>
      <c r="O635" s="239"/>
      <c r="R635" s="239"/>
      <c r="T635" s="240"/>
      <c r="X635" s="129"/>
      <c r="Y635" s="95"/>
    </row>
    <row r="636">
      <c r="L636" s="239"/>
      <c r="N636" s="239"/>
      <c r="O636" s="239"/>
      <c r="R636" s="239"/>
      <c r="T636" s="240"/>
      <c r="X636" s="129"/>
      <c r="Y636" s="95"/>
    </row>
    <row r="637">
      <c r="L637" s="239"/>
      <c r="N637" s="239"/>
      <c r="O637" s="239"/>
      <c r="R637" s="239"/>
      <c r="T637" s="240"/>
      <c r="X637" s="129"/>
      <c r="Y637" s="95"/>
    </row>
    <row r="638">
      <c r="L638" s="239"/>
      <c r="N638" s="239"/>
      <c r="O638" s="239"/>
      <c r="R638" s="239"/>
      <c r="T638" s="240"/>
      <c r="X638" s="129"/>
      <c r="Y638" s="95"/>
    </row>
    <row r="639">
      <c r="L639" s="239"/>
      <c r="N639" s="239"/>
      <c r="O639" s="239"/>
      <c r="R639" s="239"/>
      <c r="T639" s="240"/>
      <c r="X639" s="129"/>
      <c r="Y639" s="95"/>
    </row>
    <row r="640">
      <c r="L640" s="239"/>
      <c r="N640" s="239"/>
      <c r="O640" s="239"/>
      <c r="R640" s="239"/>
      <c r="T640" s="240"/>
      <c r="X640" s="129"/>
      <c r="Y640" s="95"/>
    </row>
    <row r="641">
      <c r="L641" s="239"/>
      <c r="N641" s="239"/>
      <c r="O641" s="239"/>
      <c r="R641" s="239"/>
      <c r="T641" s="240"/>
      <c r="X641" s="129"/>
      <c r="Y641" s="95"/>
    </row>
    <row r="642">
      <c r="L642" s="239"/>
      <c r="N642" s="239"/>
      <c r="O642" s="239"/>
      <c r="R642" s="239"/>
      <c r="T642" s="240"/>
      <c r="X642" s="129"/>
      <c r="Y642" s="95"/>
    </row>
    <row r="643">
      <c r="L643" s="239"/>
      <c r="N643" s="239"/>
      <c r="O643" s="239"/>
      <c r="R643" s="239"/>
      <c r="T643" s="240"/>
      <c r="X643" s="129"/>
      <c r="Y643" s="95"/>
    </row>
    <row r="644">
      <c r="L644" s="239"/>
      <c r="N644" s="239"/>
      <c r="O644" s="239"/>
      <c r="R644" s="239"/>
      <c r="T644" s="240"/>
      <c r="X644" s="129"/>
      <c r="Y644" s="95"/>
    </row>
    <row r="645">
      <c r="L645" s="239"/>
      <c r="N645" s="239"/>
      <c r="O645" s="239"/>
      <c r="R645" s="239"/>
      <c r="T645" s="240"/>
      <c r="X645" s="129"/>
      <c r="Y645" s="95"/>
    </row>
    <row r="646">
      <c r="L646" s="239"/>
      <c r="N646" s="239"/>
      <c r="O646" s="239"/>
      <c r="R646" s="239"/>
      <c r="T646" s="240"/>
      <c r="X646" s="129"/>
      <c r="Y646" s="95"/>
    </row>
    <row r="647">
      <c r="L647" s="239"/>
      <c r="N647" s="239"/>
      <c r="O647" s="239"/>
      <c r="R647" s="239"/>
      <c r="T647" s="240"/>
      <c r="X647" s="129"/>
      <c r="Y647" s="95"/>
    </row>
    <row r="648">
      <c r="L648" s="239"/>
      <c r="N648" s="239"/>
      <c r="O648" s="239"/>
      <c r="R648" s="239"/>
      <c r="T648" s="240"/>
      <c r="X648" s="129"/>
      <c r="Y648" s="95"/>
    </row>
    <row r="649">
      <c r="L649" s="239"/>
      <c r="N649" s="239"/>
      <c r="O649" s="239"/>
      <c r="R649" s="239"/>
      <c r="T649" s="240"/>
      <c r="X649" s="129"/>
      <c r="Y649" s="95"/>
    </row>
    <row r="650">
      <c r="L650" s="239"/>
      <c r="N650" s="239"/>
      <c r="O650" s="239"/>
      <c r="R650" s="239"/>
      <c r="T650" s="240"/>
      <c r="X650" s="129"/>
      <c r="Y650" s="95"/>
    </row>
    <row r="651">
      <c r="L651" s="239"/>
      <c r="N651" s="239"/>
      <c r="O651" s="239"/>
      <c r="R651" s="239"/>
      <c r="T651" s="240"/>
      <c r="X651" s="129"/>
      <c r="Y651" s="95"/>
    </row>
    <row r="652">
      <c r="L652" s="239"/>
      <c r="N652" s="239"/>
      <c r="O652" s="239"/>
      <c r="R652" s="239"/>
      <c r="T652" s="240"/>
      <c r="X652" s="129"/>
      <c r="Y652" s="95"/>
    </row>
    <row r="653">
      <c r="L653" s="239"/>
      <c r="N653" s="239"/>
      <c r="O653" s="239"/>
      <c r="R653" s="239"/>
      <c r="T653" s="240"/>
      <c r="X653" s="129"/>
      <c r="Y653" s="95"/>
    </row>
    <row r="654">
      <c r="L654" s="239"/>
      <c r="N654" s="239"/>
      <c r="O654" s="239"/>
      <c r="R654" s="239"/>
      <c r="T654" s="240"/>
      <c r="X654" s="129"/>
      <c r="Y654" s="95"/>
    </row>
    <row r="655">
      <c r="L655" s="239"/>
      <c r="N655" s="239"/>
      <c r="O655" s="239"/>
      <c r="R655" s="239"/>
      <c r="T655" s="240"/>
      <c r="X655" s="129"/>
      <c r="Y655" s="95"/>
    </row>
    <row r="656">
      <c r="L656" s="239"/>
      <c r="N656" s="239"/>
      <c r="O656" s="239"/>
      <c r="R656" s="239"/>
      <c r="T656" s="240"/>
      <c r="X656" s="129"/>
      <c r="Y656" s="95"/>
    </row>
    <row r="657">
      <c r="L657" s="239"/>
      <c r="N657" s="239"/>
      <c r="O657" s="239"/>
      <c r="R657" s="239"/>
      <c r="T657" s="240"/>
      <c r="X657" s="129"/>
      <c r="Y657" s="95"/>
    </row>
    <row r="658">
      <c r="L658" s="239"/>
      <c r="N658" s="239"/>
      <c r="O658" s="239"/>
      <c r="R658" s="239"/>
      <c r="T658" s="240"/>
      <c r="X658" s="129"/>
      <c r="Y658" s="95"/>
    </row>
    <row r="659">
      <c r="L659" s="239"/>
      <c r="N659" s="239"/>
      <c r="O659" s="239"/>
      <c r="R659" s="239"/>
      <c r="T659" s="240"/>
      <c r="X659" s="129"/>
      <c r="Y659" s="95"/>
    </row>
    <row r="660">
      <c r="L660" s="239"/>
      <c r="N660" s="239"/>
      <c r="O660" s="239"/>
      <c r="R660" s="239"/>
      <c r="T660" s="240"/>
      <c r="X660" s="129"/>
      <c r="Y660" s="95"/>
    </row>
    <row r="661">
      <c r="L661" s="239"/>
      <c r="N661" s="239"/>
      <c r="O661" s="239"/>
      <c r="R661" s="239"/>
      <c r="T661" s="240"/>
      <c r="X661" s="129"/>
      <c r="Y661" s="95"/>
    </row>
    <row r="662">
      <c r="L662" s="239"/>
      <c r="N662" s="239"/>
      <c r="O662" s="239"/>
      <c r="R662" s="239"/>
      <c r="T662" s="240"/>
      <c r="X662" s="129"/>
      <c r="Y662" s="95"/>
    </row>
    <row r="663">
      <c r="L663" s="239"/>
      <c r="N663" s="239"/>
      <c r="O663" s="239"/>
      <c r="R663" s="239"/>
      <c r="T663" s="240"/>
      <c r="X663" s="129"/>
      <c r="Y663" s="95"/>
    </row>
    <row r="664">
      <c r="L664" s="239"/>
      <c r="N664" s="239"/>
      <c r="O664" s="239"/>
      <c r="R664" s="239"/>
      <c r="T664" s="240"/>
      <c r="X664" s="129"/>
      <c r="Y664" s="95"/>
    </row>
    <row r="665">
      <c r="L665" s="239"/>
      <c r="N665" s="239"/>
      <c r="O665" s="239"/>
      <c r="R665" s="239"/>
      <c r="T665" s="240"/>
      <c r="X665" s="129"/>
      <c r="Y665" s="95"/>
    </row>
    <row r="666">
      <c r="L666" s="239"/>
      <c r="N666" s="239"/>
      <c r="O666" s="239"/>
      <c r="R666" s="239"/>
      <c r="T666" s="240"/>
      <c r="X666" s="129"/>
      <c r="Y666" s="95"/>
    </row>
    <row r="667">
      <c r="L667" s="239"/>
      <c r="N667" s="239"/>
      <c r="O667" s="239"/>
      <c r="R667" s="239"/>
      <c r="T667" s="240"/>
      <c r="X667" s="129"/>
      <c r="Y667" s="95"/>
    </row>
    <row r="668">
      <c r="L668" s="239"/>
      <c r="N668" s="239"/>
      <c r="O668" s="239"/>
      <c r="R668" s="239"/>
      <c r="T668" s="240"/>
      <c r="X668" s="129"/>
      <c r="Y668" s="95"/>
    </row>
    <row r="669">
      <c r="L669" s="239"/>
      <c r="N669" s="239"/>
      <c r="O669" s="239"/>
      <c r="R669" s="239"/>
      <c r="T669" s="240"/>
      <c r="X669" s="129"/>
      <c r="Y669" s="95"/>
    </row>
    <row r="670">
      <c r="L670" s="239"/>
      <c r="N670" s="239"/>
      <c r="O670" s="239"/>
      <c r="R670" s="239"/>
      <c r="T670" s="240"/>
      <c r="X670" s="129"/>
      <c r="Y670" s="95"/>
    </row>
    <row r="671">
      <c r="L671" s="239"/>
      <c r="N671" s="239"/>
      <c r="O671" s="239"/>
      <c r="R671" s="239"/>
      <c r="T671" s="240"/>
      <c r="X671" s="129"/>
      <c r="Y671" s="95"/>
    </row>
    <row r="672">
      <c r="L672" s="239"/>
      <c r="N672" s="239"/>
      <c r="O672" s="239"/>
      <c r="R672" s="239"/>
      <c r="T672" s="240"/>
      <c r="X672" s="129"/>
      <c r="Y672" s="95"/>
    </row>
    <row r="673">
      <c r="L673" s="239"/>
      <c r="N673" s="239"/>
      <c r="O673" s="239"/>
      <c r="R673" s="239"/>
      <c r="T673" s="240"/>
      <c r="X673" s="129"/>
      <c r="Y673" s="95"/>
    </row>
    <row r="674">
      <c r="L674" s="239"/>
      <c r="N674" s="239"/>
      <c r="O674" s="239"/>
      <c r="R674" s="239"/>
      <c r="T674" s="240"/>
      <c r="X674" s="129"/>
      <c r="Y674" s="95"/>
    </row>
    <row r="675">
      <c r="L675" s="239"/>
      <c r="N675" s="239"/>
      <c r="O675" s="239"/>
      <c r="R675" s="239"/>
      <c r="T675" s="240"/>
      <c r="X675" s="129"/>
      <c r="Y675" s="95"/>
    </row>
    <row r="676">
      <c r="L676" s="239"/>
      <c r="N676" s="239"/>
      <c r="O676" s="239"/>
      <c r="R676" s="239"/>
      <c r="T676" s="240"/>
      <c r="X676" s="129"/>
      <c r="Y676" s="95"/>
    </row>
    <row r="677">
      <c r="L677" s="239"/>
      <c r="N677" s="239"/>
      <c r="O677" s="239"/>
      <c r="R677" s="239"/>
      <c r="T677" s="240"/>
      <c r="X677" s="129"/>
      <c r="Y677" s="95"/>
    </row>
    <row r="678">
      <c r="L678" s="239"/>
      <c r="N678" s="239"/>
      <c r="O678" s="239"/>
      <c r="R678" s="239"/>
      <c r="T678" s="240"/>
      <c r="X678" s="129"/>
      <c r="Y678" s="95"/>
    </row>
    <row r="679">
      <c r="L679" s="239"/>
      <c r="N679" s="239"/>
      <c r="O679" s="239"/>
      <c r="R679" s="239"/>
      <c r="T679" s="240"/>
      <c r="X679" s="129"/>
      <c r="Y679" s="95"/>
    </row>
    <row r="680">
      <c r="L680" s="239"/>
      <c r="N680" s="239"/>
      <c r="O680" s="239"/>
      <c r="R680" s="239"/>
      <c r="T680" s="240"/>
      <c r="X680" s="129"/>
      <c r="Y680" s="95"/>
    </row>
    <row r="681">
      <c r="L681" s="239"/>
      <c r="N681" s="239"/>
      <c r="O681" s="239"/>
      <c r="R681" s="239"/>
      <c r="T681" s="240"/>
      <c r="X681" s="129"/>
      <c r="Y681" s="95"/>
    </row>
    <row r="682">
      <c r="L682" s="239"/>
      <c r="N682" s="239"/>
      <c r="O682" s="239"/>
      <c r="R682" s="239"/>
      <c r="T682" s="240"/>
      <c r="X682" s="129"/>
      <c r="Y682" s="95"/>
    </row>
    <row r="683">
      <c r="L683" s="239"/>
      <c r="N683" s="239"/>
      <c r="O683" s="239"/>
      <c r="R683" s="239"/>
      <c r="T683" s="240"/>
      <c r="X683" s="129"/>
      <c r="Y683" s="95"/>
    </row>
    <row r="684">
      <c r="L684" s="239"/>
      <c r="N684" s="239"/>
      <c r="O684" s="239"/>
      <c r="R684" s="239"/>
      <c r="T684" s="240"/>
      <c r="X684" s="129"/>
      <c r="Y684" s="95"/>
    </row>
    <row r="685">
      <c r="L685" s="239"/>
      <c r="N685" s="239"/>
      <c r="O685" s="239"/>
      <c r="R685" s="239"/>
      <c r="T685" s="240"/>
      <c r="X685" s="129"/>
      <c r="Y685" s="95"/>
    </row>
    <row r="686">
      <c r="L686" s="239"/>
      <c r="N686" s="239"/>
      <c r="O686" s="239"/>
      <c r="R686" s="239"/>
      <c r="T686" s="240"/>
      <c r="X686" s="129"/>
      <c r="Y686" s="95"/>
    </row>
    <row r="687">
      <c r="L687" s="239"/>
      <c r="N687" s="239"/>
      <c r="O687" s="239"/>
      <c r="R687" s="239"/>
      <c r="T687" s="240"/>
      <c r="X687" s="129"/>
      <c r="Y687" s="95"/>
    </row>
    <row r="688">
      <c r="L688" s="239"/>
      <c r="N688" s="239"/>
      <c r="O688" s="239"/>
      <c r="R688" s="239"/>
      <c r="T688" s="240"/>
      <c r="X688" s="129"/>
      <c r="Y688" s="95"/>
    </row>
    <row r="689">
      <c r="L689" s="239"/>
      <c r="N689" s="239"/>
      <c r="O689" s="239"/>
      <c r="R689" s="239"/>
      <c r="T689" s="240"/>
      <c r="X689" s="129"/>
      <c r="Y689" s="95"/>
    </row>
    <row r="690">
      <c r="L690" s="239"/>
      <c r="N690" s="239"/>
      <c r="O690" s="239"/>
      <c r="R690" s="239"/>
      <c r="T690" s="240"/>
      <c r="X690" s="129"/>
      <c r="Y690" s="95"/>
    </row>
    <row r="691">
      <c r="L691" s="239"/>
      <c r="N691" s="239"/>
      <c r="O691" s="239"/>
      <c r="R691" s="239"/>
      <c r="T691" s="240"/>
      <c r="X691" s="129"/>
      <c r="Y691" s="95"/>
    </row>
    <row r="692">
      <c r="L692" s="239"/>
      <c r="N692" s="239"/>
      <c r="O692" s="239"/>
      <c r="R692" s="239"/>
      <c r="T692" s="240"/>
      <c r="X692" s="129"/>
      <c r="Y692" s="95"/>
    </row>
    <row r="693">
      <c r="L693" s="239"/>
      <c r="N693" s="239"/>
      <c r="O693" s="239"/>
      <c r="R693" s="239"/>
      <c r="T693" s="240"/>
      <c r="X693" s="129"/>
      <c r="Y693" s="95"/>
    </row>
    <row r="694">
      <c r="L694" s="239"/>
      <c r="N694" s="239"/>
      <c r="O694" s="239"/>
      <c r="R694" s="239"/>
      <c r="T694" s="240"/>
      <c r="X694" s="129"/>
      <c r="Y694" s="95"/>
    </row>
    <row r="695">
      <c r="L695" s="239"/>
      <c r="N695" s="239"/>
      <c r="O695" s="239"/>
      <c r="R695" s="239"/>
      <c r="T695" s="240"/>
      <c r="X695" s="129"/>
      <c r="Y695" s="95"/>
    </row>
    <row r="696">
      <c r="L696" s="239"/>
      <c r="N696" s="239"/>
      <c r="O696" s="239"/>
      <c r="R696" s="239"/>
      <c r="T696" s="240"/>
      <c r="X696" s="129"/>
      <c r="Y696" s="95"/>
    </row>
    <row r="697">
      <c r="L697" s="239"/>
      <c r="N697" s="239"/>
      <c r="O697" s="239"/>
      <c r="R697" s="239"/>
      <c r="T697" s="240"/>
      <c r="X697" s="129"/>
      <c r="Y697" s="95"/>
    </row>
    <row r="698">
      <c r="L698" s="239"/>
      <c r="N698" s="239"/>
      <c r="O698" s="239"/>
      <c r="R698" s="239"/>
      <c r="T698" s="240"/>
      <c r="X698" s="129"/>
      <c r="Y698" s="95"/>
    </row>
    <row r="699">
      <c r="L699" s="239"/>
      <c r="N699" s="239"/>
      <c r="O699" s="239"/>
      <c r="R699" s="239"/>
      <c r="T699" s="240"/>
      <c r="X699" s="129"/>
      <c r="Y699" s="95"/>
    </row>
    <row r="700">
      <c r="L700" s="239"/>
      <c r="N700" s="239"/>
      <c r="O700" s="239"/>
      <c r="R700" s="239"/>
      <c r="T700" s="240"/>
      <c r="X700" s="129"/>
      <c r="Y700" s="95"/>
    </row>
    <row r="701">
      <c r="L701" s="239"/>
      <c r="N701" s="239"/>
      <c r="O701" s="239"/>
      <c r="R701" s="239"/>
      <c r="T701" s="240"/>
      <c r="X701" s="129"/>
      <c r="Y701" s="95"/>
    </row>
    <row r="702">
      <c r="L702" s="239"/>
      <c r="N702" s="239"/>
      <c r="O702" s="239"/>
      <c r="R702" s="239"/>
      <c r="T702" s="240"/>
      <c r="X702" s="129"/>
      <c r="Y702" s="95"/>
    </row>
    <row r="703">
      <c r="L703" s="239"/>
      <c r="N703" s="239"/>
      <c r="O703" s="239"/>
      <c r="R703" s="239"/>
      <c r="T703" s="240"/>
      <c r="X703" s="129"/>
      <c r="Y703" s="95"/>
    </row>
    <row r="704">
      <c r="L704" s="239"/>
      <c r="N704" s="239"/>
      <c r="O704" s="239"/>
      <c r="R704" s="239"/>
      <c r="T704" s="240"/>
      <c r="X704" s="129"/>
      <c r="Y704" s="95"/>
    </row>
    <row r="705">
      <c r="L705" s="239"/>
      <c r="N705" s="239"/>
      <c r="O705" s="239"/>
      <c r="R705" s="239"/>
      <c r="T705" s="240"/>
      <c r="X705" s="129"/>
      <c r="Y705" s="95"/>
    </row>
    <row r="706">
      <c r="L706" s="239"/>
      <c r="N706" s="239"/>
      <c r="O706" s="239"/>
      <c r="R706" s="239"/>
      <c r="T706" s="240"/>
      <c r="X706" s="129"/>
      <c r="Y706" s="95"/>
    </row>
    <row r="707">
      <c r="L707" s="239"/>
      <c r="N707" s="239"/>
      <c r="O707" s="239"/>
      <c r="R707" s="239"/>
      <c r="T707" s="240"/>
      <c r="X707" s="129"/>
      <c r="Y707" s="95"/>
    </row>
    <row r="708">
      <c r="L708" s="239"/>
      <c r="N708" s="239"/>
      <c r="O708" s="239"/>
      <c r="R708" s="239"/>
      <c r="T708" s="240"/>
      <c r="X708" s="129"/>
      <c r="Y708" s="95"/>
    </row>
    <row r="709">
      <c r="L709" s="239"/>
      <c r="N709" s="239"/>
      <c r="O709" s="239"/>
      <c r="R709" s="239"/>
      <c r="T709" s="240"/>
      <c r="X709" s="129"/>
      <c r="Y709" s="95"/>
    </row>
    <row r="710">
      <c r="L710" s="239"/>
      <c r="N710" s="239"/>
      <c r="O710" s="239"/>
      <c r="R710" s="239"/>
      <c r="T710" s="240"/>
      <c r="X710" s="129"/>
      <c r="Y710" s="95"/>
    </row>
    <row r="711">
      <c r="L711" s="239"/>
      <c r="N711" s="239"/>
      <c r="O711" s="239"/>
      <c r="R711" s="239"/>
      <c r="T711" s="240"/>
      <c r="X711" s="129"/>
      <c r="Y711" s="95"/>
    </row>
    <row r="712">
      <c r="L712" s="239"/>
      <c r="N712" s="239"/>
      <c r="O712" s="239"/>
      <c r="R712" s="239"/>
      <c r="T712" s="240"/>
      <c r="X712" s="129"/>
      <c r="Y712" s="95"/>
    </row>
    <row r="713">
      <c r="L713" s="239"/>
      <c r="N713" s="239"/>
      <c r="O713" s="239"/>
      <c r="R713" s="239"/>
      <c r="T713" s="240"/>
      <c r="X713" s="129"/>
      <c r="Y713" s="95"/>
    </row>
    <row r="714">
      <c r="L714" s="239"/>
      <c r="N714" s="239"/>
      <c r="O714" s="239"/>
      <c r="R714" s="239"/>
      <c r="T714" s="240"/>
      <c r="X714" s="129"/>
      <c r="Y714" s="95"/>
    </row>
    <row r="715">
      <c r="L715" s="239"/>
      <c r="N715" s="239"/>
      <c r="O715" s="239"/>
      <c r="R715" s="239"/>
      <c r="T715" s="240"/>
      <c r="X715" s="129"/>
      <c r="Y715" s="95"/>
    </row>
    <row r="716">
      <c r="L716" s="239"/>
      <c r="N716" s="239"/>
      <c r="O716" s="239"/>
      <c r="R716" s="239"/>
      <c r="T716" s="240"/>
      <c r="X716" s="129"/>
      <c r="Y716" s="95"/>
    </row>
    <row r="717">
      <c r="L717" s="239"/>
      <c r="N717" s="239"/>
      <c r="O717" s="239"/>
      <c r="R717" s="239"/>
      <c r="T717" s="240"/>
      <c r="X717" s="129"/>
      <c r="Y717" s="95"/>
    </row>
    <row r="718">
      <c r="L718" s="239"/>
      <c r="N718" s="239"/>
      <c r="O718" s="239"/>
      <c r="R718" s="239"/>
      <c r="T718" s="240"/>
      <c r="X718" s="129"/>
      <c r="Y718" s="95"/>
    </row>
    <row r="719">
      <c r="L719" s="239"/>
      <c r="N719" s="239"/>
      <c r="O719" s="239"/>
      <c r="R719" s="239"/>
      <c r="T719" s="240"/>
      <c r="X719" s="129"/>
      <c r="Y719" s="95"/>
    </row>
    <row r="720">
      <c r="L720" s="239"/>
      <c r="N720" s="239"/>
      <c r="O720" s="239"/>
      <c r="R720" s="239"/>
      <c r="T720" s="240"/>
      <c r="X720" s="129"/>
      <c r="Y720" s="95"/>
    </row>
    <row r="721">
      <c r="L721" s="239"/>
      <c r="N721" s="239"/>
      <c r="O721" s="239"/>
      <c r="R721" s="239"/>
      <c r="T721" s="240"/>
      <c r="X721" s="129"/>
      <c r="Y721" s="95"/>
    </row>
    <row r="722">
      <c r="L722" s="239"/>
      <c r="N722" s="239"/>
      <c r="O722" s="239"/>
      <c r="R722" s="239"/>
      <c r="T722" s="240"/>
      <c r="X722" s="129"/>
      <c r="Y722" s="95"/>
    </row>
    <row r="723">
      <c r="L723" s="239"/>
      <c r="N723" s="239"/>
      <c r="O723" s="239"/>
      <c r="R723" s="239"/>
      <c r="T723" s="240"/>
      <c r="X723" s="129"/>
      <c r="Y723" s="95"/>
    </row>
    <row r="724">
      <c r="L724" s="239"/>
      <c r="N724" s="239"/>
      <c r="O724" s="239"/>
      <c r="R724" s="239"/>
      <c r="T724" s="240"/>
      <c r="X724" s="129"/>
      <c r="Y724" s="95"/>
    </row>
    <row r="725">
      <c r="L725" s="239"/>
      <c r="N725" s="239"/>
      <c r="O725" s="239"/>
      <c r="R725" s="239"/>
      <c r="T725" s="240"/>
      <c r="X725" s="129"/>
      <c r="Y725" s="95"/>
    </row>
    <row r="726">
      <c r="L726" s="239"/>
      <c r="N726" s="239"/>
      <c r="O726" s="239"/>
      <c r="R726" s="239"/>
      <c r="T726" s="240"/>
      <c r="X726" s="129"/>
      <c r="Y726" s="95"/>
    </row>
    <row r="727">
      <c r="L727" s="239"/>
      <c r="N727" s="239"/>
      <c r="O727" s="239"/>
      <c r="R727" s="239"/>
      <c r="T727" s="240"/>
      <c r="X727" s="129"/>
      <c r="Y727" s="95"/>
    </row>
    <row r="728">
      <c r="L728" s="239"/>
      <c r="N728" s="239"/>
      <c r="O728" s="239"/>
      <c r="R728" s="239"/>
      <c r="T728" s="240"/>
      <c r="X728" s="129"/>
      <c r="Y728" s="95"/>
    </row>
    <row r="729">
      <c r="L729" s="239"/>
      <c r="N729" s="239"/>
      <c r="O729" s="239"/>
      <c r="R729" s="239"/>
      <c r="T729" s="240"/>
      <c r="X729" s="129"/>
      <c r="Y729" s="95"/>
    </row>
    <row r="730">
      <c r="L730" s="239"/>
      <c r="N730" s="239"/>
      <c r="O730" s="239"/>
      <c r="R730" s="239"/>
      <c r="T730" s="240"/>
      <c r="X730" s="129"/>
      <c r="Y730" s="95"/>
    </row>
    <row r="731">
      <c r="L731" s="239"/>
      <c r="N731" s="239"/>
      <c r="O731" s="239"/>
      <c r="R731" s="239"/>
      <c r="T731" s="240"/>
      <c r="X731" s="129"/>
      <c r="Y731" s="95"/>
    </row>
    <row r="732">
      <c r="L732" s="239"/>
      <c r="N732" s="239"/>
      <c r="O732" s="239"/>
      <c r="R732" s="239"/>
      <c r="T732" s="240"/>
      <c r="X732" s="129"/>
      <c r="Y732" s="95"/>
    </row>
    <row r="733">
      <c r="L733" s="239"/>
      <c r="N733" s="239"/>
      <c r="O733" s="239"/>
      <c r="R733" s="239"/>
      <c r="T733" s="240"/>
      <c r="X733" s="129"/>
      <c r="Y733" s="95"/>
    </row>
    <row r="734">
      <c r="L734" s="239"/>
      <c r="N734" s="239"/>
      <c r="O734" s="239"/>
      <c r="R734" s="239"/>
      <c r="T734" s="240"/>
      <c r="X734" s="129"/>
      <c r="Y734" s="95"/>
    </row>
    <row r="735">
      <c r="L735" s="239"/>
      <c r="N735" s="239"/>
      <c r="O735" s="239"/>
      <c r="R735" s="239"/>
      <c r="T735" s="240"/>
      <c r="X735" s="129"/>
      <c r="Y735" s="95"/>
    </row>
    <row r="736">
      <c r="L736" s="239"/>
      <c r="N736" s="239"/>
      <c r="O736" s="239"/>
      <c r="R736" s="239"/>
      <c r="T736" s="240"/>
      <c r="X736" s="129"/>
      <c r="Y736" s="95"/>
    </row>
    <row r="737">
      <c r="L737" s="239"/>
      <c r="N737" s="239"/>
      <c r="O737" s="239"/>
      <c r="R737" s="239"/>
      <c r="T737" s="240"/>
      <c r="X737" s="129"/>
      <c r="Y737" s="95"/>
    </row>
    <row r="738">
      <c r="L738" s="239"/>
      <c r="N738" s="239"/>
      <c r="O738" s="239"/>
      <c r="R738" s="239"/>
      <c r="T738" s="240"/>
      <c r="X738" s="129"/>
      <c r="Y738" s="95"/>
    </row>
    <row r="739">
      <c r="L739" s="239"/>
      <c r="N739" s="239"/>
      <c r="O739" s="239"/>
      <c r="R739" s="239"/>
      <c r="T739" s="240"/>
      <c r="X739" s="129"/>
      <c r="Y739" s="95"/>
    </row>
    <row r="740">
      <c r="L740" s="239"/>
      <c r="N740" s="239"/>
      <c r="O740" s="239"/>
      <c r="R740" s="239"/>
      <c r="T740" s="240"/>
      <c r="X740" s="129"/>
      <c r="Y740" s="95"/>
    </row>
    <row r="741">
      <c r="L741" s="239"/>
      <c r="N741" s="239"/>
      <c r="O741" s="239"/>
      <c r="R741" s="239"/>
      <c r="T741" s="240"/>
      <c r="X741" s="129"/>
      <c r="Y741" s="95"/>
    </row>
    <row r="742">
      <c r="L742" s="239"/>
      <c r="N742" s="239"/>
      <c r="O742" s="239"/>
      <c r="R742" s="239"/>
      <c r="T742" s="240"/>
      <c r="X742" s="129"/>
      <c r="Y742" s="95"/>
    </row>
    <row r="743">
      <c r="L743" s="239"/>
      <c r="N743" s="239"/>
      <c r="O743" s="239"/>
      <c r="R743" s="239"/>
      <c r="T743" s="240"/>
      <c r="X743" s="129"/>
      <c r="Y743" s="95"/>
    </row>
    <row r="744">
      <c r="L744" s="239"/>
      <c r="N744" s="239"/>
      <c r="O744" s="239"/>
      <c r="R744" s="239"/>
      <c r="T744" s="240"/>
      <c r="X744" s="129"/>
      <c r="Y744" s="95"/>
    </row>
    <row r="745">
      <c r="L745" s="239"/>
      <c r="N745" s="239"/>
      <c r="O745" s="239"/>
      <c r="R745" s="239"/>
      <c r="T745" s="240"/>
      <c r="X745" s="129"/>
      <c r="Y745" s="95"/>
    </row>
    <row r="746">
      <c r="L746" s="239"/>
      <c r="N746" s="239"/>
      <c r="O746" s="239"/>
      <c r="R746" s="239"/>
      <c r="T746" s="240"/>
      <c r="X746" s="129"/>
      <c r="Y746" s="95"/>
    </row>
    <row r="747">
      <c r="L747" s="239"/>
      <c r="N747" s="239"/>
      <c r="O747" s="239"/>
      <c r="R747" s="239"/>
      <c r="T747" s="240"/>
      <c r="X747" s="129"/>
      <c r="Y747" s="95"/>
    </row>
    <row r="748">
      <c r="L748" s="239"/>
      <c r="N748" s="239"/>
      <c r="O748" s="239"/>
      <c r="R748" s="239"/>
      <c r="T748" s="240"/>
      <c r="X748" s="129"/>
      <c r="Y748" s="95"/>
    </row>
    <row r="749">
      <c r="L749" s="239"/>
      <c r="N749" s="239"/>
      <c r="O749" s="239"/>
      <c r="R749" s="239"/>
      <c r="T749" s="240"/>
      <c r="X749" s="129"/>
      <c r="Y749" s="95"/>
    </row>
    <row r="750">
      <c r="L750" s="239"/>
      <c r="N750" s="239"/>
      <c r="O750" s="239"/>
      <c r="R750" s="239"/>
      <c r="T750" s="240"/>
      <c r="X750" s="129"/>
      <c r="Y750" s="95"/>
    </row>
    <row r="751">
      <c r="L751" s="239"/>
      <c r="N751" s="239"/>
      <c r="O751" s="239"/>
      <c r="R751" s="239"/>
      <c r="T751" s="240"/>
      <c r="X751" s="129"/>
      <c r="Y751" s="95"/>
    </row>
    <row r="752">
      <c r="L752" s="239"/>
      <c r="N752" s="239"/>
      <c r="O752" s="239"/>
      <c r="R752" s="239"/>
      <c r="T752" s="240"/>
      <c r="X752" s="129"/>
      <c r="Y752" s="95"/>
    </row>
    <row r="753">
      <c r="L753" s="239"/>
      <c r="N753" s="239"/>
      <c r="O753" s="239"/>
      <c r="R753" s="239"/>
      <c r="T753" s="240"/>
      <c r="X753" s="129"/>
      <c r="Y753" s="95"/>
    </row>
    <row r="754">
      <c r="L754" s="239"/>
      <c r="N754" s="239"/>
      <c r="O754" s="239"/>
      <c r="R754" s="239"/>
      <c r="T754" s="240"/>
      <c r="X754" s="129"/>
      <c r="Y754" s="95"/>
    </row>
    <row r="755">
      <c r="L755" s="239"/>
      <c r="N755" s="239"/>
      <c r="O755" s="239"/>
      <c r="R755" s="239"/>
      <c r="T755" s="240"/>
      <c r="X755" s="129"/>
      <c r="Y755" s="95"/>
    </row>
    <row r="756">
      <c r="L756" s="239"/>
      <c r="N756" s="239"/>
      <c r="O756" s="239"/>
      <c r="R756" s="239"/>
      <c r="T756" s="240"/>
      <c r="X756" s="129"/>
      <c r="Y756" s="95"/>
    </row>
    <row r="757">
      <c r="L757" s="239"/>
      <c r="N757" s="239"/>
      <c r="O757" s="239"/>
      <c r="R757" s="239"/>
      <c r="T757" s="240"/>
      <c r="X757" s="129"/>
      <c r="Y757" s="95"/>
    </row>
    <row r="758">
      <c r="L758" s="239"/>
      <c r="N758" s="239"/>
      <c r="O758" s="239"/>
      <c r="R758" s="239"/>
      <c r="T758" s="240"/>
      <c r="X758" s="129"/>
      <c r="Y758" s="95"/>
    </row>
    <row r="759">
      <c r="L759" s="239"/>
      <c r="N759" s="239"/>
      <c r="O759" s="239"/>
      <c r="R759" s="239"/>
      <c r="T759" s="240"/>
      <c r="X759" s="129"/>
      <c r="Y759" s="95"/>
    </row>
    <row r="760">
      <c r="L760" s="239"/>
      <c r="N760" s="239"/>
      <c r="O760" s="239"/>
      <c r="R760" s="239"/>
      <c r="T760" s="240"/>
      <c r="X760" s="129"/>
      <c r="Y760" s="95"/>
    </row>
    <row r="761">
      <c r="L761" s="239"/>
      <c r="N761" s="239"/>
      <c r="O761" s="239"/>
      <c r="R761" s="239"/>
      <c r="T761" s="240"/>
      <c r="X761" s="129"/>
      <c r="Y761" s="95"/>
    </row>
    <row r="762">
      <c r="L762" s="239"/>
      <c r="N762" s="239"/>
      <c r="O762" s="239"/>
      <c r="R762" s="239"/>
      <c r="T762" s="240"/>
      <c r="X762" s="129"/>
      <c r="Y762" s="95"/>
    </row>
    <row r="763">
      <c r="L763" s="239"/>
      <c r="N763" s="239"/>
      <c r="O763" s="239"/>
      <c r="R763" s="239"/>
      <c r="T763" s="240"/>
      <c r="X763" s="129"/>
      <c r="Y763" s="95"/>
    </row>
    <row r="764">
      <c r="L764" s="239"/>
      <c r="N764" s="239"/>
      <c r="O764" s="239"/>
      <c r="R764" s="239"/>
      <c r="T764" s="240"/>
      <c r="X764" s="129"/>
      <c r="Y764" s="95"/>
    </row>
    <row r="765">
      <c r="L765" s="239"/>
      <c r="N765" s="239"/>
      <c r="O765" s="239"/>
      <c r="R765" s="239"/>
      <c r="T765" s="240"/>
      <c r="X765" s="129"/>
      <c r="Y765" s="95"/>
    </row>
    <row r="766">
      <c r="L766" s="239"/>
      <c r="N766" s="239"/>
      <c r="O766" s="239"/>
      <c r="R766" s="239"/>
      <c r="T766" s="240"/>
      <c r="X766" s="129"/>
      <c r="Y766" s="95"/>
    </row>
    <row r="767">
      <c r="L767" s="239"/>
      <c r="N767" s="239"/>
      <c r="O767" s="239"/>
      <c r="R767" s="239"/>
      <c r="T767" s="240"/>
      <c r="X767" s="129"/>
      <c r="Y767" s="95"/>
    </row>
    <row r="768">
      <c r="L768" s="239"/>
      <c r="N768" s="239"/>
      <c r="O768" s="239"/>
      <c r="R768" s="239"/>
      <c r="T768" s="240"/>
      <c r="X768" s="129"/>
      <c r="Y768" s="95"/>
    </row>
    <row r="769">
      <c r="L769" s="239"/>
      <c r="N769" s="239"/>
      <c r="O769" s="239"/>
      <c r="R769" s="239"/>
      <c r="T769" s="240"/>
      <c r="X769" s="129"/>
      <c r="Y769" s="95"/>
    </row>
    <row r="770">
      <c r="L770" s="239"/>
      <c r="N770" s="239"/>
      <c r="O770" s="239"/>
      <c r="R770" s="239"/>
      <c r="T770" s="240"/>
      <c r="X770" s="129"/>
      <c r="Y770" s="95"/>
    </row>
    <row r="771">
      <c r="L771" s="239"/>
      <c r="N771" s="239"/>
      <c r="O771" s="239"/>
      <c r="R771" s="239"/>
      <c r="T771" s="240"/>
      <c r="X771" s="129"/>
      <c r="Y771" s="95"/>
    </row>
    <row r="772">
      <c r="L772" s="239"/>
      <c r="N772" s="239"/>
      <c r="O772" s="239"/>
      <c r="R772" s="239"/>
      <c r="T772" s="240"/>
      <c r="X772" s="129"/>
      <c r="Y772" s="95"/>
    </row>
    <row r="773">
      <c r="L773" s="239"/>
      <c r="N773" s="239"/>
      <c r="O773" s="239"/>
      <c r="R773" s="239"/>
      <c r="T773" s="240"/>
      <c r="X773" s="129"/>
      <c r="Y773" s="95"/>
    </row>
    <row r="774">
      <c r="L774" s="239"/>
      <c r="N774" s="239"/>
      <c r="O774" s="239"/>
      <c r="R774" s="239"/>
      <c r="T774" s="240"/>
      <c r="X774" s="129"/>
      <c r="Y774" s="95"/>
    </row>
    <row r="775">
      <c r="L775" s="239"/>
      <c r="N775" s="239"/>
      <c r="O775" s="239"/>
      <c r="R775" s="239"/>
      <c r="T775" s="240"/>
      <c r="X775" s="129"/>
      <c r="Y775" s="95"/>
    </row>
    <row r="776">
      <c r="L776" s="239"/>
      <c r="N776" s="239"/>
      <c r="O776" s="239"/>
      <c r="R776" s="239"/>
      <c r="T776" s="240"/>
      <c r="X776" s="129"/>
      <c r="Y776" s="95"/>
    </row>
    <row r="777">
      <c r="L777" s="239"/>
      <c r="N777" s="239"/>
      <c r="O777" s="239"/>
      <c r="R777" s="239"/>
      <c r="T777" s="240"/>
      <c r="X777" s="129"/>
      <c r="Y777" s="95"/>
    </row>
    <row r="778">
      <c r="L778" s="239"/>
      <c r="N778" s="239"/>
      <c r="O778" s="239"/>
      <c r="R778" s="239"/>
      <c r="T778" s="240"/>
      <c r="X778" s="129"/>
      <c r="Y778" s="95"/>
    </row>
    <row r="779">
      <c r="L779" s="239"/>
      <c r="N779" s="239"/>
      <c r="O779" s="239"/>
      <c r="R779" s="239"/>
      <c r="T779" s="240"/>
      <c r="X779" s="129"/>
      <c r="Y779" s="95"/>
    </row>
    <row r="780">
      <c r="L780" s="239"/>
      <c r="N780" s="239"/>
      <c r="O780" s="239"/>
      <c r="R780" s="239"/>
      <c r="T780" s="240"/>
      <c r="X780" s="129"/>
      <c r="Y780" s="95"/>
    </row>
    <row r="781">
      <c r="L781" s="239"/>
      <c r="N781" s="239"/>
      <c r="O781" s="239"/>
      <c r="R781" s="239"/>
      <c r="T781" s="240"/>
      <c r="X781" s="129"/>
      <c r="Y781" s="95"/>
    </row>
    <row r="782">
      <c r="L782" s="239"/>
      <c r="N782" s="239"/>
      <c r="O782" s="239"/>
      <c r="R782" s="239"/>
      <c r="T782" s="240"/>
      <c r="X782" s="129"/>
      <c r="Y782" s="95"/>
    </row>
    <row r="783">
      <c r="L783" s="239"/>
      <c r="N783" s="239"/>
      <c r="O783" s="239"/>
      <c r="R783" s="239"/>
      <c r="T783" s="240"/>
      <c r="X783" s="129"/>
      <c r="Y783" s="95"/>
    </row>
    <row r="784">
      <c r="L784" s="239"/>
      <c r="N784" s="239"/>
      <c r="O784" s="239"/>
      <c r="R784" s="239"/>
      <c r="T784" s="240"/>
      <c r="X784" s="129"/>
      <c r="Y784" s="95"/>
    </row>
    <row r="785">
      <c r="L785" s="239"/>
      <c r="N785" s="239"/>
      <c r="O785" s="239"/>
      <c r="R785" s="239"/>
      <c r="T785" s="240"/>
      <c r="X785" s="129"/>
      <c r="Y785" s="95"/>
    </row>
    <row r="786">
      <c r="L786" s="239"/>
      <c r="N786" s="239"/>
      <c r="O786" s="239"/>
      <c r="R786" s="239"/>
      <c r="T786" s="240"/>
      <c r="X786" s="129"/>
      <c r="Y786" s="95"/>
    </row>
    <row r="787">
      <c r="L787" s="239"/>
      <c r="N787" s="239"/>
      <c r="O787" s="239"/>
      <c r="R787" s="239"/>
      <c r="T787" s="240"/>
      <c r="X787" s="129"/>
      <c r="Y787" s="95"/>
    </row>
    <row r="788">
      <c r="L788" s="239"/>
      <c r="N788" s="239"/>
      <c r="O788" s="239"/>
      <c r="R788" s="239"/>
      <c r="T788" s="240"/>
      <c r="X788" s="129"/>
      <c r="Y788" s="95"/>
    </row>
    <row r="789">
      <c r="L789" s="239"/>
      <c r="N789" s="239"/>
      <c r="O789" s="239"/>
      <c r="R789" s="239"/>
      <c r="T789" s="240"/>
      <c r="X789" s="129"/>
      <c r="Y789" s="95"/>
    </row>
    <row r="790">
      <c r="L790" s="239"/>
      <c r="N790" s="239"/>
      <c r="O790" s="239"/>
      <c r="R790" s="239"/>
      <c r="T790" s="240"/>
      <c r="X790" s="129"/>
      <c r="Y790" s="95"/>
    </row>
    <row r="791">
      <c r="L791" s="239"/>
      <c r="N791" s="239"/>
      <c r="O791" s="239"/>
      <c r="R791" s="239"/>
      <c r="T791" s="240"/>
      <c r="X791" s="129"/>
      <c r="Y791" s="95"/>
    </row>
    <row r="792">
      <c r="L792" s="239"/>
      <c r="N792" s="239"/>
      <c r="O792" s="239"/>
      <c r="R792" s="239"/>
      <c r="T792" s="240"/>
      <c r="X792" s="129"/>
      <c r="Y792" s="95"/>
    </row>
    <row r="793">
      <c r="L793" s="239"/>
      <c r="N793" s="239"/>
      <c r="O793" s="239"/>
      <c r="R793" s="239"/>
      <c r="T793" s="240"/>
      <c r="X793" s="129"/>
      <c r="Y793" s="95"/>
    </row>
    <row r="794">
      <c r="L794" s="239"/>
      <c r="N794" s="239"/>
      <c r="O794" s="239"/>
      <c r="R794" s="239"/>
      <c r="T794" s="240"/>
      <c r="X794" s="129"/>
      <c r="Y794" s="95"/>
    </row>
    <row r="795">
      <c r="L795" s="239"/>
      <c r="N795" s="239"/>
      <c r="O795" s="239"/>
      <c r="R795" s="239"/>
      <c r="T795" s="240"/>
      <c r="X795" s="129"/>
      <c r="Y795" s="95"/>
    </row>
    <row r="796">
      <c r="L796" s="239"/>
      <c r="N796" s="239"/>
      <c r="O796" s="239"/>
      <c r="R796" s="239"/>
      <c r="T796" s="240"/>
      <c r="X796" s="129"/>
      <c r="Y796" s="95"/>
    </row>
    <row r="797">
      <c r="L797" s="239"/>
      <c r="N797" s="239"/>
      <c r="O797" s="239"/>
      <c r="R797" s="239"/>
      <c r="T797" s="240"/>
      <c r="X797" s="129"/>
      <c r="Y797" s="95"/>
    </row>
    <row r="798">
      <c r="L798" s="239"/>
      <c r="N798" s="239"/>
      <c r="O798" s="239"/>
      <c r="R798" s="239"/>
      <c r="T798" s="240"/>
      <c r="X798" s="129"/>
      <c r="Y798" s="95"/>
    </row>
    <row r="799">
      <c r="L799" s="239"/>
      <c r="N799" s="239"/>
      <c r="O799" s="239"/>
      <c r="R799" s="239"/>
      <c r="T799" s="240"/>
      <c r="X799" s="129"/>
      <c r="Y799" s="95"/>
    </row>
    <row r="800">
      <c r="L800" s="239"/>
      <c r="N800" s="239"/>
      <c r="O800" s="239"/>
      <c r="R800" s="239"/>
      <c r="T800" s="240"/>
      <c r="X800" s="129"/>
      <c r="Y800" s="95"/>
    </row>
    <row r="801">
      <c r="L801" s="239"/>
      <c r="N801" s="239"/>
      <c r="O801" s="239"/>
      <c r="R801" s="239"/>
      <c r="T801" s="240"/>
      <c r="X801" s="129"/>
      <c r="Y801" s="95"/>
    </row>
    <row r="802">
      <c r="L802" s="239"/>
      <c r="N802" s="239"/>
      <c r="O802" s="239"/>
      <c r="R802" s="239"/>
      <c r="T802" s="240"/>
      <c r="X802" s="129"/>
      <c r="Y802" s="95"/>
    </row>
    <row r="803">
      <c r="L803" s="239"/>
      <c r="N803" s="239"/>
      <c r="O803" s="239"/>
      <c r="R803" s="239"/>
      <c r="T803" s="240"/>
      <c r="X803" s="129"/>
      <c r="Y803" s="95"/>
    </row>
    <row r="804">
      <c r="L804" s="239"/>
      <c r="N804" s="239"/>
      <c r="O804" s="239"/>
      <c r="R804" s="239"/>
      <c r="T804" s="240"/>
      <c r="X804" s="129"/>
      <c r="Y804" s="95"/>
    </row>
    <row r="805">
      <c r="L805" s="239"/>
      <c r="N805" s="239"/>
      <c r="O805" s="239"/>
      <c r="R805" s="239"/>
      <c r="T805" s="240"/>
      <c r="X805" s="129"/>
      <c r="Y805" s="95"/>
    </row>
    <row r="806">
      <c r="L806" s="239"/>
      <c r="N806" s="239"/>
      <c r="O806" s="239"/>
      <c r="R806" s="239"/>
      <c r="T806" s="240"/>
      <c r="X806" s="129"/>
      <c r="Y806" s="95"/>
    </row>
    <row r="807">
      <c r="L807" s="239"/>
      <c r="N807" s="239"/>
      <c r="O807" s="239"/>
      <c r="R807" s="239"/>
      <c r="T807" s="240"/>
      <c r="X807" s="129"/>
      <c r="Y807" s="95"/>
    </row>
    <row r="808">
      <c r="L808" s="239"/>
      <c r="N808" s="239"/>
      <c r="O808" s="239"/>
      <c r="R808" s="239"/>
      <c r="T808" s="240"/>
      <c r="X808" s="129"/>
      <c r="Y808" s="95"/>
    </row>
    <row r="809">
      <c r="L809" s="239"/>
      <c r="N809" s="239"/>
      <c r="O809" s="239"/>
      <c r="R809" s="239"/>
      <c r="T809" s="240"/>
      <c r="X809" s="129"/>
      <c r="Y809" s="95"/>
    </row>
    <row r="810">
      <c r="L810" s="239"/>
      <c r="N810" s="239"/>
      <c r="O810" s="239"/>
      <c r="R810" s="239"/>
      <c r="T810" s="240"/>
      <c r="X810" s="129"/>
      <c r="Y810" s="95"/>
    </row>
    <row r="811">
      <c r="L811" s="239"/>
      <c r="N811" s="239"/>
      <c r="O811" s="239"/>
      <c r="R811" s="239"/>
      <c r="T811" s="240"/>
      <c r="X811" s="129"/>
      <c r="Y811" s="95"/>
    </row>
    <row r="812">
      <c r="L812" s="239"/>
      <c r="N812" s="239"/>
      <c r="O812" s="239"/>
      <c r="R812" s="239"/>
      <c r="T812" s="240"/>
      <c r="X812" s="129"/>
      <c r="Y812" s="95"/>
    </row>
    <row r="813">
      <c r="L813" s="239"/>
      <c r="N813" s="239"/>
      <c r="O813" s="239"/>
      <c r="R813" s="239"/>
      <c r="T813" s="240"/>
      <c r="X813" s="129"/>
      <c r="Y813" s="95"/>
    </row>
    <row r="814">
      <c r="L814" s="239"/>
      <c r="N814" s="239"/>
      <c r="O814" s="239"/>
      <c r="R814" s="239"/>
      <c r="T814" s="240"/>
      <c r="X814" s="129"/>
      <c r="Y814" s="95"/>
    </row>
    <row r="815">
      <c r="L815" s="239"/>
      <c r="N815" s="239"/>
      <c r="O815" s="239"/>
      <c r="R815" s="239"/>
      <c r="T815" s="240"/>
      <c r="X815" s="129"/>
      <c r="Y815" s="95"/>
    </row>
    <row r="816">
      <c r="L816" s="239"/>
      <c r="N816" s="239"/>
      <c r="O816" s="239"/>
      <c r="R816" s="239"/>
      <c r="T816" s="240"/>
      <c r="X816" s="129"/>
      <c r="Y816" s="95"/>
    </row>
    <row r="817">
      <c r="L817" s="239"/>
      <c r="N817" s="239"/>
      <c r="O817" s="239"/>
      <c r="R817" s="239"/>
      <c r="T817" s="240"/>
      <c r="X817" s="129"/>
      <c r="Y817" s="95"/>
    </row>
    <row r="818">
      <c r="L818" s="239"/>
      <c r="N818" s="239"/>
      <c r="O818" s="239"/>
      <c r="R818" s="239"/>
      <c r="T818" s="240"/>
      <c r="X818" s="129"/>
      <c r="Y818" s="95"/>
    </row>
    <row r="819">
      <c r="L819" s="239"/>
      <c r="N819" s="239"/>
      <c r="O819" s="239"/>
      <c r="R819" s="239"/>
      <c r="T819" s="240"/>
      <c r="X819" s="129"/>
      <c r="Y819" s="95"/>
    </row>
    <row r="820">
      <c r="L820" s="239"/>
      <c r="N820" s="239"/>
      <c r="O820" s="239"/>
      <c r="R820" s="239"/>
      <c r="T820" s="240"/>
      <c r="X820" s="129"/>
      <c r="Y820" s="95"/>
    </row>
    <row r="821">
      <c r="L821" s="239"/>
      <c r="N821" s="239"/>
      <c r="O821" s="239"/>
      <c r="R821" s="239"/>
      <c r="T821" s="240"/>
      <c r="X821" s="129"/>
      <c r="Y821" s="95"/>
    </row>
    <row r="822">
      <c r="L822" s="239"/>
      <c r="N822" s="239"/>
      <c r="O822" s="239"/>
      <c r="R822" s="239"/>
      <c r="T822" s="240"/>
      <c r="X822" s="129"/>
      <c r="Y822" s="95"/>
    </row>
    <row r="823">
      <c r="L823" s="239"/>
      <c r="N823" s="239"/>
      <c r="O823" s="239"/>
      <c r="R823" s="239"/>
      <c r="T823" s="240"/>
      <c r="X823" s="129"/>
      <c r="Y823" s="95"/>
    </row>
    <row r="824">
      <c r="L824" s="239"/>
      <c r="N824" s="239"/>
      <c r="O824" s="239"/>
      <c r="R824" s="239"/>
      <c r="T824" s="240"/>
      <c r="X824" s="129"/>
      <c r="Y824" s="95"/>
    </row>
    <row r="825">
      <c r="L825" s="239"/>
      <c r="N825" s="239"/>
      <c r="O825" s="239"/>
      <c r="R825" s="239"/>
      <c r="T825" s="240"/>
      <c r="X825" s="129"/>
      <c r="Y825" s="95"/>
    </row>
    <row r="826">
      <c r="L826" s="239"/>
      <c r="N826" s="239"/>
      <c r="O826" s="239"/>
      <c r="R826" s="239"/>
      <c r="T826" s="240"/>
      <c r="X826" s="129"/>
      <c r="Y826" s="95"/>
    </row>
    <row r="827">
      <c r="L827" s="239"/>
      <c r="N827" s="239"/>
      <c r="O827" s="239"/>
      <c r="R827" s="239"/>
      <c r="T827" s="240"/>
      <c r="X827" s="129"/>
      <c r="Y827" s="95"/>
    </row>
    <row r="828">
      <c r="L828" s="239"/>
      <c r="N828" s="239"/>
      <c r="O828" s="239"/>
      <c r="R828" s="239"/>
      <c r="T828" s="240"/>
      <c r="X828" s="129"/>
      <c r="Y828" s="95"/>
    </row>
    <row r="829">
      <c r="L829" s="239"/>
      <c r="N829" s="239"/>
      <c r="O829" s="239"/>
      <c r="R829" s="239"/>
      <c r="T829" s="240"/>
      <c r="X829" s="129"/>
      <c r="Y829" s="95"/>
    </row>
    <row r="830">
      <c r="L830" s="239"/>
      <c r="N830" s="239"/>
      <c r="O830" s="239"/>
      <c r="R830" s="239"/>
      <c r="T830" s="240"/>
      <c r="X830" s="129"/>
      <c r="Y830" s="95"/>
    </row>
    <row r="831">
      <c r="L831" s="239"/>
      <c r="N831" s="239"/>
      <c r="O831" s="239"/>
      <c r="R831" s="239"/>
      <c r="T831" s="240"/>
      <c r="X831" s="129"/>
      <c r="Y831" s="95"/>
    </row>
    <row r="832">
      <c r="L832" s="239"/>
      <c r="N832" s="239"/>
      <c r="O832" s="239"/>
      <c r="R832" s="239"/>
      <c r="T832" s="240"/>
      <c r="X832" s="129"/>
      <c r="Y832" s="95"/>
    </row>
    <row r="833">
      <c r="L833" s="239"/>
      <c r="N833" s="239"/>
      <c r="O833" s="239"/>
      <c r="R833" s="239"/>
      <c r="T833" s="240"/>
      <c r="X833" s="129"/>
      <c r="Y833" s="95"/>
    </row>
    <row r="834">
      <c r="L834" s="239"/>
      <c r="N834" s="239"/>
      <c r="O834" s="239"/>
      <c r="R834" s="239"/>
      <c r="T834" s="240"/>
      <c r="X834" s="129"/>
      <c r="Y834" s="95"/>
    </row>
    <row r="835">
      <c r="L835" s="239"/>
      <c r="N835" s="239"/>
      <c r="O835" s="239"/>
      <c r="R835" s="239"/>
      <c r="T835" s="240"/>
      <c r="X835" s="129"/>
      <c r="Y835" s="95"/>
    </row>
    <row r="836">
      <c r="L836" s="239"/>
      <c r="N836" s="239"/>
      <c r="O836" s="239"/>
      <c r="R836" s="239"/>
      <c r="T836" s="240"/>
      <c r="X836" s="129"/>
      <c r="Y836" s="95"/>
    </row>
    <row r="837">
      <c r="L837" s="239"/>
      <c r="N837" s="239"/>
      <c r="O837" s="239"/>
      <c r="R837" s="239"/>
      <c r="T837" s="240"/>
      <c r="X837" s="129"/>
      <c r="Y837" s="95"/>
    </row>
    <row r="838">
      <c r="L838" s="239"/>
      <c r="N838" s="239"/>
      <c r="O838" s="239"/>
      <c r="R838" s="239"/>
      <c r="T838" s="240"/>
      <c r="X838" s="129"/>
      <c r="Y838" s="95"/>
    </row>
    <row r="839">
      <c r="L839" s="239"/>
      <c r="N839" s="239"/>
      <c r="O839" s="239"/>
      <c r="R839" s="239"/>
      <c r="T839" s="240"/>
      <c r="X839" s="129"/>
      <c r="Y839" s="95"/>
    </row>
    <row r="840">
      <c r="L840" s="239"/>
      <c r="N840" s="239"/>
      <c r="O840" s="239"/>
      <c r="R840" s="239"/>
      <c r="T840" s="240"/>
      <c r="X840" s="129"/>
      <c r="Y840" s="95"/>
    </row>
    <row r="841">
      <c r="L841" s="239"/>
      <c r="N841" s="239"/>
      <c r="O841" s="239"/>
      <c r="R841" s="239"/>
      <c r="T841" s="240"/>
      <c r="X841" s="129"/>
      <c r="Y841" s="95"/>
    </row>
    <row r="842">
      <c r="L842" s="239"/>
      <c r="N842" s="239"/>
      <c r="O842" s="239"/>
      <c r="R842" s="239"/>
      <c r="T842" s="240"/>
      <c r="X842" s="129"/>
      <c r="Y842" s="95"/>
    </row>
    <row r="843">
      <c r="L843" s="239"/>
      <c r="N843" s="239"/>
      <c r="O843" s="239"/>
      <c r="R843" s="239"/>
      <c r="T843" s="240"/>
      <c r="X843" s="129"/>
      <c r="Y843" s="95"/>
    </row>
    <row r="844">
      <c r="L844" s="239"/>
      <c r="N844" s="239"/>
      <c r="O844" s="239"/>
      <c r="R844" s="239"/>
      <c r="T844" s="240"/>
      <c r="X844" s="129"/>
      <c r="Y844" s="95"/>
    </row>
    <row r="845">
      <c r="L845" s="239"/>
      <c r="N845" s="239"/>
      <c r="O845" s="239"/>
      <c r="R845" s="239"/>
      <c r="T845" s="240"/>
      <c r="X845" s="129"/>
      <c r="Y845" s="95"/>
    </row>
    <row r="846">
      <c r="L846" s="239"/>
      <c r="N846" s="239"/>
      <c r="O846" s="239"/>
      <c r="R846" s="239"/>
      <c r="T846" s="240"/>
      <c r="X846" s="129"/>
      <c r="Y846" s="95"/>
    </row>
    <row r="847">
      <c r="L847" s="239"/>
      <c r="N847" s="239"/>
      <c r="O847" s="239"/>
      <c r="R847" s="239"/>
      <c r="T847" s="240"/>
      <c r="X847" s="129"/>
      <c r="Y847" s="95"/>
    </row>
    <row r="848">
      <c r="L848" s="239"/>
      <c r="N848" s="239"/>
      <c r="O848" s="239"/>
      <c r="R848" s="239"/>
      <c r="T848" s="240"/>
      <c r="X848" s="129"/>
      <c r="Y848" s="95"/>
    </row>
    <row r="849">
      <c r="L849" s="239"/>
      <c r="N849" s="239"/>
      <c r="O849" s="239"/>
      <c r="R849" s="239"/>
      <c r="T849" s="240"/>
      <c r="X849" s="129"/>
      <c r="Y849" s="95"/>
    </row>
    <row r="850">
      <c r="L850" s="239"/>
      <c r="N850" s="239"/>
      <c r="O850" s="239"/>
      <c r="R850" s="239"/>
      <c r="T850" s="240"/>
      <c r="X850" s="129"/>
      <c r="Y850" s="95"/>
    </row>
    <row r="851">
      <c r="L851" s="239"/>
      <c r="N851" s="239"/>
      <c r="O851" s="239"/>
      <c r="R851" s="239"/>
      <c r="T851" s="240"/>
      <c r="X851" s="129"/>
      <c r="Y851" s="95"/>
    </row>
    <row r="852">
      <c r="L852" s="239"/>
      <c r="N852" s="239"/>
      <c r="O852" s="239"/>
      <c r="R852" s="239"/>
      <c r="T852" s="240"/>
      <c r="X852" s="129"/>
      <c r="Y852" s="95"/>
    </row>
    <row r="853">
      <c r="L853" s="239"/>
      <c r="N853" s="239"/>
      <c r="O853" s="239"/>
      <c r="R853" s="239"/>
      <c r="T853" s="240"/>
      <c r="X853" s="129"/>
      <c r="Y853" s="95"/>
    </row>
    <row r="854">
      <c r="L854" s="239"/>
      <c r="N854" s="239"/>
      <c r="O854" s="239"/>
      <c r="R854" s="239"/>
      <c r="T854" s="240"/>
      <c r="X854" s="129"/>
      <c r="Y854" s="95"/>
    </row>
    <row r="855">
      <c r="L855" s="239"/>
      <c r="N855" s="239"/>
      <c r="O855" s="239"/>
      <c r="R855" s="239"/>
      <c r="T855" s="240"/>
      <c r="X855" s="129"/>
      <c r="Y855" s="95"/>
    </row>
    <row r="856">
      <c r="L856" s="239"/>
      <c r="N856" s="239"/>
      <c r="O856" s="239"/>
      <c r="R856" s="239"/>
      <c r="T856" s="240"/>
      <c r="X856" s="129"/>
      <c r="Y856" s="95"/>
    </row>
    <row r="857">
      <c r="L857" s="239"/>
      <c r="N857" s="239"/>
      <c r="O857" s="239"/>
      <c r="R857" s="239"/>
      <c r="T857" s="240"/>
      <c r="X857" s="129"/>
      <c r="Y857" s="95"/>
    </row>
    <row r="858">
      <c r="L858" s="239"/>
      <c r="N858" s="239"/>
      <c r="O858" s="239"/>
      <c r="R858" s="239"/>
      <c r="T858" s="240"/>
      <c r="X858" s="129"/>
      <c r="Y858" s="95"/>
    </row>
    <row r="859">
      <c r="L859" s="239"/>
      <c r="N859" s="239"/>
      <c r="O859" s="239"/>
      <c r="R859" s="239"/>
      <c r="T859" s="240"/>
      <c r="X859" s="129"/>
      <c r="Y859" s="95"/>
    </row>
    <row r="860">
      <c r="L860" s="239"/>
      <c r="N860" s="239"/>
      <c r="O860" s="239"/>
      <c r="R860" s="239"/>
      <c r="T860" s="240"/>
      <c r="X860" s="129"/>
      <c r="Y860" s="95"/>
    </row>
    <row r="861">
      <c r="L861" s="239"/>
      <c r="N861" s="239"/>
      <c r="O861" s="239"/>
      <c r="R861" s="239"/>
      <c r="T861" s="240"/>
      <c r="X861" s="129"/>
      <c r="Y861" s="95"/>
    </row>
    <row r="862">
      <c r="L862" s="239"/>
      <c r="N862" s="239"/>
      <c r="O862" s="239"/>
      <c r="R862" s="239"/>
      <c r="T862" s="240"/>
      <c r="X862" s="129"/>
      <c r="Y862" s="95"/>
    </row>
    <row r="863">
      <c r="L863" s="239"/>
      <c r="N863" s="239"/>
      <c r="O863" s="239"/>
      <c r="R863" s="239"/>
      <c r="T863" s="240"/>
      <c r="X863" s="129"/>
      <c r="Y863" s="95"/>
    </row>
    <row r="864">
      <c r="L864" s="239"/>
      <c r="N864" s="239"/>
      <c r="O864" s="239"/>
      <c r="R864" s="239"/>
      <c r="T864" s="240"/>
      <c r="X864" s="129"/>
      <c r="Y864" s="95"/>
    </row>
    <row r="865">
      <c r="L865" s="239"/>
      <c r="N865" s="239"/>
      <c r="O865" s="239"/>
      <c r="R865" s="239"/>
      <c r="T865" s="240"/>
      <c r="X865" s="129"/>
      <c r="Y865" s="95"/>
    </row>
    <row r="866">
      <c r="L866" s="239"/>
      <c r="N866" s="239"/>
      <c r="O866" s="239"/>
      <c r="R866" s="239"/>
      <c r="T866" s="240"/>
      <c r="X866" s="129"/>
      <c r="Y866" s="95"/>
    </row>
    <row r="867">
      <c r="L867" s="239"/>
      <c r="N867" s="239"/>
      <c r="O867" s="239"/>
      <c r="R867" s="239"/>
      <c r="T867" s="240"/>
      <c r="X867" s="129"/>
      <c r="Y867" s="95"/>
    </row>
    <row r="868">
      <c r="L868" s="239"/>
      <c r="N868" s="239"/>
      <c r="O868" s="239"/>
      <c r="R868" s="239"/>
      <c r="T868" s="240"/>
      <c r="X868" s="129"/>
      <c r="Y868" s="95"/>
    </row>
    <row r="869">
      <c r="L869" s="239"/>
      <c r="N869" s="239"/>
      <c r="O869" s="239"/>
      <c r="R869" s="239"/>
      <c r="T869" s="240"/>
      <c r="X869" s="129"/>
      <c r="Y869" s="95"/>
    </row>
    <row r="870">
      <c r="L870" s="239"/>
      <c r="N870" s="239"/>
      <c r="O870" s="239"/>
      <c r="R870" s="239"/>
      <c r="T870" s="240"/>
      <c r="X870" s="129"/>
      <c r="Y870" s="95"/>
    </row>
    <row r="871">
      <c r="L871" s="239"/>
      <c r="N871" s="239"/>
      <c r="O871" s="239"/>
      <c r="R871" s="239"/>
      <c r="T871" s="240"/>
      <c r="X871" s="129"/>
      <c r="Y871" s="95"/>
    </row>
    <row r="872">
      <c r="L872" s="239"/>
      <c r="N872" s="239"/>
      <c r="O872" s="239"/>
      <c r="R872" s="239"/>
      <c r="T872" s="240"/>
      <c r="X872" s="129"/>
      <c r="Y872" s="95"/>
    </row>
    <row r="873">
      <c r="L873" s="239"/>
      <c r="N873" s="239"/>
      <c r="O873" s="239"/>
      <c r="R873" s="239"/>
      <c r="T873" s="240"/>
      <c r="X873" s="129"/>
      <c r="Y873" s="95"/>
    </row>
    <row r="874">
      <c r="L874" s="239"/>
      <c r="N874" s="239"/>
      <c r="O874" s="239"/>
      <c r="R874" s="239"/>
      <c r="T874" s="240"/>
      <c r="X874" s="129"/>
      <c r="Y874" s="95"/>
    </row>
    <row r="875">
      <c r="L875" s="239"/>
      <c r="N875" s="239"/>
      <c r="O875" s="239"/>
      <c r="R875" s="239"/>
      <c r="T875" s="240"/>
      <c r="X875" s="129"/>
      <c r="Y875" s="95"/>
    </row>
    <row r="876">
      <c r="L876" s="239"/>
      <c r="N876" s="239"/>
      <c r="O876" s="239"/>
      <c r="R876" s="239"/>
      <c r="T876" s="240"/>
      <c r="X876" s="129"/>
      <c r="Y876" s="95"/>
    </row>
    <row r="877">
      <c r="L877" s="239"/>
      <c r="N877" s="239"/>
      <c r="O877" s="239"/>
      <c r="R877" s="239"/>
      <c r="T877" s="240"/>
      <c r="X877" s="129"/>
      <c r="Y877" s="95"/>
    </row>
    <row r="878">
      <c r="L878" s="239"/>
      <c r="N878" s="239"/>
      <c r="O878" s="239"/>
      <c r="R878" s="239"/>
      <c r="T878" s="240"/>
      <c r="X878" s="129"/>
      <c r="Y878" s="95"/>
    </row>
    <row r="879">
      <c r="L879" s="239"/>
      <c r="N879" s="239"/>
      <c r="O879" s="239"/>
      <c r="R879" s="239"/>
      <c r="T879" s="240"/>
      <c r="X879" s="129"/>
      <c r="Y879" s="95"/>
    </row>
    <row r="880">
      <c r="L880" s="239"/>
      <c r="N880" s="239"/>
      <c r="O880" s="239"/>
      <c r="R880" s="239"/>
      <c r="T880" s="240"/>
      <c r="X880" s="129"/>
      <c r="Y880" s="95"/>
    </row>
    <row r="881">
      <c r="L881" s="239"/>
      <c r="N881" s="239"/>
      <c r="O881" s="239"/>
      <c r="R881" s="239"/>
      <c r="T881" s="240"/>
      <c r="X881" s="129"/>
      <c r="Y881" s="95"/>
    </row>
    <row r="882">
      <c r="L882" s="239"/>
      <c r="N882" s="239"/>
      <c r="O882" s="239"/>
      <c r="R882" s="239"/>
      <c r="T882" s="240"/>
      <c r="X882" s="129"/>
      <c r="Y882" s="95"/>
    </row>
    <row r="883">
      <c r="L883" s="239"/>
      <c r="N883" s="239"/>
      <c r="O883" s="239"/>
      <c r="R883" s="239"/>
      <c r="T883" s="240"/>
      <c r="X883" s="129"/>
      <c r="Y883" s="95"/>
    </row>
    <row r="884">
      <c r="L884" s="239"/>
      <c r="N884" s="239"/>
      <c r="O884" s="239"/>
      <c r="R884" s="239"/>
      <c r="T884" s="240"/>
      <c r="X884" s="129"/>
      <c r="Y884" s="95"/>
    </row>
    <row r="885">
      <c r="L885" s="239"/>
      <c r="N885" s="239"/>
      <c r="O885" s="239"/>
      <c r="R885" s="239"/>
      <c r="T885" s="240"/>
      <c r="X885" s="129"/>
      <c r="Y885" s="95"/>
    </row>
    <row r="886">
      <c r="L886" s="239"/>
      <c r="N886" s="239"/>
      <c r="O886" s="239"/>
      <c r="R886" s="239"/>
      <c r="T886" s="240"/>
      <c r="X886" s="129"/>
      <c r="Y886" s="95"/>
    </row>
    <row r="887">
      <c r="L887" s="239"/>
      <c r="N887" s="239"/>
      <c r="O887" s="239"/>
      <c r="R887" s="239"/>
      <c r="T887" s="240"/>
      <c r="X887" s="129"/>
      <c r="Y887" s="95"/>
    </row>
    <row r="888">
      <c r="L888" s="239"/>
      <c r="N888" s="239"/>
      <c r="O888" s="239"/>
      <c r="R888" s="239"/>
      <c r="T888" s="240"/>
      <c r="X888" s="129"/>
      <c r="Y888" s="95"/>
    </row>
    <row r="889">
      <c r="L889" s="239"/>
      <c r="N889" s="239"/>
      <c r="O889" s="239"/>
      <c r="R889" s="239"/>
      <c r="T889" s="240"/>
      <c r="X889" s="129"/>
      <c r="Y889" s="95"/>
    </row>
    <row r="890">
      <c r="L890" s="239"/>
      <c r="N890" s="239"/>
      <c r="O890" s="239"/>
      <c r="R890" s="239"/>
      <c r="T890" s="240"/>
      <c r="X890" s="129"/>
      <c r="Y890" s="95"/>
    </row>
    <row r="891">
      <c r="L891" s="239"/>
      <c r="N891" s="239"/>
      <c r="O891" s="239"/>
      <c r="R891" s="239"/>
      <c r="T891" s="240"/>
      <c r="X891" s="129"/>
      <c r="Y891" s="95"/>
    </row>
    <row r="892">
      <c r="L892" s="239"/>
      <c r="N892" s="239"/>
      <c r="O892" s="239"/>
      <c r="R892" s="239"/>
      <c r="T892" s="240"/>
      <c r="X892" s="129"/>
      <c r="Y892" s="95"/>
    </row>
    <row r="893">
      <c r="L893" s="239"/>
      <c r="N893" s="239"/>
      <c r="O893" s="239"/>
      <c r="R893" s="239"/>
      <c r="T893" s="240"/>
      <c r="X893" s="129"/>
      <c r="Y893" s="95"/>
    </row>
    <row r="894">
      <c r="L894" s="239"/>
      <c r="N894" s="239"/>
      <c r="O894" s="239"/>
      <c r="R894" s="239"/>
      <c r="T894" s="240"/>
      <c r="X894" s="129"/>
      <c r="Y894" s="95"/>
    </row>
    <row r="895">
      <c r="L895" s="239"/>
      <c r="N895" s="239"/>
      <c r="O895" s="239"/>
      <c r="R895" s="239"/>
      <c r="T895" s="240"/>
      <c r="X895" s="129"/>
      <c r="Y895" s="95"/>
    </row>
    <row r="896">
      <c r="L896" s="239"/>
      <c r="N896" s="239"/>
      <c r="O896" s="239"/>
      <c r="R896" s="239"/>
      <c r="T896" s="240"/>
      <c r="X896" s="129"/>
      <c r="Y896" s="95"/>
    </row>
    <row r="897">
      <c r="L897" s="239"/>
      <c r="N897" s="239"/>
      <c r="O897" s="239"/>
      <c r="R897" s="239"/>
      <c r="T897" s="240"/>
      <c r="X897" s="129"/>
      <c r="Y897" s="95"/>
    </row>
    <row r="898">
      <c r="L898" s="239"/>
      <c r="N898" s="239"/>
      <c r="O898" s="239"/>
      <c r="R898" s="239"/>
      <c r="T898" s="240"/>
      <c r="X898" s="129"/>
      <c r="Y898" s="95"/>
    </row>
    <row r="899">
      <c r="L899" s="239"/>
      <c r="N899" s="239"/>
      <c r="O899" s="239"/>
      <c r="R899" s="239"/>
      <c r="T899" s="240"/>
      <c r="X899" s="129"/>
      <c r="Y899" s="95"/>
    </row>
    <row r="900">
      <c r="L900" s="239"/>
      <c r="N900" s="239"/>
      <c r="O900" s="239"/>
      <c r="R900" s="239"/>
      <c r="T900" s="240"/>
      <c r="X900" s="129"/>
      <c r="Y900" s="95"/>
    </row>
    <row r="901">
      <c r="L901" s="239"/>
      <c r="N901" s="239"/>
      <c r="O901" s="239"/>
      <c r="R901" s="239"/>
      <c r="T901" s="240"/>
      <c r="X901" s="129"/>
      <c r="Y901" s="95"/>
    </row>
    <row r="902">
      <c r="L902" s="239"/>
      <c r="N902" s="239"/>
      <c r="O902" s="239"/>
      <c r="R902" s="239"/>
      <c r="T902" s="240"/>
      <c r="X902" s="129"/>
      <c r="Y902" s="95"/>
    </row>
    <row r="903">
      <c r="L903" s="239"/>
      <c r="N903" s="239"/>
      <c r="O903" s="239"/>
      <c r="R903" s="239"/>
      <c r="T903" s="240"/>
      <c r="X903" s="129"/>
      <c r="Y903" s="95"/>
    </row>
    <row r="904">
      <c r="L904" s="239"/>
      <c r="N904" s="239"/>
      <c r="O904" s="239"/>
      <c r="R904" s="239"/>
      <c r="T904" s="240"/>
      <c r="X904" s="129"/>
      <c r="Y904" s="95"/>
    </row>
    <row r="905">
      <c r="L905" s="239"/>
      <c r="N905" s="239"/>
      <c r="O905" s="239"/>
      <c r="R905" s="239"/>
      <c r="T905" s="240"/>
      <c r="X905" s="129"/>
      <c r="Y905" s="95"/>
    </row>
    <row r="906">
      <c r="L906" s="239"/>
      <c r="N906" s="239"/>
      <c r="O906" s="239"/>
      <c r="R906" s="239"/>
      <c r="T906" s="240"/>
      <c r="X906" s="129"/>
      <c r="Y906" s="95"/>
    </row>
    <row r="907">
      <c r="L907" s="239"/>
      <c r="N907" s="239"/>
      <c r="O907" s="239"/>
      <c r="R907" s="239"/>
      <c r="T907" s="240"/>
      <c r="X907" s="129"/>
      <c r="Y907" s="95"/>
    </row>
    <row r="908">
      <c r="L908" s="239"/>
      <c r="N908" s="239"/>
      <c r="O908" s="239"/>
      <c r="R908" s="239"/>
      <c r="T908" s="240"/>
      <c r="X908" s="129"/>
      <c r="Y908" s="95"/>
    </row>
    <row r="909">
      <c r="L909" s="239"/>
      <c r="N909" s="239"/>
      <c r="O909" s="239"/>
      <c r="R909" s="239"/>
      <c r="T909" s="240"/>
      <c r="X909" s="129"/>
      <c r="Y909" s="95"/>
    </row>
    <row r="910">
      <c r="L910" s="239"/>
      <c r="N910" s="239"/>
      <c r="O910" s="239"/>
      <c r="R910" s="239"/>
      <c r="T910" s="240"/>
      <c r="X910" s="129"/>
      <c r="Y910" s="95"/>
    </row>
    <row r="911">
      <c r="L911" s="239"/>
      <c r="N911" s="239"/>
      <c r="O911" s="239"/>
      <c r="R911" s="239"/>
      <c r="T911" s="240"/>
      <c r="X911" s="129"/>
      <c r="Y911" s="95"/>
    </row>
    <row r="912">
      <c r="L912" s="239"/>
      <c r="N912" s="239"/>
      <c r="O912" s="239"/>
      <c r="R912" s="239"/>
      <c r="T912" s="240"/>
      <c r="X912" s="129"/>
      <c r="Y912" s="95"/>
    </row>
    <row r="913">
      <c r="L913" s="239"/>
      <c r="N913" s="239"/>
      <c r="O913" s="239"/>
      <c r="R913" s="239"/>
      <c r="T913" s="240"/>
      <c r="X913" s="129"/>
      <c r="Y913" s="95"/>
    </row>
    <row r="914">
      <c r="L914" s="239"/>
      <c r="N914" s="239"/>
      <c r="O914" s="239"/>
      <c r="R914" s="239"/>
      <c r="T914" s="240"/>
      <c r="X914" s="129"/>
      <c r="Y914" s="95"/>
    </row>
    <row r="915">
      <c r="L915" s="239"/>
      <c r="N915" s="239"/>
      <c r="O915" s="239"/>
      <c r="R915" s="239"/>
      <c r="T915" s="240"/>
      <c r="X915" s="129"/>
      <c r="Y915" s="95"/>
    </row>
    <row r="916">
      <c r="L916" s="239"/>
      <c r="N916" s="239"/>
      <c r="O916" s="239"/>
      <c r="R916" s="239"/>
      <c r="T916" s="240"/>
      <c r="X916" s="129"/>
      <c r="Y916" s="95"/>
    </row>
    <row r="917">
      <c r="L917" s="239"/>
      <c r="N917" s="239"/>
      <c r="O917" s="239"/>
      <c r="R917" s="239"/>
      <c r="T917" s="240"/>
      <c r="X917" s="129"/>
      <c r="Y917" s="95"/>
    </row>
    <row r="918">
      <c r="L918" s="239"/>
      <c r="N918" s="239"/>
      <c r="O918" s="239"/>
      <c r="R918" s="239"/>
      <c r="T918" s="240"/>
      <c r="X918" s="129"/>
      <c r="Y918" s="95"/>
    </row>
    <row r="919">
      <c r="L919" s="239"/>
      <c r="N919" s="239"/>
      <c r="O919" s="239"/>
      <c r="R919" s="239"/>
      <c r="T919" s="240"/>
      <c r="X919" s="129"/>
      <c r="Y919" s="95"/>
    </row>
    <row r="920">
      <c r="L920" s="239"/>
      <c r="N920" s="239"/>
      <c r="O920" s="239"/>
      <c r="R920" s="239"/>
      <c r="T920" s="240"/>
      <c r="X920" s="129"/>
      <c r="Y920" s="95"/>
    </row>
    <row r="921">
      <c r="L921" s="239"/>
      <c r="N921" s="239"/>
      <c r="O921" s="239"/>
      <c r="R921" s="239"/>
      <c r="T921" s="240"/>
      <c r="X921" s="129"/>
      <c r="Y921" s="95"/>
    </row>
    <row r="922">
      <c r="L922" s="239"/>
      <c r="N922" s="239"/>
      <c r="O922" s="239"/>
      <c r="R922" s="239"/>
      <c r="T922" s="240"/>
      <c r="X922" s="129"/>
      <c r="Y922" s="95"/>
    </row>
    <row r="923">
      <c r="L923" s="239"/>
      <c r="N923" s="239"/>
      <c r="O923" s="239"/>
      <c r="R923" s="239"/>
      <c r="T923" s="240"/>
      <c r="X923" s="129"/>
      <c r="Y923" s="95"/>
    </row>
    <row r="924">
      <c r="L924" s="239"/>
      <c r="N924" s="239"/>
      <c r="O924" s="239"/>
      <c r="R924" s="239"/>
      <c r="T924" s="240"/>
      <c r="X924" s="129"/>
      <c r="Y924" s="95"/>
    </row>
    <row r="925">
      <c r="L925" s="239"/>
      <c r="N925" s="239"/>
      <c r="O925" s="239"/>
      <c r="R925" s="239"/>
      <c r="T925" s="240"/>
      <c r="X925" s="129"/>
      <c r="Y925" s="95"/>
    </row>
    <row r="926">
      <c r="L926" s="239"/>
      <c r="N926" s="239"/>
      <c r="O926" s="239"/>
      <c r="R926" s="239"/>
      <c r="T926" s="240"/>
      <c r="X926" s="129"/>
      <c r="Y926" s="95"/>
    </row>
    <row r="927">
      <c r="L927" s="239"/>
      <c r="N927" s="239"/>
      <c r="O927" s="239"/>
      <c r="R927" s="239"/>
      <c r="T927" s="240"/>
      <c r="X927" s="129"/>
      <c r="Y927" s="95"/>
    </row>
    <row r="928">
      <c r="L928" s="239"/>
      <c r="N928" s="239"/>
      <c r="O928" s="239"/>
      <c r="R928" s="239"/>
      <c r="T928" s="240"/>
      <c r="X928" s="129"/>
      <c r="Y928" s="95"/>
    </row>
    <row r="929">
      <c r="L929" s="239"/>
      <c r="N929" s="239"/>
      <c r="O929" s="239"/>
      <c r="R929" s="239"/>
      <c r="T929" s="240"/>
      <c r="X929" s="129"/>
      <c r="Y929" s="95"/>
    </row>
    <row r="930">
      <c r="L930" s="239"/>
      <c r="N930" s="239"/>
      <c r="O930" s="239"/>
      <c r="R930" s="239"/>
      <c r="T930" s="240"/>
      <c r="X930" s="129"/>
      <c r="Y930" s="95"/>
    </row>
    <row r="931">
      <c r="L931" s="239"/>
      <c r="N931" s="239"/>
      <c r="O931" s="239"/>
      <c r="R931" s="239"/>
      <c r="T931" s="240"/>
      <c r="X931" s="129"/>
      <c r="Y931" s="95"/>
    </row>
    <row r="932">
      <c r="L932" s="239"/>
      <c r="N932" s="239"/>
      <c r="O932" s="239"/>
      <c r="R932" s="239"/>
      <c r="T932" s="240"/>
      <c r="X932" s="129"/>
      <c r="Y932" s="95"/>
    </row>
    <row r="933">
      <c r="L933" s="239"/>
      <c r="N933" s="239"/>
      <c r="O933" s="239"/>
      <c r="R933" s="239"/>
      <c r="T933" s="240"/>
      <c r="X933" s="129"/>
      <c r="Y933" s="95"/>
    </row>
    <row r="934">
      <c r="L934" s="239"/>
      <c r="N934" s="239"/>
      <c r="O934" s="239"/>
      <c r="R934" s="239"/>
      <c r="T934" s="240"/>
      <c r="X934" s="129"/>
      <c r="Y934" s="95"/>
    </row>
    <row r="935">
      <c r="L935" s="239"/>
      <c r="N935" s="239"/>
      <c r="O935" s="239"/>
      <c r="R935" s="239"/>
      <c r="T935" s="240"/>
      <c r="X935" s="129"/>
      <c r="Y935" s="95"/>
    </row>
    <row r="936">
      <c r="L936" s="239"/>
      <c r="N936" s="239"/>
      <c r="O936" s="239"/>
      <c r="R936" s="239"/>
      <c r="T936" s="240"/>
      <c r="X936" s="129"/>
      <c r="Y936" s="95"/>
    </row>
    <row r="937">
      <c r="L937" s="239"/>
      <c r="N937" s="239"/>
      <c r="O937" s="239"/>
      <c r="R937" s="239"/>
      <c r="T937" s="240"/>
      <c r="X937" s="129"/>
      <c r="Y937" s="95"/>
    </row>
    <row r="938">
      <c r="L938" s="239"/>
      <c r="N938" s="239"/>
      <c r="O938" s="239"/>
      <c r="R938" s="239"/>
      <c r="T938" s="240"/>
      <c r="X938" s="129"/>
      <c r="Y938" s="95"/>
    </row>
    <row r="939">
      <c r="L939" s="239"/>
      <c r="N939" s="239"/>
      <c r="O939" s="239"/>
      <c r="R939" s="239"/>
      <c r="T939" s="240"/>
      <c r="X939" s="129"/>
      <c r="Y939" s="95"/>
    </row>
    <row r="940">
      <c r="L940" s="239"/>
      <c r="N940" s="239"/>
      <c r="O940" s="239"/>
      <c r="R940" s="239"/>
      <c r="T940" s="240"/>
      <c r="X940" s="129"/>
      <c r="Y940" s="95"/>
    </row>
    <row r="941">
      <c r="L941" s="239"/>
      <c r="N941" s="239"/>
      <c r="O941" s="239"/>
      <c r="R941" s="239"/>
      <c r="T941" s="240"/>
      <c r="X941" s="129"/>
      <c r="Y941" s="95"/>
    </row>
    <row r="942">
      <c r="L942" s="239"/>
      <c r="N942" s="239"/>
      <c r="O942" s="239"/>
      <c r="R942" s="239"/>
      <c r="T942" s="240"/>
      <c r="X942" s="129"/>
      <c r="Y942" s="95"/>
    </row>
    <row r="943">
      <c r="L943" s="239"/>
      <c r="N943" s="239"/>
      <c r="O943" s="239"/>
      <c r="R943" s="239"/>
      <c r="T943" s="240"/>
      <c r="X943" s="129"/>
      <c r="Y943" s="95"/>
    </row>
    <row r="944">
      <c r="L944" s="239"/>
      <c r="N944" s="239"/>
      <c r="O944" s="239"/>
      <c r="R944" s="239"/>
      <c r="T944" s="240"/>
      <c r="X944" s="129"/>
      <c r="Y944" s="95"/>
    </row>
    <row r="945">
      <c r="L945" s="239"/>
      <c r="N945" s="239"/>
      <c r="O945" s="239"/>
      <c r="R945" s="239"/>
      <c r="T945" s="240"/>
      <c r="X945" s="129"/>
      <c r="Y945" s="95"/>
    </row>
    <row r="946">
      <c r="L946" s="239"/>
      <c r="N946" s="239"/>
      <c r="O946" s="239"/>
      <c r="R946" s="239"/>
      <c r="T946" s="240"/>
      <c r="X946" s="129"/>
      <c r="Y946" s="95"/>
    </row>
    <row r="947">
      <c r="L947" s="239"/>
      <c r="N947" s="239"/>
      <c r="O947" s="239"/>
      <c r="R947" s="239"/>
      <c r="T947" s="240"/>
      <c r="X947" s="129"/>
      <c r="Y947" s="95"/>
    </row>
    <row r="948">
      <c r="L948" s="239"/>
      <c r="N948" s="239"/>
      <c r="O948" s="239"/>
      <c r="R948" s="239"/>
      <c r="T948" s="240"/>
      <c r="X948" s="129"/>
      <c r="Y948" s="95"/>
    </row>
    <row r="949">
      <c r="L949" s="239"/>
      <c r="N949" s="239"/>
      <c r="O949" s="239"/>
      <c r="R949" s="239"/>
      <c r="T949" s="240"/>
      <c r="X949" s="129"/>
      <c r="Y949" s="95"/>
    </row>
    <row r="950">
      <c r="L950" s="239"/>
      <c r="N950" s="239"/>
      <c r="O950" s="239"/>
      <c r="R950" s="239"/>
      <c r="T950" s="240"/>
      <c r="X950" s="129"/>
      <c r="Y950" s="95"/>
    </row>
    <row r="951">
      <c r="L951" s="239"/>
      <c r="N951" s="239"/>
      <c r="O951" s="239"/>
      <c r="R951" s="239"/>
      <c r="T951" s="240"/>
      <c r="X951" s="129"/>
      <c r="Y951" s="95"/>
    </row>
    <row r="952">
      <c r="L952" s="239"/>
      <c r="N952" s="239"/>
      <c r="O952" s="239"/>
      <c r="R952" s="239"/>
      <c r="T952" s="240"/>
      <c r="X952" s="129"/>
      <c r="Y952" s="95"/>
    </row>
    <row r="953">
      <c r="L953" s="239"/>
      <c r="N953" s="239"/>
      <c r="O953" s="239"/>
      <c r="R953" s="239"/>
      <c r="T953" s="240"/>
      <c r="X953" s="129"/>
      <c r="Y953" s="95"/>
    </row>
    <row r="954">
      <c r="L954" s="239"/>
      <c r="N954" s="239"/>
      <c r="O954" s="239"/>
      <c r="R954" s="239"/>
      <c r="T954" s="240"/>
      <c r="X954" s="129"/>
      <c r="Y954" s="95"/>
    </row>
    <row r="955">
      <c r="L955" s="239"/>
      <c r="N955" s="239"/>
      <c r="O955" s="239"/>
      <c r="R955" s="239"/>
      <c r="T955" s="240"/>
      <c r="X955" s="129"/>
      <c r="Y955" s="95"/>
    </row>
    <row r="956">
      <c r="L956" s="239"/>
      <c r="N956" s="239"/>
      <c r="O956" s="239"/>
      <c r="R956" s="239"/>
      <c r="T956" s="240"/>
      <c r="X956" s="129"/>
      <c r="Y956" s="95"/>
    </row>
    <row r="957">
      <c r="L957" s="239"/>
      <c r="N957" s="239"/>
      <c r="O957" s="239"/>
      <c r="R957" s="239"/>
      <c r="T957" s="240"/>
      <c r="X957" s="129"/>
      <c r="Y957" s="95"/>
    </row>
    <row r="958">
      <c r="L958" s="239"/>
      <c r="N958" s="239"/>
      <c r="O958" s="239"/>
      <c r="R958" s="239"/>
      <c r="T958" s="240"/>
      <c r="X958" s="129"/>
      <c r="Y958" s="95"/>
    </row>
    <row r="959">
      <c r="L959" s="239"/>
      <c r="N959" s="239"/>
      <c r="O959" s="239"/>
      <c r="R959" s="239"/>
      <c r="T959" s="240"/>
      <c r="X959" s="129"/>
      <c r="Y959" s="95"/>
    </row>
    <row r="960">
      <c r="L960" s="239"/>
      <c r="N960" s="239"/>
      <c r="O960" s="239"/>
      <c r="R960" s="239"/>
      <c r="T960" s="240"/>
      <c r="X960" s="129"/>
      <c r="Y960" s="95"/>
    </row>
    <row r="961">
      <c r="L961" s="239"/>
      <c r="N961" s="239"/>
      <c r="O961" s="239"/>
      <c r="R961" s="239"/>
      <c r="T961" s="240"/>
      <c r="X961" s="129"/>
      <c r="Y961" s="95"/>
    </row>
    <row r="962">
      <c r="L962" s="239"/>
      <c r="N962" s="239"/>
      <c r="O962" s="239"/>
      <c r="R962" s="239"/>
      <c r="T962" s="240"/>
      <c r="X962" s="129"/>
      <c r="Y962" s="95"/>
    </row>
    <row r="963">
      <c r="L963" s="239"/>
      <c r="N963" s="239"/>
      <c r="O963" s="239"/>
      <c r="R963" s="239"/>
      <c r="T963" s="240"/>
      <c r="X963" s="129"/>
      <c r="Y963" s="95"/>
    </row>
    <row r="964">
      <c r="L964" s="239"/>
      <c r="N964" s="239"/>
      <c r="O964" s="239"/>
      <c r="R964" s="239"/>
      <c r="T964" s="240"/>
      <c r="X964" s="129"/>
      <c r="Y964" s="95"/>
    </row>
    <row r="965">
      <c r="L965" s="239"/>
      <c r="N965" s="239"/>
      <c r="O965" s="239"/>
      <c r="R965" s="239"/>
      <c r="T965" s="240"/>
      <c r="X965" s="129"/>
      <c r="Y965" s="95"/>
    </row>
    <row r="966">
      <c r="L966" s="239"/>
      <c r="N966" s="239"/>
      <c r="O966" s="239"/>
      <c r="R966" s="239"/>
      <c r="T966" s="240"/>
      <c r="X966" s="129"/>
      <c r="Y966" s="95"/>
    </row>
    <row r="967">
      <c r="L967" s="239"/>
      <c r="N967" s="239"/>
      <c r="O967" s="239"/>
      <c r="R967" s="239"/>
      <c r="T967" s="240"/>
      <c r="X967" s="129"/>
      <c r="Y967" s="95"/>
    </row>
    <row r="968">
      <c r="L968" s="239"/>
      <c r="N968" s="239"/>
      <c r="O968" s="239"/>
      <c r="R968" s="239"/>
      <c r="T968" s="240"/>
      <c r="X968" s="129"/>
      <c r="Y968" s="95"/>
    </row>
    <row r="969">
      <c r="L969" s="239"/>
      <c r="N969" s="239"/>
      <c r="O969" s="239"/>
      <c r="R969" s="239"/>
      <c r="T969" s="240"/>
      <c r="X969" s="129"/>
      <c r="Y969" s="95"/>
    </row>
    <row r="970">
      <c r="L970" s="239"/>
      <c r="N970" s="239"/>
      <c r="O970" s="239"/>
      <c r="R970" s="239"/>
      <c r="T970" s="240"/>
      <c r="X970" s="129"/>
      <c r="Y970" s="95"/>
    </row>
    <row r="971">
      <c r="L971" s="239"/>
      <c r="N971" s="239"/>
      <c r="O971" s="239"/>
      <c r="R971" s="239"/>
      <c r="T971" s="240"/>
      <c r="X971" s="129"/>
      <c r="Y971" s="95"/>
    </row>
    <row r="972">
      <c r="L972" s="239"/>
      <c r="N972" s="239"/>
      <c r="O972" s="239"/>
      <c r="R972" s="239"/>
      <c r="T972" s="240"/>
      <c r="X972" s="129"/>
      <c r="Y972" s="95"/>
    </row>
    <row r="973">
      <c r="L973" s="239"/>
      <c r="N973" s="239"/>
      <c r="O973" s="239"/>
      <c r="R973" s="239"/>
      <c r="T973" s="240"/>
      <c r="X973" s="129"/>
      <c r="Y973" s="95"/>
    </row>
    <row r="974">
      <c r="L974" s="239"/>
      <c r="N974" s="239"/>
      <c r="O974" s="239"/>
      <c r="R974" s="239"/>
      <c r="T974" s="240"/>
      <c r="X974" s="129"/>
      <c r="Y974" s="95"/>
    </row>
    <row r="975">
      <c r="L975" s="239"/>
      <c r="N975" s="239"/>
      <c r="O975" s="239"/>
      <c r="R975" s="239"/>
      <c r="T975" s="240"/>
      <c r="X975" s="129"/>
      <c r="Y975" s="95"/>
    </row>
    <row r="976">
      <c r="L976" s="239"/>
      <c r="N976" s="239"/>
      <c r="O976" s="239"/>
      <c r="R976" s="239"/>
      <c r="T976" s="240"/>
      <c r="X976" s="129"/>
      <c r="Y976" s="95"/>
    </row>
    <row r="977">
      <c r="L977" s="239"/>
      <c r="N977" s="239"/>
      <c r="O977" s="239"/>
      <c r="R977" s="239"/>
      <c r="T977" s="240"/>
      <c r="X977" s="129"/>
      <c r="Y977" s="95"/>
    </row>
    <row r="978">
      <c r="L978" s="239"/>
      <c r="N978" s="239"/>
      <c r="O978" s="239"/>
      <c r="R978" s="239"/>
      <c r="T978" s="240"/>
      <c r="X978" s="129"/>
      <c r="Y978" s="95"/>
    </row>
    <row r="979">
      <c r="L979" s="239"/>
      <c r="N979" s="239"/>
      <c r="O979" s="239"/>
      <c r="R979" s="239"/>
      <c r="T979" s="240"/>
      <c r="X979" s="129"/>
      <c r="Y979" s="95"/>
    </row>
    <row r="980">
      <c r="L980" s="239"/>
      <c r="N980" s="239"/>
      <c r="O980" s="239"/>
      <c r="R980" s="239"/>
      <c r="T980" s="240"/>
      <c r="X980" s="129"/>
      <c r="Y980" s="95"/>
    </row>
    <row r="981">
      <c r="L981" s="239"/>
      <c r="N981" s="239"/>
      <c r="O981" s="239"/>
      <c r="R981" s="239"/>
      <c r="T981" s="240"/>
      <c r="X981" s="129"/>
      <c r="Y981" s="95"/>
    </row>
    <row r="982">
      <c r="L982" s="239"/>
      <c r="N982" s="239"/>
      <c r="O982" s="239"/>
      <c r="R982" s="239"/>
      <c r="T982" s="240"/>
      <c r="X982" s="129"/>
      <c r="Y982" s="95"/>
    </row>
    <row r="983">
      <c r="L983" s="239"/>
      <c r="N983" s="239"/>
      <c r="O983" s="239"/>
      <c r="R983" s="239"/>
      <c r="T983" s="240"/>
      <c r="X983" s="129"/>
      <c r="Y983" s="95"/>
    </row>
    <row r="984">
      <c r="L984" s="239"/>
      <c r="N984" s="239"/>
      <c r="O984" s="239"/>
      <c r="R984" s="239"/>
      <c r="T984" s="240"/>
      <c r="X984" s="129"/>
      <c r="Y984" s="95"/>
    </row>
    <row r="985">
      <c r="L985" s="239"/>
      <c r="N985" s="239"/>
      <c r="O985" s="239"/>
      <c r="R985" s="239"/>
      <c r="T985" s="240"/>
      <c r="X985" s="129"/>
      <c r="Y985" s="95"/>
    </row>
    <row r="986">
      <c r="L986" s="239"/>
      <c r="N986" s="239"/>
      <c r="O986" s="239"/>
      <c r="R986" s="239"/>
      <c r="T986" s="240"/>
      <c r="X986" s="129"/>
      <c r="Y986" s="95"/>
    </row>
    <row r="987">
      <c r="L987" s="239"/>
      <c r="N987" s="239"/>
      <c r="O987" s="239"/>
      <c r="R987" s="239"/>
      <c r="T987" s="240"/>
      <c r="X987" s="129"/>
      <c r="Y987" s="95"/>
    </row>
    <row r="988">
      <c r="L988" s="239"/>
      <c r="N988" s="239"/>
      <c r="O988" s="239"/>
      <c r="R988" s="239"/>
      <c r="T988" s="240"/>
      <c r="X988" s="129"/>
      <c r="Y988" s="95"/>
    </row>
    <row r="989">
      <c r="L989" s="239"/>
      <c r="N989" s="239"/>
      <c r="O989" s="239"/>
      <c r="R989" s="239"/>
      <c r="T989" s="240"/>
      <c r="X989" s="129"/>
      <c r="Y989" s="95"/>
    </row>
    <row r="990">
      <c r="L990" s="239"/>
      <c r="N990" s="239"/>
      <c r="O990" s="239"/>
      <c r="R990" s="239"/>
      <c r="T990" s="240"/>
      <c r="X990" s="129"/>
      <c r="Y990" s="95"/>
    </row>
    <row r="991">
      <c r="L991" s="239"/>
      <c r="N991" s="239"/>
      <c r="O991" s="239"/>
      <c r="R991" s="239"/>
      <c r="T991" s="240"/>
      <c r="X991" s="129"/>
      <c r="Y991" s="95"/>
    </row>
    <row r="992">
      <c r="L992" s="239"/>
      <c r="N992" s="239"/>
      <c r="O992" s="239"/>
      <c r="R992" s="239"/>
      <c r="T992" s="240"/>
      <c r="X992" s="129"/>
      <c r="Y992" s="95"/>
    </row>
    <row r="993">
      <c r="L993" s="239"/>
      <c r="N993" s="239"/>
      <c r="O993" s="239"/>
      <c r="R993" s="239"/>
      <c r="T993" s="240"/>
      <c r="X993" s="129"/>
      <c r="Y993" s="95"/>
    </row>
    <row r="994">
      <c r="L994" s="239"/>
      <c r="N994" s="239"/>
      <c r="O994" s="239"/>
      <c r="R994" s="239"/>
      <c r="T994" s="240"/>
      <c r="X994" s="129"/>
      <c r="Y994" s="95"/>
    </row>
    <row r="995">
      <c r="L995" s="239"/>
      <c r="N995" s="239"/>
      <c r="O995" s="239"/>
      <c r="R995" s="239"/>
      <c r="T995" s="240"/>
      <c r="X995" s="129"/>
      <c r="Y995" s="95"/>
    </row>
    <row r="996">
      <c r="L996" s="239"/>
      <c r="N996" s="239"/>
      <c r="O996" s="239"/>
      <c r="R996" s="239"/>
      <c r="T996" s="240"/>
      <c r="X996" s="129"/>
      <c r="Y996" s="95"/>
    </row>
    <row r="997">
      <c r="L997" s="239"/>
      <c r="N997" s="239"/>
      <c r="O997" s="239"/>
      <c r="R997" s="239"/>
      <c r="T997" s="240"/>
      <c r="X997" s="129"/>
      <c r="Y997" s="95"/>
    </row>
    <row r="998">
      <c r="L998" s="239"/>
      <c r="N998" s="239"/>
      <c r="O998" s="239"/>
      <c r="R998" s="239"/>
      <c r="T998" s="240"/>
      <c r="X998" s="129"/>
      <c r="Y998" s="95"/>
    </row>
    <row r="999">
      <c r="L999" s="239"/>
      <c r="N999" s="239"/>
      <c r="O999" s="239"/>
      <c r="R999" s="239"/>
      <c r="T999" s="240"/>
      <c r="X999" s="129"/>
      <c r="Y999" s="95"/>
    </row>
    <row r="1000">
      <c r="L1000" s="239"/>
      <c r="N1000" s="239"/>
      <c r="O1000" s="239"/>
      <c r="R1000" s="239"/>
      <c r="T1000" s="240"/>
      <c r="X1000" s="129"/>
      <c r="Y1000" s="95"/>
    </row>
    <row r="1001">
      <c r="L1001" s="239"/>
      <c r="N1001" s="239"/>
      <c r="O1001" s="239"/>
      <c r="R1001" s="239"/>
      <c r="T1001" s="240"/>
      <c r="X1001" s="129"/>
      <c r="Y1001" s="95"/>
    </row>
    <row r="1002">
      <c r="L1002" s="239"/>
      <c r="N1002" s="239"/>
      <c r="O1002" s="239"/>
      <c r="R1002" s="239"/>
      <c r="T1002" s="240"/>
      <c r="X1002" s="129"/>
      <c r="Y1002" s="95"/>
    </row>
    <row r="1003">
      <c r="L1003" s="239"/>
      <c r="N1003" s="239"/>
      <c r="O1003" s="239"/>
      <c r="R1003" s="239"/>
      <c r="T1003" s="240"/>
      <c r="X1003" s="129"/>
      <c r="Y1003" s="95"/>
    </row>
    <row r="1004">
      <c r="L1004" s="239"/>
      <c r="N1004" s="239"/>
      <c r="O1004" s="239"/>
      <c r="R1004" s="239"/>
      <c r="T1004" s="240"/>
      <c r="X1004" s="129"/>
      <c r="Y1004" s="95"/>
    </row>
    <row r="1005">
      <c r="L1005" s="239"/>
      <c r="N1005" s="239"/>
      <c r="O1005" s="239"/>
      <c r="R1005" s="239"/>
      <c r="T1005" s="240"/>
      <c r="X1005" s="129"/>
      <c r="Y1005" s="95"/>
    </row>
    <row r="1006">
      <c r="L1006" s="239"/>
      <c r="N1006" s="239"/>
      <c r="O1006" s="239"/>
      <c r="R1006" s="239"/>
      <c r="T1006" s="240"/>
      <c r="X1006" s="129"/>
      <c r="Y1006" s="95"/>
    </row>
    <row r="1007">
      <c r="L1007" s="239"/>
      <c r="N1007" s="239"/>
      <c r="O1007" s="239"/>
      <c r="R1007" s="239"/>
      <c r="T1007" s="240"/>
      <c r="X1007" s="129"/>
      <c r="Y1007" s="95"/>
    </row>
    <row r="1008">
      <c r="L1008" s="239"/>
      <c r="N1008" s="239"/>
      <c r="O1008" s="239"/>
      <c r="R1008" s="239"/>
      <c r="T1008" s="240"/>
      <c r="X1008" s="129"/>
      <c r="Y1008" s="95"/>
    </row>
    <row r="1009">
      <c r="L1009" s="239"/>
      <c r="N1009" s="239"/>
      <c r="O1009" s="239"/>
      <c r="R1009" s="239"/>
      <c r="T1009" s="240"/>
      <c r="X1009" s="129"/>
      <c r="Y1009" s="95"/>
    </row>
    <row r="1010">
      <c r="L1010" s="239"/>
      <c r="N1010" s="239"/>
      <c r="O1010" s="239"/>
      <c r="R1010" s="239"/>
      <c r="T1010" s="240"/>
      <c r="X1010" s="129"/>
      <c r="Y1010" s="95"/>
    </row>
    <row r="1011">
      <c r="L1011" s="239"/>
      <c r="N1011" s="239"/>
      <c r="O1011" s="239"/>
      <c r="R1011" s="239"/>
      <c r="T1011" s="240"/>
      <c r="X1011" s="129"/>
      <c r="Y1011" s="95"/>
    </row>
    <row r="1012">
      <c r="L1012" s="239"/>
      <c r="N1012" s="239"/>
      <c r="O1012" s="239"/>
      <c r="R1012" s="239"/>
      <c r="T1012" s="240"/>
      <c r="X1012" s="129"/>
      <c r="Y1012" s="95"/>
    </row>
    <row r="1013">
      <c r="L1013" s="239"/>
      <c r="N1013" s="239"/>
      <c r="O1013" s="239"/>
      <c r="R1013" s="239"/>
      <c r="T1013" s="240"/>
      <c r="X1013" s="129"/>
      <c r="Y1013" s="95"/>
    </row>
    <row r="1014">
      <c r="L1014" s="239"/>
      <c r="N1014" s="239"/>
      <c r="O1014" s="239"/>
      <c r="R1014" s="239"/>
      <c r="T1014" s="240"/>
      <c r="X1014" s="129"/>
      <c r="Y1014" s="95"/>
    </row>
  </sheetData>
  <mergeCells count="78">
    <mergeCell ref="W2:W4"/>
    <mergeCell ref="U5:U16"/>
    <mergeCell ref="X2:X4"/>
    <mergeCell ref="Y2:Y4"/>
    <mergeCell ref="Z2:Z4"/>
    <mergeCell ref="C5:C6"/>
    <mergeCell ref="D5:D16"/>
    <mergeCell ref="F5:F6"/>
    <mergeCell ref="C9:C10"/>
    <mergeCell ref="B5:B6"/>
    <mergeCell ref="B9:B10"/>
    <mergeCell ref="B11:B12"/>
    <mergeCell ref="B13:B14"/>
    <mergeCell ref="B15:B16"/>
    <mergeCell ref="B17:B18"/>
    <mergeCell ref="B19:B20"/>
    <mergeCell ref="B43:B44"/>
    <mergeCell ref="B45:B46"/>
    <mergeCell ref="C45:C46"/>
    <mergeCell ref="B47:B48"/>
    <mergeCell ref="C47:C48"/>
    <mergeCell ref="B21:B22"/>
    <mergeCell ref="B23:B40"/>
    <mergeCell ref="C23:C40"/>
    <mergeCell ref="D23:D40"/>
    <mergeCell ref="B41:B42"/>
    <mergeCell ref="C41:C42"/>
    <mergeCell ref="C43:C44"/>
    <mergeCell ref="R23:R40"/>
    <mergeCell ref="S23:S40"/>
    <mergeCell ref="U23:U40"/>
    <mergeCell ref="U41:U42"/>
    <mergeCell ref="U43:U44"/>
    <mergeCell ref="U45:U46"/>
    <mergeCell ref="U47:U48"/>
    <mergeCell ref="W23:W26"/>
    <mergeCell ref="W27:W30"/>
    <mergeCell ref="W31:W34"/>
    <mergeCell ref="W35:W38"/>
    <mergeCell ref="W39:W40"/>
    <mergeCell ref="R17:R18"/>
    <mergeCell ref="S17:S18"/>
    <mergeCell ref="U17:U18"/>
    <mergeCell ref="R19:R22"/>
    <mergeCell ref="S19:S22"/>
    <mergeCell ref="U19:U22"/>
    <mergeCell ref="W19:W22"/>
    <mergeCell ref="B7:B8"/>
    <mergeCell ref="C7:C8"/>
    <mergeCell ref="F7:F8"/>
    <mergeCell ref="F9:F10"/>
    <mergeCell ref="C11:C12"/>
    <mergeCell ref="F11:F12"/>
    <mergeCell ref="C13:C14"/>
    <mergeCell ref="F13:F14"/>
    <mergeCell ref="C19:C20"/>
    <mergeCell ref="C21:C22"/>
    <mergeCell ref="C15:C16"/>
    <mergeCell ref="F15:F16"/>
    <mergeCell ref="C17:C18"/>
    <mergeCell ref="D17:D18"/>
    <mergeCell ref="F17:F18"/>
    <mergeCell ref="D19:D22"/>
    <mergeCell ref="F19:F20"/>
    <mergeCell ref="F35:F36"/>
    <mergeCell ref="F37:F38"/>
    <mergeCell ref="F39:F40"/>
    <mergeCell ref="F41:F42"/>
    <mergeCell ref="F43:F44"/>
    <mergeCell ref="F45:F46"/>
    <mergeCell ref="F47:F48"/>
    <mergeCell ref="F21:F22"/>
    <mergeCell ref="F23:F24"/>
    <mergeCell ref="F25:F26"/>
    <mergeCell ref="F27:F28"/>
    <mergeCell ref="F29:F30"/>
    <mergeCell ref="F31:F32"/>
    <mergeCell ref="F33:F34"/>
  </mergeCells>
  <conditionalFormatting sqref="F1:F1014">
    <cfRule type="containsText" dxfId="0" priority="1" operator="containsText" text="3인">
      <formula>NOT(ISERROR(SEARCH(("3인"),(F1))))</formula>
    </cfRule>
  </conditionalFormatting>
  <conditionalFormatting sqref="F1:F1014">
    <cfRule type="containsText" dxfId="1" priority="2" operator="containsText" text="4인">
      <formula>NOT(ISERROR(SEARCH(("4인"),(F1))))</formula>
    </cfRule>
  </conditionalFormatting>
  <hyperlinks>
    <hyperlink r:id="rId2" ref="Z5"/>
    <hyperlink r:id="rId3" ref="Z6"/>
    <hyperlink r:id="rId4" ref="Z9"/>
    <hyperlink r:id="rId5" ref="Z10"/>
    <hyperlink r:id="rId6" ref="Z11"/>
    <hyperlink r:id="rId7" ref="Z12"/>
    <hyperlink r:id="rId8" ref="Z13"/>
    <hyperlink r:id="rId9" ref="Z14"/>
    <hyperlink r:id="rId10" ref="Z15"/>
    <hyperlink r:id="rId11" ref="Z16"/>
  </hyperlinks>
  <drawing r:id="rId12"/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 fitToPage="1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6.88"/>
    <col customWidth="1" min="4" max="5" width="10.63"/>
    <col customWidth="1" min="10" max="10" width="15.75"/>
    <col customWidth="1" min="17" max="17" width="12.13"/>
    <col customWidth="1" min="22" max="22" width="17.0"/>
    <col customWidth="1" min="23" max="23" width="32.13"/>
    <col customWidth="1" min="24" max="24" width="32.38"/>
    <col customWidth="1" min="25" max="25" width="13.75"/>
    <col customWidth="1" min="28" max="28" width="6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723</v>
      </c>
      <c r="K1" s="1"/>
      <c r="L1" s="2"/>
      <c r="M1" s="1"/>
      <c r="N1" s="2"/>
      <c r="O1" s="2"/>
      <c r="P1" s="1"/>
      <c r="Q1" s="1"/>
      <c r="R1" s="3"/>
      <c r="S1" s="4"/>
      <c r="T1" s="5"/>
      <c r="U1" s="4"/>
      <c r="V1" s="4"/>
      <c r="W1" s="4"/>
      <c r="X1" s="67"/>
      <c r="Y1" s="4"/>
      <c r="Z1" s="4"/>
      <c r="AA1" s="4"/>
      <c r="AB1" s="4"/>
      <c r="AC1" s="4"/>
      <c r="AD1" s="4"/>
      <c r="AE1" s="4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  <c r="Y2" s="154" t="s">
        <v>552</v>
      </c>
      <c r="Z2" s="306" t="s">
        <v>3</v>
      </c>
      <c r="AA2" s="307"/>
      <c r="AB2" s="155" t="s">
        <v>4</v>
      </c>
      <c r="AC2" s="4"/>
      <c r="AD2" s="4"/>
      <c r="AE2" s="4"/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  <c r="Y3" s="158"/>
      <c r="Z3" s="37"/>
      <c r="AA3" s="308"/>
      <c r="AC3" s="4"/>
      <c r="AD3" s="4"/>
      <c r="AE3" s="4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5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  <c r="Y4" s="162"/>
      <c r="Z4" s="309" t="s">
        <v>724</v>
      </c>
      <c r="AA4" s="309" t="s">
        <v>725</v>
      </c>
      <c r="AC4" s="4"/>
      <c r="AD4" s="4"/>
      <c r="AE4" s="4"/>
    </row>
    <row r="5">
      <c r="A5" s="41">
        <v>1.0</v>
      </c>
      <c r="B5" s="84"/>
      <c r="C5" s="84"/>
      <c r="D5" s="42">
        <v>1.0</v>
      </c>
      <c r="E5" s="43">
        <v>1.0</v>
      </c>
      <c r="F5" s="62" t="s">
        <v>726</v>
      </c>
      <c r="G5" s="45" t="s">
        <v>31</v>
      </c>
      <c r="H5" s="45" t="s">
        <v>727</v>
      </c>
      <c r="I5" s="45" t="s">
        <v>728</v>
      </c>
      <c r="J5" s="45"/>
      <c r="K5" s="46" t="s">
        <v>47</v>
      </c>
      <c r="L5" s="47">
        <v>25879.0</v>
      </c>
      <c r="M5" s="45" t="s">
        <v>729</v>
      </c>
      <c r="N5" s="47">
        <v>45999.0</v>
      </c>
      <c r="O5" s="47">
        <v>49651.0</v>
      </c>
      <c r="P5" s="43" t="s">
        <v>730</v>
      </c>
      <c r="R5" s="49">
        <v>45989.0</v>
      </c>
      <c r="S5" s="50" t="s">
        <v>132</v>
      </c>
      <c r="T5" s="51">
        <v>1490000.0</v>
      </c>
      <c r="U5" s="42" t="s">
        <v>731</v>
      </c>
      <c r="V5" s="52"/>
      <c r="W5" s="310"/>
      <c r="X5" s="311" t="s">
        <v>732</v>
      </c>
      <c r="Y5" s="312" t="s">
        <v>733</v>
      </c>
      <c r="Z5" s="313" t="s">
        <v>734</v>
      </c>
      <c r="AA5" s="314"/>
      <c r="AB5" s="315" t="s">
        <v>735</v>
      </c>
      <c r="AC5" s="4"/>
      <c r="AD5" s="4"/>
      <c r="AE5" s="4"/>
    </row>
    <row r="6">
      <c r="A6" s="41">
        <v>2.0</v>
      </c>
      <c r="B6" s="28"/>
      <c r="C6" s="28"/>
      <c r="D6" s="28"/>
      <c r="E6" s="43">
        <v>1.0</v>
      </c>
      <c r="F6" s="28"/>
      <c r="G6" s="45" t="s">
        <v>121</v>
      </c>
      <c r="H6" s="45" t="s">
        <v>736</v>
      </c>
      <c r="I6" s="43" t="s">
        <v>737</v>
      </c>
      <c r="J6" s="45"/>
      <c r="K6" s="46" t="s">
        <v>57</v>
      </c>
      <c r="L6" s="47">
        <v>15927.0</v>
      </c>
      <c r="M6" s="45" t="s">
        <v>738</v>
      </c>
      <c r="N6" s="47">
        <v>45999.0</v>
      </c>
      <c r="O6" s="47">
        <v>49651.0</v>
      </c>
      <c r="P6" s="43" t="s">
        <v>739</v>
      </c>
      <c r="Q6" s="48"/>
      <c r="R6" s="80"/>
      <c r="S6" s="50" t="s">
        <v>132</v>
      </c>
      <c r="T6" s="51">
        <v>1490000.0</v>
      </c>
      <c r="U6" s="28"/>
      <c r="V6" s="57"/>
      <c r="W6" s="80"/>
      <c r="X6" s="316"/>
      <c r="Y6" s="312" t="s">
        <v>733</v>
      </c>
      <c r="Z6" s="313" t="s">
        <v>734</v>
      </c>
      <c r="AA6" s="183"/>
      <c r="AB6" s="317" t="s">
        <v>740</v>
      </c>
      <c r="AC6" s="4"/>
      <c r="AD6" s="4"/>
      <c r="AE6" s="4"/>
    </row>
    <row r="7">
      <c r="A7" s="41">
        <v>3.0</v>
      </c>
      <c r="B7" s="39"/>
      <c r="C7" s="39"/>
      <c r="D7" s="39"/>
      <c r="E7" s="43">
        <v>1.0</v>
      </c>
      <c r="F7" s="39"/>
      <c r="G7" s="45" t="s">
        <v>31</v>
      </c>
      <c r="H7" s="45" t="s">
        <v>741</v>
      </c>
      <c r="I7" s="113" t="s">
        <v>742</v>
      </c>
      <c r="J7" s="45"/>
      <c r="K7" s="46" t="s">
        <v>47</v>
      </c>
      <c r="L7" s="47">
        <v>41606.0</v>
      </c>
      <c r="M7" s="45" t="s">
        <v>743</v>
      </c>
      <c r="N7" s="47">
        <v>45995.0</v>
      </c>
      <c r="O7" s="47">
        <v>47821.0</v>
      </c>
      <c r="P7" s="43" t="s">
        <v>163</v>
      </c>
      <c r="Q7" s="48"/>
      <c r="R7" s="56"/>
      <c r="S7" s="50" t="s">
        <v>132</v>
      </c>
      <c r="T7" s="51">
        <v>1100000.0</v>
      </c>
      <c r="U7" s="39"/>
      <c r="V7" s="57"/>
      <c r="W7" s="56"/>
      <c r="X7" s="316"/>
      <c r="Y7" s="312" t="s">
        <v>733</v>
      </c>
      <c r="Z7" s="313" t="s">
        <v>734</v>
      </c>
      <c r="AA7" s="183"/>
      <c r="AB7" s="317" t="s">
        <v>744</v>
      </c>
      <c r="AC7" s="4"/>
      <c r="AD7" s="4"/>
      <c r="AE7" s="4"/>
    </row>
    <row r="8">
      <c r="A8" s="41">
        <v>4.0</v>
      </c>
      <c r="B8" s="84"/>
      <c r="C8" s="84"/>
      <c r="D8" s="42">
        <v>2.0</v>
      </c>
      <c r="E8" s="43">
        <v>1.0</v>
      </c>
      <c r="F8" s="62" t="s">
        <v>745</v>
      </c>
      <c r="G8" s="43" t="s">
        <v>44</v>
      </c>
      <c r="H8" s="45" t="s">
        <v>746</v>
      </c>
      <c r="I8" s="45" t="s">
        <v>747</v>
      </c>
      <c r="J8" s="45"/>
      <c r="K8" s="46" t="s">
        <v>47</v>
      </c>
      <c r="L8" s="88">
        <v>22663.0</v>
      </c>
      <c r="M8" s="45" t="s">
        <v>748</v>
      </c>
      <c r="N8" s="47">
        <v>44789.0</v>
      </c>
      <c r="O8" s="47">
        <v>48442.0</v>
      </c>
      <c r="P8" s="43" t="s">
        <v>749</v>
      </c>
      <c r="Q8" s="48"/>
      <c r="R8" s="49" t="s">
        <v>750</v>
      </c>
      <c r="S8" s="50" t="s">
        <v>132</v>
      </c>
      <c r="T8" s="89">
        <v>1490000.0</v>
      </c>
      <c r="U8" s="42" t="s">
        <v>731</v>
      </c>
      <c r="V8" s="52"/>
      <c r="W8" s="318" t="s">
        <v>751</v>
      </c>
      <c r="X8" s="319"/>
      <c r="Y8" s="312" t="s">
        <v>563</v>
      </c>
      <c r="Z8" s="313" t="s">
        <v>752</v>
      </c>
      <c r="AA8" s="183"/>
      <c r="AB8" s="317" t="s">
        <v>753</v>
      </c>
      <c r="AC8" s="4"/>
      <c r="AD8" s="4"/>
      <c r="AE8" s="4"/>
    </row>
    <row r="9">
      <c r="A9" s="60">
        <v>5.0</v>
      </c>
      <c r="B9" s="39"/>
      <c r="C9" s="39"/>
      <c r="D9" s="28"/>
      <c r="E9" s="43">
        <v>1.0</v>
      </c>
      <c r="F9" s="39"/>
      <c r="G9" s="43" t="s">
        <v>44</v>
      </c>
      <c r="H9" s="45" t="s">
        <v>754</v>
      </c>
      <c r="I9" s="45" t="s">
        <v>755</v>
      </c>
      <c r="J9" s="45"/>
      <c r="K9" s="46" t="s">
        <v>57</v>
      </c>
      <c r="L9" s="88">
        <v>22888.0</v>
      </c>
      <c r="M9" s="45" t="s">
        <v>756</v>
      </c>
      <c r="N9" s="47">
        <v>42964.0</v>
      </c>
      <c r="O9" s="47">
        <v>46616.0</v>
      </c>
      <c r="P9" s="43" t="s">
        <v>757</v>
      </c>
      <c r="Q9" s="48"/>
      <c r="R9" s="80"/>
      <c r="S9" s="50" t="s">
        <v>132</v>
      </c>
      <c r="T9" s="89">
        <v>1490000.0</v>
      </c>
      <c r="U9" s="28"/>
      <c r="V9" s="57"/>
      <c r="W9" s="80"/>
      <c r="X9" s="316"/>
      <c r="Y9" s="312" t="s">
        <v>563</v>
      </c>
      <c r="Z9" s="313" t="s">
        <v>752</v>
      </c>
      <c r="AA9" s="183"/>
      <c r="AB9" s="317" t="s">
        <v>758</v>
      </c>
      <c r="AC9" s="4"/>
      <c r="AD9" s="4"/>
      <c r="AE9" s="4"/>
    </row>
    <row r="10">
      <c r="A10" s="60">
        <v>6.0</v>
      </c>
      <c r="B10" s="84"/>
      <c r="C10" s="84"/>
      <c r="D10" s="28"/>
      <c r="E10" s="43">
        <v>2.0</v>
      </c>
      <c r="F10" s="62" t="s">
        <v>745</v>
      </c>
      <c r="G10" s="43" t="s">
        <v>509</v>
      </c>
      <c r="H10" s="45" t="s">
        <v>759</v>
      </c>
      <c r="I10" s="45" t="s">
        <v>760</v>
      </c>
      <c r="J10" s="45"/>
      <c r="K10" s="46" t="s">
        <v>47</v>
      </c>
      <c r="L10" s="88">
        <v>20187.0</v>
      </c>
      <c r="M10" s="45" t="s">
        <v>761</v>
      </c>
      <c r="N10" s="47">
        <v>43671.0</v>
      </c>
      <c r="O10" s="47">
        <v>47324.0</v>
      </c>
      <c r="P10" s="43" t="s">
        <v>762</v>
      </c>
      <c r="Q10" s="57"/>
      <c r="R10" s="80"/>
      <c r="S10" s="50" t="s">
        <v>132</v>
      </c>
      <c r="T10" s="89">
        <v>1490000.0</v>
      </c>
      <c r="U10" s="28"/>
      <c r="V10" s="57"/>
      <c r="W10" s="80"/>
      <c r="X10" s="316"/>
      <c r="Y10" s="312" t="s">
        <v>563</v>
      </c>
      <c r="Z10" s="313" t="s">
        <v>752</v>
      </c>
      <c r="AA10" s="183"/>
      <c r="AB10" s="317" t="s">
        <v>763</v>
      </c>
      <c r="AC10" s="4"/>
      <c r="AD10" s="4"/>
      <c r="AE10" s="4"/>
    </row>
    <row r="11">
      <c r="A11" s="41">
        <v>7.0</v>
      </c>
      <c r="B11" s="39"/>
      <c r="C11" s="39"/>
      <c r="D11" s="28"/>
      <c r="E11" s="43">
        <v>2.0</v>
      </c>
      <c r="F11" s="39"/>
      <c r="G11" s="43" t="s">
        <v>764</v>
      </c>
      <c r="H11" s="45" t="s">
        <v>765</v>
      </c>
      <c r="I11" s="45" t="s">
        <v>766</v>
      </c>
      <c r="J11" s="45"/>
      <c r="K11" s="46" t="s">
        <v>57</v>
      </c>
      <c r="L11" s="47">
        <v>22929.0</v>
      </c>
      <c r="M11" s="43" t="s">
        <v>767</v>
      </c>
      <c r="N11" s="47">
        <v>42787.0</v>
      </c>
      <c r="O11" s="47">
        <v>46439.0</v>
      </c>
      <c r="P11" s="43" t="s">
        <v>768</v>
      </c>
      <c r="Q11" s="57"/>
      <c r="R11" s="80"/>
      <c r="S11" s="50" t="s">
        <v>132</v>
      </c>
      <c r="T11" s="89">
        <v>1490000.0</v>
      </c>
      <c r="U11" s="28"/>
      <c r="V11" s="57"/>
      <c r="W11" s="80"/>
      <c r="X11" s="316"/>
      <c r="Y11" s="312" t="s">
        <v>563</v>
      </c>
      <c r="Z11" s="313" t="s">
        <v>752</v>
      </c>
      <c r="AA11" s="183"/>
      <c r="AB11" s="317" t="s">
        <v>769</v>
      </c>
      <c r="AC11" s="4"/>
      <c r="AD11" s="4"/>
      <c r="AE11" s="4"/>
    </row>
    <row r="12">
      <c r="A12" s="60">
        <v>8.0</v>
      </c>
      <c r="B12" s="84"/>
      <c r="C12" s="84"/>
      <c r="D12" s="28"/>
      <c r="E12" s="43">
        <v>3.0</v>
      </c>
      <c r="F12" s="62" t="s">
        <v>745</v>
      </c>
      <c r="G12" s="43" t="s">
        <v>770</v>
      </c>
      <c r="H12" s="45" t="s">
        <v>771</v>
      </c>
      <c r="I12" s="45" t="s">
        <v>772</v>
      </c>
      <c r="J12" s="45"/>
      <c r="K12" s="46" t="s">
        <v>47</v>
      </c>
      <c r="L12" s="47">
        <v>22309.0</v>
      </c>
      <c r="M12" s="43" t="s">
        <v>773</v>
      </c>
      <c r="N12" s="47">
        <v>44750.0</v>
      </c>
      <c r="O12" s="47">
        <v>48403.0</v>
      </c>
      <c r="P12" s="43" t="s">
        <v>774</v>
      </c>
      <c r="Q12" s="57"/>
      <c r="R12" s="80"/>
      <c r="S12" s="50" t="s">
        <v>132</v>
      </c>
      <c r="T12" s="89">
        <v>1490000.0</v>
      </c>
      <c r="U12" s="28"/>
      <c r="V12" s="48"/>
      <c r="W12" s="80"/>
      <c r="X12" s="316"/>
      <c r="Y12" s="312" t="s">
        <v>563</v>
      </c>
      <c r="Z12" s="313" t="s">
        <v>752</v>
      </c>
      <c r="AA12" s="183"/>
      <c r="AB12" s="253" t="s">
        <v>775</v>
      </c>
      <c r="AC12" s="4"/>
      <c r="AD12" s="4"/>
      <c r="AE12" s="4"/>
    </row>
    <row r="13">
      <c r="A13" s="41">
        <v>9.0</v>
      </c>
      <c r="B13" s="39"/>
      <c r="C13" s="39"/>
      <c r="D13" s="39"/>
      <c r="E13" s="43">
        <v>3.0</v>
      </c>
      <c r="F13" s="39"/>
      <c r="G13" s="43" t="s">
        <v>776</v>
      </c>
      <c r="H13" s="45" t="s">
        <v>777</v>
      </c>
      <c r="I13" s="45" t="s">
        <v>778</v>
      </c>
      <c r="J13" s="45"/>
      <c r="K13" s="46" t="s">
        <v>57</v>
      </c>
      <c r="L13" s="47">
        <v>22534.0</v>
      </c>
      <c r="M13" s="45" t="s">
        <v>779</v>
      </c>
      <c r="N13" s="47">
        <v>45728.0</v>
      </c>
      <c r="O13" s="47">
        <v>49380.0</v>
      </c>
      <c r="P13" s="43" t="s">
        <v>780</v>
      </c>
      <c r="Q13" s="57"/>
      <c r="R13" s="56"/>
      <c r="S13" s="50" t="s">
        <v>132</v>
      </c>
      <c r="T13" s="89">
        <v>1490000.0</v>
      </c>
      <c r="U13" s="39"/>
      <c r="V13" s="48"/>
      <c r="W13" s="56"/>
      <c r="X13" s="316"/>
      <c r="Y13" s="312" t="s">
        <v>563</v>
      </c>
      <c r="Z13" s="313" t="s">
        <v>752</v>
      </c>
      <c r="AA13" s="183"/>
      <c r="AB13" s="317" t="s">
        <v>781</v>
      </c>
      <c r="AC13" s="4"/>
      <c r="AD13" s="4"/>
      <c r="AE13" s="4"/>
    </row>
    <row r="14">
      <c r="A14" s="41">
        <v>10.0</v>
      </c>
      <c r="B14" s="84"/>
      <c r="C14" s="84"/>
      <c r="D14" s="42">
        <v>3.0</v>
      </c>
      <c r="E14" s="43">
        <v>1.0</v>
      </c>
      <c r="F14" s="62" t="s">
        <v>745</v>
      </c>
      <c r="G14" s="45" t="s">
        <v>782</v>
      </c>
      <c r="H14" s="45" t="s">
        <v>783</v>
      </c>
      <c r="I14" s="45" t="s">
        <v>784</v>
      </c>
      <c r="J14" s="45"/>
      <c r="K14" s="46" t="s">
        <v>47</v>
      </c>
      <c r="L14" s="47">
        <v>20862.0</v>
      </c>
      <c r="M14" s="45" t="s">
        <v>785</v>
      </c>
      <c r="N14" s="47">
        <v>46002.0</v>
      </c>
      <c r="O14" s="47">
        <v>49654.0</v>
      </c>
      <c r="P14" s="43" t="s">
        <v>786</v>
      </c>
      <c r="R14" s="49" t="s">
        <v>750</v>
      </c>
      <c r="S14" s="50" t="s">
        <v>132</v>
      </c>
      <c r="T14" s="89">
        <v>1490000.0</v>
      </c>
      <c r="U14" s="42" t="s">
        <v>731</v>
      </c>
      <c r="V14" s="57"/>
      <c r="W14" s="186"/>
      <c r="X14" s="319" t="s">
        <v>787</v>
      </c>
      <c r="Y14" s="312" t="s">
        <v>788</v>
      </c>
      <c r="Z14" s="313" t="s">
        <v>789</v>
      </c>
      <c r="AA14" s="320" t="s">
        <v>790</v>
      </c>
      <c r="AB14" s="317" t="s">
        <v>791</v>
      </c>
      <c r="AC14" s="4"/>
      <c r="AD14" s="4"/>
      <c r="AE14" s="4"/>
    </row>
    <row r="15">
      <c r="A15" s="41">
        <v>11.0</v>
      </c>
      <c r="B15" s="39"/>
      <c r="C15" s="39"/>
      <c r="D15" s="39"/>
      <c r="E15" s="43">
        <v>1.0</v>
      </c>
      <c r="F15" s="39"/>
      <c r="G15" s="45" t="s">
        <v>318</v>
      </c>
      <c r="H15" s="45" t="s">
        <v>792</v>
      </c>
      <c r="I15" s="43" t="s">
        <v>793</v>
      </c>
      <c r="J15" s="68"/>
      <c r="K15" s="46" t="s">
        <v>57</v>
      </c>
      <c r="L15" s="47">
        <v>22442.0</v>
      </c>
      <c r="M15" s="45" t="s">
        <v>794</v>
      </c>
      <c r="N15" s="47">
        <v>46002.0</v>
      </c>
      <c r="O15" s="47">
        <v>49654.0</v>
      </c>
      <c r="P15" s="43" t="s">
        <v>795</v>
      </c>
      <c r="Q15" s="57"/>
      <c r="R15" s="56"/>
      <c r="S15" s="50" t="s">
        <v>132</v>
      </c>
      <c r="T15" s="89">
        <v>1490000.0</v>
      </c>
      <c r="U15" s="39"/>
      <c r="V15" s="57"/>
      <c r="W15" s="196"/>
      <c r="X15" s="316"/>
      <c r="Y15" s="312" t="s">
        <v>788</v>
      </c>
      <c r="Z15" s="313" t="s">
        <v>789</v>
      </c>
      <c r="AA15" s="320" t="s">
        <v>790</v>
      </c>
      <c r="AB15" s="317" t="s">
        <v>796</v>
      </c>
      <c r="AC15" s="4"/>
      <c r="AD15" s="4"/>
      <c r="AE15" s="4"/>
    </row>
    <row r="16">
      <c r="A16" s="60">
        <v>12.0</v>
      </c>
      <c r="B16" s="84"/>
      <c r="C16" s="84"/>
      <c r="D16" s="42">
        <v>4.0</v>
      </c>
      <c r="E16" s="43">
        <v>1.0</v>
      </c>
      <c r="F16" s="62" t="s">
        <v>797</v>
      </c>
      <c r="G16" s="45" t="s">
        <v>798</v>
      </c>
      <c r="H16" s="45" t="s">
        <v>799</v>
      </c>
      <c r="I16" s="43" t="s">
        <v>800</v>
      </c>
      <c r="J16" s="68"/>
      <c r="K16" s="46" t="s">
        <v>47</v>
      </c>
      <c r="L16" s="47">
        <v>16505.0</v>
      </c>
      <c r="M16" s="45" t="s">
        <v>801</v>
      </c>
      <c r="N16" s="47">
        <v>43977.0</v>
      </c>
      <c r="O16" s="47">
        <v>47629.0</v>
      </c>
      <c r="P16" s="43" t="s">
        <v>802</v>
      </c>
      <c r="Q16" s="57"/>
      <c r="R16" s="64" t="s">
        <v>803</v>
      </c>
      <c r="S16" s="65" t="s">
        <v>228</v>
      </c>
      <c r="T16" s="321">
        <v>1590000.0</v>
      </c>
      <c r="U16" s="42" t="s">
        <v>103</v>
      </c>
      <c r="V16" s="57"/>
      <c r="W16" s="322" t="s">
        <v>804</v>
      </c>
      <c r="X16" s="316"/>
      <c r="Y16" s="312" t="s">
        <v>788</v>
      </c>
      <c r="Z16" s="313" t="s">
        <v>752</v>
      </c>
      <c r="AA16" s="320"/>
      <c r="AB16" s="315" t="s">
        <v>805</v>
      </c>
      <c r="AC16" s="4"/>
      <c r="AD16" s="4"/>
      <c r="AE16" s="4"/>
    </row>
    <row r="17">
      <c r="A17" s="60">
        <v>13.0</v>
      </c>
      <c r="B17" s="28"/>
      <c r="C17" s="28"/>
      <c r="D17" s="28"/>
      <c r="E17" s="43">
        <v>1.0</v>
      </c>
      <c r="F17" s="28"/>
      <c r="G17" s="45" t="s">
        <v>337</v>
      </c>
      <c r="H17" s="45" t="s">
        <v>401</v>
      </c>
      <c r="I17" s="43" t="s">
        <v>402</v>
      </c>
      <c r="J17" s="68"/>
      <c r="K17" s="46" t="s">
        <v>47</v>
      </c>
      <c r="L17" s="182">
        <v>35347.0</v>
      </c>
      <c r="M17" s="45" t="s">
        <v>403</v>
      </c>
      <c r="N17" s="47">
        <v>45453.0</v>
      </c>
      <c r="O17" s="47">
        <v>49105.0</v>
      </c>
      <c r="P17" s="43" t="s">
        <v>404</v>
      </c>
      <c r="Q17" s="57"/>
      <c r="R17" s="64">
        <v>46022.0</v>
      </c>
      <c r="S17" s="65" t="s">
        <v>228</v>
      </c>
      <c r="T17" s="321">
        <v>1590000.0</v>
      </c>
      <c r="U17" s="28"/>
      <c r="V17" s="57"/>
      <c r="W17" s="80"/>
      <c r="X17" s="323" t="s">
        <v>405</v>
      </c>
      <c r="Y17" s="312" t="s">
        <v>563</v>
      </c>
      <c r="Z17" s="313" t="s">
        <v>752</v>
      </c>
      <c r="AA17" s="320"/>
      <c r="AB17" s="315" t="s">
        <v>806</v>
      </c>
      <c r="AC17" s="4"/>
      <c r="AD17" s="4"/>
      <c r="AE17" s="4"/>
    </row>
    <row r="18">
      <c r="A18" s="60">
        <v>14.0</v>
      </c>
      <c r="B18" s="84"/>
      <c r="C18" s="84"/>
      <c r="D18" s="28"/>
      <c r="E18" s="43">
        <v>2.0</v>
      </c>
      <c r="F18" s="62" t="s">
        <v>797</v>
      </c>
      <c r="G18" s="45" t="s">
        <v>44</v>
      </c>
      <c r="H18" s="45" t="s">
        <v>807</v>
      </c>
      <c r="I18" s="43" t="s">
        <v>808</v>
      </c>
      <c r="J18" s="68"/>
      <c r="K18" s="46" t="s">
        <v>47</v>
      </c>
      <c r="L18" s="47">
        <v>16700.0</v>
      </c>
      <c r="M18" s="45" t="s">
        <v>809</v>
      </c>
      <c r="N18" s="47">
        <v>45110.0</v>
      </c>
      <c r="O18" s="47">
        <v>48763.0</v>
      </c>
      <c r="P18" s="43" t="s">
        <v>810</v>
      </c>
      <c r="Q18" s="57"/>
      <c r="R18" s="64" t="s">
        <v>811</v>
      </c>
      <c r="S18" s="65" t="s">
        <v>228</v>
      </c>
      <c r="T18" s="321">
        <v>1590000.0</v>
      </c>
      <c r="U18" s="28"/>
      <c r="V18" s="57"/>
      <c r="W18" s="80"/>
      <c r="X18" s="319" t="s">
        <v>812</v>
      </c>
      <c r="Y18" s="312" t="s">
        <v>788</v>
      </c>
      <c r="Z18" s="313" t="s">
        <v>813</v>
      </c>
      <c r="AA18" s="320"/>
      <c r="AB18" s="315" t="s">
        <v>814</v>
      </c>
      <c r="AC18" s="4"/>
      <c r="AD18" s="4"/>
      <c r="AE18" s="4"/>
    </row>
    <row r="19">
      <c r="A19" s="60">
        <v>15.0</v>
      </c>
      <c r="B19" s="28"/>
      <c r="C19" s="28"/>
      <c r="D19" s="28"/>
      <c r="E19" s="43">
        <v>2.0</v>
      </c>
      <c r="F19" s="28"/>
      <c r="G19" s="45" t="s">
        <v>127</v>
      </c>
      <c r="H19" s="45" t="s">
        <v>815</v>
      </c>
      <c r="I19" s="43" t="s">
        <v>816</v>
      </c>
      <c r="J19" s="68"/>
      <c r="K19" s="46" t="s">
        <v>47</v>
      </c>
      <c r="L19" s="47">
        <v>15752.0</v>
      </c>
      <c r="M19" s="45" t="s">
        <v>817</v>
      </c>
      <c r="N19" s="47">
        <v>45268.0</v>
      </c>
      <c r="O19" s="47">
        <v>48921.0</v>
      </c>
      <c r="P19" s="43" t="s">
        <v>818</v>
      </c>
      <c r="Q19" s="57"/>
      <c r="R19" s="64" t="s">
        <v>819</v>
      </c>
      <c r="S19" s="65" t="s">
        <v>228</v>
      </c>
      <c r="T19" s="321">
        <v>1590000.0</v>
      </c>
      <c r="U19" s="28"/>
      <c r="V19" s="57"/>
      <c r="W19" s="80"/>
      <c r="X19" s="316"/>
      <c r="Y19" s="312" t="s">
        <v>788</v>
      </c>
      <c r="Z19" s="313" t="s">
        <v>813</v>
      </c>
      <c r="AA19" s="320" t="s">
        <v>820</v>
      </c>
      <c r="AB19" s="315" t="s">
        <v>821</v>
      </c>
      <c r="AC19" s="4"/>
      <c r="AD19" s="4"/>
      <c r="AE19" s="4"/>
    </row>
    <row r="20">
      <c r="A20" s="60">
        <v>16.0</v>
      </c>
      <c r="B20" s="84"/>
      <c r="C20" s="84"/>
      <c r="D20" s="28"/>
      <c r="E20" s="43">
        <v>3.0</v>
      </c>
      <c r="F20" s="62" t="s">
        <v>797</v>
      </c>
      <c r="G20" s="45" t="s">
        <v>44</v>
      </c>
      <c r="H20" s="45" t="s">
        <v>822</v>
      </c>
      <c r="I20" s="43" t="s">
        <v>823</v>
      </c>
      <c r="J20" s="68"/>
      <c r="K20" s="46" t="s">
        <v>57</v>
      </c>
      <c r="L20" s="47">
        <v>19361.0</v>
      </c>
      <c r="M20" s="45" t="s">
        <v>824</v>
      </c>
      <c r="N20" s="47">
        <v>43353.0</v>
      </c>
      <c r="O20" s="47">
        <v>47006.0</v>
      </c>
      <c r="P20" s="43" t="s">
        <v>825</v>
      </c>
      <c r="Q20" s="57"/>
      <c r="R20" s="64" t="s">
        <v>811</v>
      </c>
      <c r="S20" s="65" t="s">
        <v>228</v>
      </c>
      <c r="T20" s="321">
        <v>1590000.0</v>
      </c>
      <c r="U20" s="28"/>
      <c r="V20" s="57"/>
      <c r="W20" s="80"/>
      <c r="X20" s="316"/>
      <c r="Y20" s="312" t="s">
        <v>788</v>
      </c>
      <c r="Z20" s="313" t="s">
        <v>826</v>
      </c>
      <c r="AA20" s="183"/>
      <c r="AB20" s="315" t="s">
        <v>827</v>
      </c>
      <c r="AC20" s="4"/>
      <c r="AD20" s="4"/>
      <c r="AE20" s="4"/>
    </row>
    <row r="21">
      <c r="A21" s="60">
        <v>17.0</v>
      </c>
      <c r="B21" s="28"/>
      <c r="C21" s="28"/>
      <c r="D21" s="28"/>
      <c r="E21" s="43">
        <v>3.0</v>
      </c>
      <c r="F21" s="28"/>
      <c r="G21" s="45" t="s">
        <v>828</v>
      </c>
      <c r="H21" s="45" t="s">
        <v>829</v>
      </c>
      <c r="I21" s="43" t="s">
        <v>830</v>
      </c>
      <c r="J21" s="68"/>
      <c r="K21" s="46" t="s">
        <v>47</v>
      </c>
      <c r="L21" s="47">
        <v>17363.0</v>
      </c>
      <c r="M21" s="45" t="s">
        <v>831</v>
      </c>
      <c r="N21" s="47">
        <v>43263.0</v>
      </c>
      <c r="O21" s="324">
        <v>46916.0</v>
      </c>
      <c r="P21" s="69"/>
      <c r="Q21" s="57"/>
      <c r="R21" s="64" t="s">
        <v>832</v>
      </c>
      <c r="S21" s="65" t="s">
        <v>228</v>
      </c>
      <c r="T21" s="321">
        <v>1590000.0</v>
      </c>
      <c r="U21" s="28"/>
      <c r="V21" s="57"/>
      <c r="W21" s="80"/>
      <c r="X21" s="316"/>
      <c r="Y21" s="312" t="s">
        <v>788</v>
      </c>
      <c r="Z21" s="313" t="s">
        <v>826</v>
      </c>
      <c r="AA21" s="183"/>
      <c r="AB21" s="317" t="s">
        <v>833</v>
      </c>
      <c r="AC21" s="4"/>
      <c r="AD21" s="4"/>
      <c r="AE21" s="4"/>
    </row>
    <row r="22">
      <c r="A22" s="60">
        <v>18.0</v>
      </c>
      <c r="B22" s="84"/>
      <c r="C22" s="84"/>
      <c r="D22" s="28"/>
      <c r="E22" s="43">
        <v>4.0</v>
      </c>
      <c r="F22" s="62" t="s">
        <v>797</v>
      </c>
      <c r="G22" s="45" t="s">
        <v>44</v>
      </c>
      <c r="H22" s="45" t="s">
        <v>834</v>
      </c>
      <c r="I22" s="43" t="s">
        <v>835</v>
      </c>
      <c r="J22" s="68"/>
      <c r="K22" s="46" t="s">
        <v>57</v>
      </c>
      <c r="L22" s="47">
        <v>17228.0</v>
      </c>
      <c r="M22" s="45" t="s">
        <v>836</v>
      </c>
      <c r="N22" s="47">
        <v>45282.0</v>
      </c>
      <c r="O22" s="47">
        <v>48935.0</v>
      </c>
      <c r="P22" s="43" t="s">
        <v>837</v>
      </c>
      <c r="Q22" s="57"/>
      <c r="R22" s="64">
        <v>46030.0</v>
      </c>
      <c r="S22" s="325" t="s">
        <v>838</v>
      </c>
      <c r="T22" s="321">
        <v>1590000.0</v>
      </c>
      <c r="U22" s="28"/>
      <c r="V22" s="57"/>
      <c r="W22" s="80"/>
      <c r="X22" s="319" t="s">
        <v>839</v>
      </c>
      <c r="Y22" s="312" t="s">
        <v>788</v>
      </c>
      <c r="Z22" s="313" t="s">
        <v>752</v>
      </c>
      <c r="AA22" s="183"/>
      <c r="AB22" s="315" t="s">
        <v>840</v>
      </c>
      <c r="AC22" s="4"/>
      <c r="AD22" s="4"/>
      <c r="AE22" s="4"/>
    </row>
    <row r="23">
      <c r="A23" s="60">
        <v>19.0</v>
      </c>
      <c r="B23" s="28"/>
      <c r="C23" s="28"/>
      <c r="D23" s="28"/>
      <c r="E23" s="43">
        <v>4.0</v>
      </c>
      <c r="F23" s="28"/>
      <c r="G23" s="45" t="s">
        <v>44</v>
      </c>
      <c r="H23" s="45" t="s">
        <v>841</v>
      </c>
      <c r="I23" s="43" t="s">
        <v>842</v>
      </c>
      <c r="J23" s="68"/>
      <c r="K23" s="46" t="s">
        <v>57</v>
      </c>
      <c r="L23" s="47">
        <v>20158.0</v>
      </c>
      <c r="M23" s="45" t="s">
        <v>843</v>
      </c>
      <c r="N23" s="47">
        <v>43433.0</v>
      </c>
      <c r="O23" s="47">
        <v>47086.0</v>
      </c>
      <c r="P23" s="43" t="s">
        <v>844</v>
      </c>
      <c r="Q23" s="57"/>
      <c r="R23" s="64" t="s">
        <v>803</v>
      </c>
      <c r="S23" s="65" t="s">
        <v>228</v>
      </c>
      <c r="T23" s="321">
        <v>1590000.0</v>
      </c>
      <c r="U23" s="28"/>
      <c r="V23" s="57"/>
      <c r="W23" s="80"/>
      <c r="X23" s="316"/>
      <c r="Y23" s="312" t="s">
        <v>788</v>
      </c>
      <c r="Z23" s="313" t="s">
        <v>752</v>
      </c>
      <c r="AA23" s="183"/>
      <c r="AB23" s="317" t="s">
        <v>845</v>
      </c>
      <c r="AC23" s="4"/>
      <c r="AD23" s="4"/>
      <c r="AE23" s="4"/>
    </row>
    <row r="24">
      <c r="A24" s="60">
        <v>20.0</v>
      </c>
      <c r="B24" s="84"/>
      <c r="C24" s="84"/>
      <c r="D24" s="28"/>
      <c r="E24" s="43">
        <v>5.0</v>
      </c>
      <c r="F24" s="62" t="s">
        <v>797</v>
      </c>
      <c r="G24" s="45" t="s">
        <v>127</v>
      </c>
      <c r="H24" s="45" t="s">
        <v>846</v>
      </c>
      <c r="I24" s="43" t="s">
        <v>847</v>
      </c>
      <c r="J24" s="68"/>
      <c r="K24" s="46" t="s">
        <v>57</v>
      </c>
      <c r="L24" s="47">
        <v>22062.0</v>
      </c>
      <c r="M24" s="45" t="s">
        <v>848</v>
      </c>
      <c r="N24" s="47">
        <v>43815.0</v>
      </c>
      <c r="O24" s="47">
        <v>47468.0</v>
      </c>
      <c r="P24" s="43" t="s">
        <v>849</v>
      </c>
      <c r="Q24" s="57"/>
      <c r="R24" s="64" t="s">
        <v>811</v>
      </c>
      <c r="S24" s="65" t="s">
        <v>228</v>
      </c>
      <c r="T24" s="321">
        <v>1590000.0</v>
      </c>
      <c r="U24" s="28"/>
      <c r="V24" s="57"/>
      <c r="W24" s="80"/>
      <c r="X24" s="316"/>
      <c r="Y24" s="312" t="s">
        <v>788</v>
      </c>
      <c r="Z24" s="313" t="s">
        <v>850</v>
      </c>
      <c r="AA24" s="183"/>
      <c r="AB24" s="317" t="s">
        <v>851</v>
      </c>
      <c r="AC24" s="4"/>
      <c r="AD24" s="4"/>
      <c r="AE24" s="4"/>
    </row>
    <row r="25">
      <c r="A25" s="60">
        <v>21.0</v>
      </c>
      <c r="B25" s="28"/>
      <c r="C25" s="28"/>
      <c r="D25" s="28"/>
      <c r="E25" s="43">
        <v>5.0</v>
      </c>
      <c r="F25" s="28"/>
      <c r="G25" s="45" t="s">
        <v>782</v>
      </c>
      <c r="H25" s="45" t="s">
        <v>852</v>
      </c>
      <c r="I25" s="43" t="s">
        <v>853</v>
      </c>
      <c r="J25" s="68"/>
      <c r="K25" s="46" t="s">
        <v>57</v>
      </c>
      <c r="L25" s="47">
        <v>25045.0</v>
      </c>
      <c r="M25" s="45" t="s">
        <v>854</v>
      </c>
      <c r="N25" s="88">
        <v>45023.0</v>
      </c>
      <c r="O25" s="88">
        <v>48676.0</v>
      </c>
      <c r="P25" s="45" t="s">
        <v>855</v>
      </c>
      <c r="Q25" s="57"/>
      <c r="R25" s="64" t="s">
        <v>811</v>
      </c>
      <c r="S25" s="65" t="s">
        <v>228</v>
      </c>
      <c r="T25" s="321">
        <v>1590000.0</v>
      </c>
      <c r="U25" s="28"/>
      <c r="V25" s="57"/>
      <c r="W25" s="80"/>
      <c r="X25" s="316"/>
      <c r="Y25" s="312" t="s">
        <v>788</v>
      </c>
      <c r="Z25" s="313" t="s">
        <v>850</v>
      </c>
      <c r="AA25" s="183"/>
      <c r="AB25" s="315" t="s">
        <v>856</v>
      </c>
      <c r="AC25" s="4"/>
      <c r="AD25" s="4"/>
      <c r="AE25" s="4"/>
    </row>
    <row r="26">
      <c r="A26" s="60">
        <v>22.0</v>
      </c>
      <c r="B26" s="84"/>
      <c r="C26" s="84"/>
      <c r="D26" s="28"/>
      <c r="E26" s="43">
        <v>6.0</v>
      </c>
      <c r="F26" s="62" t="s">
        <v>797</v>
      </c>
      <c r="G26" s="43" t="s">
        <v>664</v>
      </c>
      <c r="H26" s="43" t="s">
        <v>643</v>
      </c>
      <c r="I26" s="43" t="s">
        <v>857</v>
      </c>
      <c r="J26" s="68"/>
      <c r="K26" s="46" t="s">
        <v>57</v>
      </c>
      <c r="L26" s="47">
        <v>14914.0</v>
      </c>
      <c r="M26" s="45" t="s">
        <v>858</v>
      </c>
      <c r="N26" s="47">
        <v>45082.0</v>
      </c>
      <c r="O26" s="47">
        <v>48735.0</v>
      </c>
      <c r="P26" s="43" t="s">
        <v>859</v>
      </c>
      <c r="Q26" s="57"/>
      <c r="R26" s="64" t="s">
        <v>811</v>
      </c>
      <c r="S26" s="65" t="s">
        <v>228</v>
      </c>
      <c r="T26" s="321">
        <v>1590000.0</v>
      </c>
      <c r="U26" s="28"/>
      <c r="V26" s="57"/>
      <c r="W26" s="80"/>
      <c r="X26" s="316"/>
      <c r="Y26" s="312" t="s">
        <v>788</v>
      </c>
      <c r="Z26" s="313" t="s">
        <v>860</v>
      </c>
      <c r="AA26" s="183"/>
      <c r="AB26" s="315" t="s">
        <v>861</v>
      </c>
      <c r="AC26" s="4"/>
      <c r="AD26" s="4"/>
      <c r="AE26" s="4"/>
    </row>
    <row r="27">
      <c r="A27" s="60">
        <v>23.0</v>
      </c>
      <c r="B27" s="28"/>
      <c r="C27" s="28"/>
      <c r="D27" s="28"/>
      <c r="E27" s="43">
        <v>6.0</v>
      </c>
      <c r="F27" s="28"/>
      <c r="G27" s="43" t="s">
        <v>127</v>
      </c>
      <c r="H27" s="43" t="s">
        <v>862</v>
      </c>
      <c r="I27" s="43" t="s">
        <v>863</v>
      </c>
      <c r="J27" s="69"/>
      <c r="K27" s="46" t="s">
        <v>57</v>
      </c>
      <c r="L27" s="47">
        <v>22963.0</v>
      </c>
      <c r="M27" s="43" t="s">
        <v>864</v>
      </c>
      <c r="N27" s="47">
        <v>43830.0</v>
      </c>
      <c r="O27" s="47">
        <v>47483.0</v>
      </c>
      <c r="P27" s="43" t="s">
        <v>865</v>
      </c>
      <c r="Q27" s="57"/>
      <c r="R27" s="64" t="s">
        <v>811</v>
      </c>
      <c r="S27" s="65" t="s">
        <v>228</v>
      </c>
      <c r="T27" s="321">
        <v>1590000.0</v>
      </c>
      <c r="U27" s="28"/>
      <c r="V27" s="57"/>
      <c r="W27" s="80"/>
      <c r="X27" s="316"/>
      <c r="Y27" s="312" t="s">
        <v>563</v>
      </c>
      <c r="Z27" s="313" t="s">
        <v>860</v>
      </c>
      <c r="AA27" s="183"/>
      <c r="AB27" s="315" t="s">
        <v>866</v>
      </c>
      <c r="AC27" s="4"/>
      <c r="AD27" s="4"/>
      <c r="AE27" s="4"/>
    </row>
    <row r="28">
      <c r="A28" s="60">
        <v>24.0</v>
      </c>
      <c r="B28" s="84"/>
      <c r="C28" s="84"/>
      <c r="D28" s="28"/>
      <c r="E28" s="43">
        <v>7.0</v>
      </c>
      <c r="F28" s="62" t="s">
        <v>797</v>
      </c>
      <c r="G28" s="43" t="s">
        <v>44</v>
      </c>
      <c r="H28" s="43" t="s">
        <v>867</v>
      </c>
      <c r="I28" s="43" t="s">
        <v>868</v>
      </c>
      <c r="J28" s="69"/>
      <c r="K28" s="46" t="s">
        <v>47</v>
      </c>
      <c r="L28" s="47">
        <v>14198.0</v>
      </c>
      <c r="M28" s="43" t="s">
        <v>869</v>
      </c>
      <c r="N28" s="47">
        <v>45090.0</v>
      </c>
      <c r="O28" s="47">
        <v>46886.0</v>
      </c>
      <c r="P28" s="43" t="s">
        <v>870</v>
      </c>
      <c r="Q28" s="57"/>
      <c r="R28" s="64" t="s">
        <v>811</v>
      </c>
      <c r="S28" s="65" t="s">
        <v>228</v>
      </c>
      <c r="T28" s="321">
        <v>1590000.0</v>
      </c>
      <c r="U28" s="28"/>
      <c r="V28" s="57"/>
      <c r="W28" s="80"/>
      <c r="X28" s="316"/>
      <c r="Y28" s="312" t="s">
        <v>788</v>
      </c>
      <c r="Z28" s="313" t="s">
        <v>860</v>
      </c>
      <c r="AA28" s="183"/>
      <c r="AB28" s="315" t="s">
        <v>871</v>
      </c>
      <c r="AC28" s="4"/>
      <c r="AD28" s="4"/>
      <c r="AE28" s="4"/>
    </row>
    <row r="29">
      <c r="A29" s="60">
        <v>25.0</v>
      </c>
      <c r="B29" s="28"/>
      <c r="C29" s="28"/>
      <c r="D29" s="28"/>
      <c r="E29" s="43">
        <v>7.0</v>
      </c>
      <c r="F29" s="28"/>
      <c r="G29" s="43" t="s">
        <v>127</v>
      </c>
      <c r="H29" s="43" t="s">
        <v>872</v>
      </c>
      <c r="I29" s="43" t="s">
        <v>873</v>
      </c>
      <c r="J29" s="68"/>
      <c r="K29" s="46" t="s">
        <v>47</v>
      </c>
      <c r="L29" s="47">
        <v>19272.0</v>
      </c>
      <c r="M29" s="45" t="s">
        <v>874</v>
      </c>
      <c r="N29" s="47">
        <v>46066.0</v>
      </c>
      <c r="O29" s="47">
        <v>49718.0</v>
      </c>
      <c r="P29" s="43" t="s">
        <v>875</v>
      </c>
      <c r="Q29" s="57"/>
      <c r="R29" s="64" t="s">
        <v>876</v>
      </c>
      <c r="S29" s="65" t="s">
        <v>228</v>
      </c>
      <c r="T29" s="321">
        <v>1590000.0</v>
      </c>
      <c r="U29" s="28"/>
      <c r="V29" s="48" t="s">
        <v>877</v>
      </c>
      <c r="W29" s="80"/>
      <c r="X29" s="316"/>
      <c r="Y29" s="312" t="s">
        <v>563</v>
      </c>
      <c r="Z29" s="313" t="s">
        <v>860</v>
      </c>
      <c r="AA29" s="183"/>
      <c r="AB29" s="317" t="s">
        <v>878</v>
      </c>
      <c r="AC29" s="4"/>
      <c r="AD29" s="4"/>
      <c r="AE29" s="4"/>
    </row>
    <row r="30">
      <c r="A30" s="60">
        <v>26.0</v>
      </c>
      <c r="B30" s="84"/>
      <c r="C30" s="84"/>
      <c r="D30" s="28"/>
      <c r="E30" s="43">
        <v>8.0</v>
      </c>
      <c r="F30" s="62" t="s">
        <v>797</v>
      </c>
      <c r="G30" s="43" t="s">
        <v>31</v>
      </c>
      <c r="H30" s="43" t="s">
        <v>879</v>
      </c>
      <c r="I30" s="43" t="s">
        <v>880</v>
      </c>
      <c r="J30" s="68"/>
      <c r="K30" s="46" t="s">
        <v>57</v>
      </c>
      <c r="L30" s="47">
        <v>17583.0</v>
      </c>
      <c r="M30" s="45" t="s">
        <v>881</v>
      </c>
      <c r="N30" s="47">
        <v>44679.0</v>
      </c>
      <c r="O30" s="47">
        <v>48332.0</v>
      </c>
      <c r="P30" s="43" t="s">
        <v>882</v>
      </c>
      <c r="Q30" s="57"/>
      <c r="R30" s="64" t="s">
        <v>811</v>
      </c>
      <c r="S30" s="65" t="s">
        <v>228</v>
      </c>
      <c r="T30" s="321">
        <v>1590000.0</v>
      </c>
      <c r="U30" s="28"/>
      <c r="V30" s="48"/>
      <c r="W30" s="80"/>
      <c r="X30" s="319" t="s">
        <v>883</v>
      </c>
      <c r="Y30" s="312" t="s">
        <v>788</v>
      </c>
      <c r="Z30" s="313" t="s">
        <v>752</v>
      </c>
      <c r="AA30" s="320" t="s">
        <v>884</v>
      </c>
      <c r="AB30" s="315" t="s">
        <v>885</v>
      </c>
      <c r="AC30" s="4"/>
      <c r="AD30" s="4"/>
      <c r="AE30" s="4"/>
    </row>
    <row r="31">
      <c r="A31" s="60">
        <v>27.0</v>
      </c>
      <c r="B31" s="28"/>
      <c r="C31" s="28"/>
      <c r="D31" s="39"/>
      <c r="E31" s="43">
        <v>8.0</v>
      </c>
      <c r="F31" s="39"/>
      <c r="G31" s="45" t="s">
        <v>127</v>
      </c>
      <c r="H31" s="45" t="s">
        <v>886</v>
      </c>
      <c r="I31" s="43" t="s">
        <v>887</v>
      </c>
      <c r="J31" s="68"/>
      <c r="K31" s="46" t="s">
        <v>57</v>
      </c>
      <c r="L31" s="47">
        <v>23867.0</v>
      </c>
      <c r="M31" s="45" t="s">
        <v>888</v>
      </c>
      <c r="N31" s="47">
        <v>43991.0</v>
      </c>
      <c r="O31" s="47">
        <v>47643.0</v>
      </c>
      <c r="P31" s="43" t="s">
        <v>889</v>
      </c>
      <c r="Q31" s="57"/>
      <c r="R31" s="64" t="s">
        <v>803</v>
      </c>
      <c r="S31" s="65" t="s">
        <v>228</v>
      </c>
      <c r="T31" s="321">
        <v>1590000.0</v>
      </c>
      <c r="U31" s="39"/>
      <c r="V31" s="57"/>
      <c r="W31" s="56"/>
      <c r="X31" s="319"/>
      <c r="Y31" s="312" t="s">
        <v>788</v>
      </c>
      <c r="Z31" s="313" t="s">
        <v>752</v>
      </c>
      <c r="AA31" s="183"/>
      <c r="AB31" s="317" t="s">
        <v>890</v>
      </c>
      <c r="AC31" s="4"/>
      <c r="AD31" s="4"/>
      <c r="AE31" s="4"/>
    </row>
    <row r="32">
      <c r="A32" s="97">
        <v>28.0</v>
      </c>
      <c r="B32" s="260"/>
      <c r="C32" s="260"/>
      <c r="D32" s="100">
        <v>5.0</v>
      </c>
      <c r="E32" s="98">
        <v>1.0</v>
      </c>
      <c r="F32" s="115" t="s">
        <v>637</v>
      </c>
      <c r="G32" s="116" t="s">
        <v>44</v>
      </c>
      <c r="H32" s="98" t="s">
        <v>891</v>
      </c>
      <c r="I32" s="98" t="s">
        <v>892</v>
      </c>
      <c r="J32" s="101"/>
      <c r="K32" s="102" t="s">
        <v>57</v>
      </c>
      <c r="L32" s="121">
        <v>27699.0</v>
      </c>
      <c r="M32" s="98" t="s">
        <v>893</v>
      </c>
      <c r="N32" s="121">
        <v>45481.0</v>
      </c>
      <c r="O32" s="121">
        <v>49133.0</v>
      </c>
      <c r="P32" s="98" t="s">
        <v>894</v>
      </c>
      <c r="Q32" s="104"/>
      <c r="R32" s="105" t="s">
        <v>895</v>
      </c>
      <c r="S32" s="118" t="s">
        <v>896</v>
      </c>
      <c r="T32" s="326">
        <v>1990000.0</v>
      </c>
      <c r="U32" s="100" t="s">
        <v>731</v>
      </c>
      <c r="V32" s="104"/>
      <c r="W32" s="216" t="s">
        <v>897</v>
      </c>
      <c r="X32" s="327" t="s">
        <v>898</v>
      </c>
      <c r="Y32" s="328"/>
      <c r="Z32" s="329"/>
      <c r="AA32" s="330"/>
      <c r="AB32" s="331"/>
      <c r="AC32" s="111"/>
      <c r="AD32" s="111"/>
      <c r="AE32" s="111"/>
    </row>
    <row r="33">
      <c r="A33" s="97">
        <v>29.0</v>
      </c>
      <c r="B33" s="39"/>
      <c r="C33" s="39"/>
      <c r="D33" s="28"/>
      <c r="E33" s="98">
        <v>1.0</v>
      </c>
      <c r="F33" s="39"/>
      <c r="G33" s="116"/>
      <c r="H33" s="101"/>
      <c r="I33" s="98" t="s">
        <v>899</v>
      </c>
      <c r="J33" s="101"/>
      <c r="K33" s="102" t="s">
        <v>47</v>
      </c>
      <c r="L33" s="103"/>
      <c r="M33" s="101"/>
      <c r="N33" s="103"/>
      <c r="O33" s="103"/>
      <c r="P33" s="101"/>
      <c r="Q33" s="104"/>
      <c r="R33" s="80"/>
      <c r="S33" s="28"/>
      <c r="T33" s="326">
        <v>1990000.0</v>
      </c>
      <c r="U33" s="28"/>
      <c r="V33" s="104"/>
      <c r="W33" s="216" t="s">
        <v>900</v>
      </c>
      <c r="X33" s="327"/>
      <c r="Y33" s="328"/>
      <c r="Z33" s="329"/>
      <c r="AA33" s="330"/>
      <c r="AB33" s="331"/>
      <c r="AC33" s="111"/>
      <c r="AD33" s="111"/>
      <c r="AE33" s="111"/>
    </row>
    <row r="34">
      <c r="A34" s="97">
        <v>30.0</v>
      </c>
      <c r="B34" s="260"/>
      <c r="C34" s="260"/>
      <c r="D34" s="28"/>
      <c r="E34" s="98">
        <v>2.0</v>
      </c>
      <c r="F34" s="115" t="s">
        <v>901</v>
      </c>
      <c r="G34" s="98" t="s">
        <v>902</v>
      </c>
      <c r="H34" s="98" t="s">
        <v>903</v>
      </c>
      <c r="I34" s="98" t="s">
        <v>904</v>
      </c>
      <c r="J34" s="101"/>
      <c r="K34" s="102" t="s">
        <v>57</v>
      </c>
      <c r="L34" s="121">
        <v>28157.0</v>
      </c>
      <c r="M34" s="98" t="s">
        <v>905</v>
      </c>
      <c r="N34" s="121">
        <v>42788.0</v>
      </c>
      <c r="O34" s="121">
        <v>46440.0</v>
      </c>
      <c r="P34" s="101"/>
      <c r="Q34" s="104"/>
      <c r="R34" s="80"/>
      <c r="S34" s="28"/>
      <c r="T34" s="326">
        <v>2390000.0</v>
      </c>
      <c r="U34" s="28"/>
      <c r="V34" s="104"/>
      <c r="W34" s="199"/>
      <c r="X34" s="327"/>
      <c r="Y34" s="328"/>
      <c r="Z34" s="329"/>
      <c r="AA34" s="330"/>
      <c r="AB34" s="331"/>
      <c r="AC34" s="111"/>
      <c r="AD34" s="111"/>
      <c r="AE34" s="111"/>
    </row>
    <row r="35">
      <c r="A35" s="97">
        <v>31.0</v>
      </c>
      <c r="B35" s="39"/>
      <c r="C35" s="39"/>
      <c r="D35" s="39"/>
      <c r="E35" s="98">
        <v>2.0</v>
      </c>
      <c r="F35" s="39"/>
      <c r="G35" s="98" t="s">
        <v>906</v>
      </c>
      <c r="H35" s="98" t="s">
        <v>907</v>
      </c>
      <c r="I35" s="98" t="s">
        <v>908</v>
      </c>
      <c r="J35" s="101"/>
      <c r="K35" s="102" t="s">
        <v>47</v>
      </c>
      <c r="L35" s="121">
        <v>26719.0</v>
      </c>
      <c r="M35" s="98" t="s">
        <v>909</v>
      </c>
      <c r="N35" s="121">
        <v>42822.0</v>
      </c>
      <c r="O35" s="121">
        <v>46474.0</v>
      </c>
      <c r="P35" s="101"/>
      <c r="Q35" s="104"/>
      <c r="R35" s="56"/>
      <c r="S35" s="39"/>
      <c r="T35" s="326">
        <v>2390000.0</v>
      </c>
      <c r="U35" s="39"/>
      <c r="V35" s="104"/>
      <c r="W35" s="199"/>
      <c r="X35" s="332"/>
      <c r="Y35" s="328"/>
      <c r="Z35" s="329"/>
      <c r="AA35" s="330"/>
      <c r="AB35" s="331"/>
      <c r="AC35" s="111"/>
      <c r="AD35" s="111"/>
      <c r="AE35" s="111"/>
    </row>
    <row r="36">
      <c r="A36" s="60">
        <v>32.0</v>
      </c>
      <c r="B36" s="84"/>
      <c r="C36" s="84"/>
      <c r="D36" s="40">
        <v>6.0</v>
      </c>
      <c r="E36" s="43">
        <v>1.0</v>
      </c>
      <c r="F36" s="62" t="s">
        <v>797</v>
      </c>
      <c r="G36" s="333" t="s">
        <v>44</v>
      </c>
      <c r="H36" s="333" t="s">
        <v>910</v>
      </c>
      <c r="I36" s="334" t="s">
        <v>911</v>
      </c>
      <c r="J36" s="333"/>
      <c r="K36" s="335" t="s">
        <v>47</v>
      </c>
      <c r="L36" s="336">
        <v>23278.0</v>
      </c>
      <c r="M36" s="333" t="s">
        <v>912</v>
      </c>
      <c r="N36" s="336">
        <v>43893.0</v>
      </c>
      <c r="O36" s="336">
        <v>47545.0</v>
      </c>
      <c r="P36" s="334" t="s">
        <v>913</v>
      </c>
      <c r="Q36" s="337"/>
      <c r="R36" s="338">
        <v>46022.0</v>
      </c>
      <c r="S36" s="325" t="s">
        <v>838</v>
      </c>
      <c r="T36" s="321">
        <v>1590000.0</v>
      </c>
      <c r="U36" s="50" t="s">
        <v>914</v>
      </c>
      <c r="V36" s="339" t="s">
        <v>915</v>
      </c>
      <c r="W36" s="212" t="s">
        <v>916</v>
      </c>
      <c r="X36" s="316"/>
      <c r="Y36" s="312" t="s">
        <v>733</v>
      </c>
      <c r="Z36" s="313" t="s">
        <v>789</v>
      </c>
      <c r="AA36" s="320" t="s">
        <v>917</v>
      </c>
      <c r="AB36" s="315" t="s">
        <v>918</v>
      </c>
      <c r="AC36" s="4"/>
      <c r="AD36" s="4"/>
      <c r="AE36" s="4"/>
    </row>
    <row r="37">
      <c r="A37" s="60">
        <v>33.0</v>
      </c>
      <c r="B37" s="39"/>
      <c r="C37" s="39"/>
      <c r="E37" s="43">
        <v>1.0</v>
      </c>
      <c r="F37" s="39"/>
      <c r="G37" s="333" t="s">
        <v>127</v>
      </c>
      <c r="H37" s="333" t="s">
        <v>919</v>
      </c>
      <c r="I37" s="334" t="s">
        <v>920</v>
      </c>
      <c r="J37" s="333"/>
      <c r="K37" s="335" t="s">
        <v>57</v>
      </c>
      <c r="L37" s="336">
        <v>24518.0</v>
      </c>
      <c r="M37" s="333" t="s">
        <v>921</v>
      </c>
      <c r="N37" s="336">
        <v>43039.0</v>
      </c>
      <c r="O37" s="336">
        <v>46691.0</v>
      </c>
      <c r="P37" s="334" t="s">
        <v>922</v>
      </c>
      <c r="Q37" s="337"/>
      <c r="R37" s="338">
        <v>46022.0</v>
      </c>
      <c r="S37" s="325" t="s">
        <v>838</v>
      </c>
      <c r="T37" s="321">
        <v>1590000.0</v>
      </c>
      <c r="U37" s="39"/>
      <c r="V37" s="339" t="s">
        <v>923</v>
      </c>
      <c r="W37" s="56"/>
      <c r="X37" s="316"/>
      <c r="Y37" s="312" t="s">
        <v>733</v>
      </c>
      <c r="Z37" s="313" t="s">
        <v>789</v>
      </c>
      <c r="AA37" s="320" t="s">
        <v>917</v>
      </c>
      <c r="AB37" s="315" t="s">
        <v>924</v>
      </c>
      <c r="AC37" s="4"/>
      <c r="AD37" s="4"/>
      <c r="AE37" s="4"/>
    </row>
    <row r="38">
      <c r="A38" s="41">
        <v>34.0</v>
      </c>
      <c r="B38" s="84"/>
      <c r="C38" s="84"/>
      <c r="D38" s="42">
        <v>7.0</v>
      </c>
      <c r="E38" s="43">
        <v>1.0</v>
      </c>
      <c r="F38" s="62" t="s">
        <v>745</v>
      </c>
      <c r="G38" s="68" t="s">
        <v>44</v>
      </c>
      <c r="H38" s="68" t="s">
        <v>925</v>
      </c>
      <c r="I38" s="74" t="s">
        <v>926</v>
      </c>
      <c r="J38" s="68"/>
      <c r="K38" s="340" t="s">
        <v>47</v>
      </c>
      <c r="L38" s="341">
        <v>16375.0</v>
      </c>
      <c r="M38" s="68" t="s">
        <v>927</v>
      </c>
      <c r="N38" s="83">
        <v>45345.0</v>
      </c>
      <c r="O38" s="342">
        <v>48998.0</v>
      </c>
      <c r="P38" s="45" t="s">
        <v>163</v>
      </c>
      <c r="Q38" s="57"/>
      <c r="R38" s="206" t="s">
        <v>928</v>
      </c>
      <c r="S38" s="325" t="s">
        <v>838</v>
      </c>
      <c r="T38" s="321">
        <v>1690000.0</v>
      </c>
      <c r="U38" s="42" t="s">
        <v>515</v>
      </c>
      <c r="V38" s="57"/>
      <c r="W38" s="343" t="s">
        <v>929</v>
      </c>
      <c r="X38" s="316"/>
      <c r="Y38" s="312" t="s">
        <v>733</v>
      </c>
      <c r="Z38" s="313" t="s">
        <v>930</v>
      </c>
      <c r="AA38" s="183"/>
      <c r="AB38" s="315" t="s">
        <v>931</v>
      </c>
      <c r="AC38" s="4"/>
      <c r="AD38" s="4"/>
      <c r="AE38" s="4"/>
    </row>
    <row r="39">
      <c r="A39" s="41">
        <v>35.0</v>
      </c>
      <c r="B39" s="39"/>
      <c r="C39" s="39"/>
      <c r="D39" s="28"/>
      <c r="E39" s="43">
        <v>1.0</v>
      </c>
      <c r="F39" s="39"/>
      <c r="G39" s="68" t="s">
        <v>31</v>
      </c>
      <c r="H39" s="68" t="s">
        <v>932</v>
      </c>
      <c r="I39" s="69" t="s">
        <v>933</v>
      </c>
      <c r="J39" s="68"/>
      <c r="K39" s="344" t="s">
        <v>57</v>
      </c>
      <c r="L39" s="345">
        <v>18482.0</v>
      </c>
      <c r="M39" s="68" t="s">
        <v>934</v>
      </c>
      <c r="N39" s="83">
        <v>44929.0</v>
      </c>
      <c r="O39" s="342">
        <v>48582.0</v>
      </c>
      <c r="P39" s="45" t="s">
        <v>163</v>
      </c>
      <c r="Q39" s="57"/>
      <c r="R39" s="80"/>
      <c r="S39" s="325" t="s">
        <v>838</v>
      </c>
      <c r="T39" s="321">
        <v>1690000.0</v>
      </c>
      <c r="U39" s="28"/>
      <c r="V39" s="57"/>
      <c r="W39" s="80"/>
      <c r="X39" s="316"/>
      <c r="Y39" s="312" t="s">
        <v>733</v>
      </c>
      <c r="Z39" s="313" t="s">
        <v>930</v>
      </c>
      <c r="AA39" s="183"/>
      <c r="AB39" s="315" t="s">
        <v>935</v>
      </c>
      <c r="AC39" s="4"/>
      <c r="AD39" s="4"/>
      <c r="AE39" s="4"/>
    </row>
    <row r="40">
      <c r="A40" s="41">
        <v>36.0</v>
      </c>
      <c r="B40" s="84"/>
      <c r="C40" s="84"/>
      <c r="D40" s="28"/>
      <c r="E40" s="43">
        <v>2.0</v>
      </c>
      <c r="F40" s="62" t="s">
        <v>745</v>
      </c>
      <c r="G40" s="68" t="s">
        <v>44</v>
      </c>
      <c r="H40" s="68" t="s">
        <v>936</v>
      </c>
      <c r="I40" s="69" t="s">
        <v>937</v>
      </c>
      <c r="J40" s="68"/>
      <c r="K40" s="344" t="s">
        <v>57</v>
      </c>
      <c r="L40" s="346">
        <v>19489.0</v>
      </c>
      <c r="M40" s="68" t="s">
        <v>938</v>
      </c>
      <c r="N40" s="83">
        <v>43840.0</v>
      </c>
      <c r="O40" s="342">
        <v>47493.0</v>
      </c>
      <c r="P40" s="45" t="s">
        <v>163</v>
      </c>
      <c r="Q40" s="57"/>
      <c r="R40" s="80"/>
      <c r="S40" s="325" t="s">
        <v>838</v>
      </c>
      <c r="T40" s="321">
        <v>1690000.0</v>
      </c>
      <c r="U40" s="28"/>
      <c r="V40" s="57"/>
      <c r="W40" s="80"/>
      <c r="X40" s="316"/>
      <c r="Y40" s="312" t="s">
        <v>733</v>
      </c>
      <c r="Z40" s="313" t="s">
        <v>930</v>
      </c>
      <c r="AA40" s="183"/>
      <c r="AB40" s="315" t="s">
        <v>939</v>
      </c>
      <c r="AC40" s="4"/>
      <c r="AD40" s="4"/>
      <c r="AE40" s="4"/>
    </row>
    <row r="41">
      <c r="A41" s="41">
        <v>37.0</v>
      </c>
      <c r="B41" s="39"/>
      <c r="C41" s="39"/>
      <c r="D41" s="28"/>
      <c r="E41" s="43">
        <v>2.0</v>
      </c>
      <c r="F41" s="39"/>
      <c r="G41" s="68" t="s">
        <v>44</v>
      </c>
      <c r="H41" s="68" t="s">
        <v>940</v>
      </c>
      <c r="I41" s="69" t="s">
        <v>941</v>
      </c>
      <c r="J41" s="68"/>
      <c r="K41" s="340" t="s">
        <v>47</v>
      </c>
      <c r="L41" s="76">
        <v>19737.0</v>
      </c>
      <c r="M41" s="68" t="s">
        <v>942</v>
      </c>
      <c r="N41" s="83">
        <v>44929.0</v>
      </c>
      <c r="O41" s="83">
        <v>48582.0</v>
      </c>
      <c r="P41" s="45" t="s">
        <v>163</v>
      </c>
      <c r="Q41" s="57"/>
      <c r="R41" s="80"/>
      <c r="S41" s="325" t="s">
        <v>838</v>
      </c>
      <c r="T41" s="321">
        <v>1690000.0</v>
      </c>
      <c r="U41" s="28"/>
      <c r="V41" s="57"/>
      <c r="W41" s="80"/>
      <c r="X41" s="316"/>
      <c r="Y41" s="312" t="s">
        <v>733</v>
      </c>
      <c r="Z41" s="313" t="s">
        <v>930</v>
      </c>
      <c r="AA41" s="183"/>
      <c r="AB41" s="317" t="s">
        <v>943</v>
      </c>
      <c r="AC41" s="4"/>
      <c r="AD41" s="4"/>
      <c r="AE41" s="4"/>
    </row>
    <row r="42">
      <c r="A42" s="41">
        <v>38.0</v>
      </c>
      <c r="B42" s="84"/>
      <c r="C42" s="84"/>
      <c r="D42" s="28"/>
      <c r="E42" s="43">
        <v>3.0</v>
      </c>
      <c r="F42" s="62" t="s">
        <v>745</v>
      </c>
      <c r="G42" s="68" t="s">
        <v>944</v>
      </c>
      <c r="H42" s="68" t="s">
        <v>945</v>
      </c>
      <c r="I42" s="69" t="s">
        <v>946</v>
      </c>
      <c r="J42" s="68"/>
      <c r="K42" s="340" t="s">
        <v>57</v>
      </c>
      <c r="L42" s="76">
        <v>20679.0</v>
      </c>
      <c r="M42" s="68" t="s">
        <v>947</v>
      </c>
      <c r="N42" s="83">
        <v>44929.0</v>
      </c>
      <c r="O42" s="83">
        <v>48582.0</v>
      </c>
      <c r="P42" s="45" t="s">
        <v>163</v>
      </c>
      <c r="Q42" s="57"/>
      <c r="R42" s="80"/>
      <c r="S42" s="325" t="s">
        <v>838</v>
      </c>
      <c r="T42" s="321">
        <v>1690000.0</v>
      </c>
      <c r="U42" s="28"/>
      <c r="V42" s="57"/>
      <c r="W42" s="80"/>
      <c r="X42" s="316"/>
      <c r="Y42" s="312" t="s">
        <v>733</v>
      </c>
      <c r="Z42" s="313" t="s">
        <v>930</v>
      </c>
      <c r="AA42" s="183"/>
      <c r="AB42" s="315" t="s">
        <v>948</v>
      </c>
      <c r="AC42" s="4"/>
      <c r="AD42" s="4"/>
      <c r="AE42" s="4"/>
    </row>
    <row r="43">
      <c r="A43" s="41">
        <v>39.0</v>
      </c>
      <c r="B43" s="39"/>
      <c r="C43" s="39"/>
      <c r="D43" s="28"/>
      <c r="E43" s="43">
        <v>3.0</v>
      </c>
      <c r="F43" s="39"/>
      <c r="G43" s="68" t="s">
        <v>44</v>
      </c>
      <c r="H43" s="68" t="s">
        <v>949</v>
      </c>
      <c r="I43" s="69" t="s">
        <v>950</v>
      </c>
      <c r="J43" s="68"/>
      <c r="K43" s="340" t="s">
        <v>47</v>
      </c>
      <c r="L43" s="76">
        <v>22069.0</v>
      </c>
      <c r="M43" s="68" t="s">
        <v>951</v>
      </c>
      <c r="N43" s="83">
        <v>46030.0</v>
      </c>
      <c r="O43" s="83">
        <v>49682.0</v>
      </c>
      <c r="P43" s="45" t="s">
        <v>163</v>
      </c>
      <c r="Q43" s="57"/>
      <c r="R43" s="80"/>
      <c r="S43" s="325" t="s">
        <v>838</v>
      </c>
      <c r="T43" s="321">
        <v>1690000.0</v>
      </c>
      <c r="U43" s="28"/>
      <c r="V43" s="57"/>
      <c r="W43" s="80"/>
      <c r="X43" s="316"/>
      <c r="Y43" s="312" t="s">
        <v>733</v>
      </c>
      <c r="Z43" s="313" t="s">
        <v>930</v>
      </c>
      <c r="AA43" s="183"/>
      <c r="AB43" s="315" t="s">
        <v>952</v>
      </c>
      <c r="AC43" s="4"/>
      <c r="AD43" s="4"/>
      <c r="AE43" s="4"/>
    </row>
    <row r="44">
      <c r="A44" s="41">
        <v>40.0</v>
      </c>
      <c r="B44" s="84"/>
      <c r="C44" s="84"/>
      <c r="D44" s="28"/>
      <c r="E44" s="43">
        <v>4.0</v>
      </c>
      <c r="F44" s="62" t="s">
        <v>745</v>
      </c>
      <c r="G44" s="68" t="s">
        <v>44</v>
      </c>
      <c r="H44" s="68" t="s">
        <v>953</v>
      </c>
      <c r="I44" s="69" t="s">
        <v>954</v>
      </c>
      <c r="J44" s="68"/>
      <c r="K44" s="340" t="s">
        <v>57</v>
      </c>
      <c r="L44" s="76">
        <v>22262.0</v>
      </c>
      <c r="M44" s="68" t="s">
        <v>955</v>
      </c>
      <c r="N44" s="83">
        <v>44928.0</v>
      </c>
      <c r="O44" s="83">
        <v>48581.0</v>
      </c>
      <c r="P44" s="45" t="s">
        <v>163</v>
      </c>
      <c r="Q44" s="57"/>
      <c r="R44" s="80"/>
      <c r="S44" s="325" t="s">
        <v>838</v>
      </c>
      <c r="T44" s="321">
        <v>1690000.0</v>
      </c>
      <c r="U44" s="28"/>
      <c r="V44" s="57"/>
      <c r="W44" s="80"/>
      <c r="X44" s="316"/>
      <c r="Y44" s="312" t="s">
        <v>733</v>
      </c>
      <c r="Z44" s="313" t="s">
        <v>930</v>
      </c>
      <c r="AA44" s="183"/>
      <c r="AB44" s="315" t="s">
        <v>956</v>
      </c>
      <c r="AC44" s="4"/>
      <c r="AD44" s="4"/>
      <c r="AE44" s="4"/>
    </row>
    <row r="45">
      <c r="A45" s="41">
        <v>41.0</v>
      </c>
      <c r="B45" s="39"/>
      <c r="C45" s="39"/>
      <c r="D45" s="28"/>
      <c r="E45" s="43">
        <v>4.0</v>
      </c>
      <c r="F45" s="39"/>
      <c r="G45" s="68" t="s">
        <v>44</v>
      </c>
      <c r="H45" s="68" t="s">
        <v>78</v>
      </c>
      <c r="I45" s="69" t="s">
        <v>957</v>
      </c>
      <c r="J45" s="68"/>
      <c r="K45" s="340" t="s">
        <v>47</v>
      </c>
      <c r="L45" s="341">
        <v>22682.0</v>
      </c>
      <c r="M45" s="68" t="s">
        <v>958</v>
      </c>
      <c r="N45" s="83">
        <v>44691.0</v>
      </c>
      <c r="O45" s="83">
        <v>48344.0</v>
      </c>
      <c r="P45" s="45" t="s">
        <v>959</v>
      </c>
      <c r="Q45" s="57"/>
      <c r="R45" s="80"/>
      <c r="S45" s="325" t="s">
        <v>838</v>
      </c>
      <c r="T45" s="321">
        <v>1690000.0</v>
      </c>
      <c r="U45" s="28"/>
      <c r="V45" s="57"/>
      <c r="W45" s="80"/>
      <c r="X45" s="316"/>
      <c r="Y45" s="312" t="s">
        <v>733</v>
      </c>
      <c r="Z45" s="313" t="s">
        <v>930</v>
      </c>
      <c r="AA45" s="183"/>
      <c r="AB45" s="315" t="s">
        <v>960</v>
      </c>
      <c r="AC45" s="4"/>
      <c r="AD45" s="4"/>
      <c r="AE45" s="4"/>
    </row>
    <row r="46">
      <c r="A46" s="41">
        <v>42.0</v>
      </c>
      <c r="B46" s="84"/>
      <c r="C46" s="84"/>
      <c r="D46" s="28"/>
      <c r="E46" s="43">
        <v>5.0</v>
      </c>
      <c r="F46" s="62" t="s">
        <v>745</v>
      </c>
      <c r="G46" s="68" t="s">
        <v>121</v>
      </c>
      <c r="H46" s="68" t="s">
        <v>961</v>
      </c>
      <c r="I46" s="69" t="s">
        <v>962</v>
      </c>
      <c r="J46" s="68"/>
      <c r="K46" s="340" t="s">
        <v>47</v>
      </c>
      <c r="L46" s="76">
        <v>23408.0</v>
      </c>
      <c r="M46" s="68" t="s">
        <v>963</v>
      </c>
      <c r="N46" s="83">
        <v>46031.0</v>
      </c>
      <c r="O46" s="83">
        <v>49683.0</v>
      </c>
      <c r="P46" s="45" t="s">
        <v>163</v>
      </c>
      <c r="Q46" s="57"/>
      <c r="R46" s="80"/>
      <c r="S46" s="325" t="s">
        <v>838</v>
      </c>
      <c r="T46" s="321">
        <v>1690000.0</v>
      </c>
      <c r="U46" s="28"/>
      <c r="V46" s="57"/>
      <c r="W46" s="80"/>
      <c r="X46" s="316"/>
      <c r="Y46" s="312" t="s">
        <v>733</v>
      </c>
      <c r="Z46" s="313" t="s">
        <v>930</v>
      </c>
      <c r="AA46" s="183"/>
      <c r="AB46" s="315" t="s">
        <v>964</v>
      </c>
      <c r="AC46" s="4"/>
      <c r="AD46" s="4"/>
      <c r="AE46" s="4"/>
    </row>
    <row r="47">
      <c r="A47" s="41">
        <v>43.0</v>
      </c>
      <c r="B47" s="39"/>
      <c r="C47" s="39"/>
      <c r="D47" s="39"/>
      <c r="E47" s="43">
        <v>5.0</v>
      </c>
      <c r="F47" s="39"/>
      <c r="G47" s="68" t="s">
        <v>44</v>
      </c>
      <c r="H47" s="68" t="s">
        <v>965</v>
      </c>
      <c r="I47" s="69" t="s">
        <v>966</v>
      </c>
      <c r="J47" s="68"/>
      <c r="K47" s="340" t="s">
        <v>57</v>
      </c>
      <c r="L47" s="76">
        <v>24558.0</v>
      </c>
      <c r="M47" s="68" t="s">
        <v>967</v>
      </c>
      <c r="N47" s="83">
        <v>43838.0</v>
      </c>
      <c r="O47" s="83">
        <v>47491.0</v>
      </c>
      <c r="P47" s="45" t="s">
        <v>163</v>
      </c>
      <c r="Q47" s="57"/>
      <c r="R47" s="56"/>
      <c r="S47" s="325" t="s">
        <v>838</v>
      </c>
      <c r="T47" s="321">
        <v>1690000.0</v>
      </c>
      <c r="U47" s="39"/>
      <c r="V47" s="57"/>
      <c r="W47" s="56"/>
      <c r="X47" s="316"/>
      <c r="Y47" s="312" t="s">
        <v>733</v>
      </c>
      <c r="Z47" s="313" t="s">
        <v>930</v>
      </c>
      <c r="AA47" s="183"/>
      <c r="AB47" s="315" t="s">
        <v>968</v>
      </c>
      <c r="AC47" s="4"/>
      <c r="AD47" s="4"/>
      <c r="AE47" s="4"/>
    </row>
    <row r="48" ht="56.25" customHeight="1">
      <c r="A48" s="97">
        <v>44.0</v>
      </c>
      <c r="B48" s="260"/>
      <c r="C48" s="260"/>
      <c r="D48" s="100">
        <v>8.0</v>
      </c>
      <c r="E48" s="98">
        <v>1.0</v>
      </c>
      <c r="F48" s="115" t="s">
        <v>726</v>
      </c>
      <c r="G48" s="101"/>
      <c r="H48" s="101"/>
      <c r="I48" s="98" t="s">
        <v>969</v>
      </c>
      <c r="J48" s="101"/>
      <c r="K48" s="101"/>
      <c r="L48" s="103"/>
      <c r="M48" s="101"/>
      <c r="N48" s="103"/>
      <c r="O48" s="103"/>
      <c r="P48" s="98" t="s">
        <v>970</v>
      </c>
      <c r="Q48" s="104"/>
      <c r="R48" s="347" t="s">
        <v>971</v>
      </c>
      <c r="S48" s="348" t="s">
        <v>972</v>
      </c>
      <c r="T48" s="349"/>
      <c r="U48" s="100" t="s">
        <v>731</v>
      </c>
      <c r="V48" s="104"/>
      <c r="W48" s="350" t="s">
        <v>973</v>
      </c>
      <c r="X48" s="327" t="s">
        <v>974</v>
      </c>
      <c r="Y48" s="351" t="s">
        <v>975</v>
      </c>
      <c r="Z48" s="352" t="s">
        <v>976</v>
      </c>
      <c r="AA48" s="330"/>
      <c r="AB48" s="331" t="s">
        <v>977</v>
      </c>
      <c r="AC48" s="111"/>
      <c r="AD48" s="111"/>
      <c r="AE48" s="111"/>
    </row>
    <row r="49" ht="47.25" customHeight="1">
      <c r="A49" s="97">
        <v>45.0</v>
      </c>
      <c r="B49" s="39"/>
      <c r="C49" s="39"/>
      <c r="D49" s="28"/>
      <c r="E49" s="98">
        <v>1.0</v>
      </c>
      <c r="F49" s="28"/>
      <c r="G49" s="101"/>
      <c r="H49" s="101"/>
      <c r="I49" s="98" t="s">
        <v>978</v>
      </c>
      <c r="J49" s="101"/>
      <c r="K49" s="101"/>
      <c r="L49" s="103"/>
      <c r="M49" s="101"/>
      <c r="N49" s="103"/>
      <c r="O49" s="103"/>
      <c r="P49" s="98" t="s">
        <v>163</v>
      </c>
      <c r="Q49" s="104"/>
      <c r="R49" s="80"/>
      <c r="S49" s="28"/>
      <c r="T49" s="349"/>
      <c r="U49" s="28"/>
      <c r="V49" s="104"/>
      <c r="W49" s="80"/>
      <c r="X49" s="327" t="s">
        <v>979</v>
      </c>
      <c r="Y49" s="351" t="s">
        <v>975</v>
      </c>
      <c r="Z49" s="352" t="s">
        <v>976</v>
      </c>
      <c r="AA49" s="330"/>
      <c r="AB49" s="331" t="s">
        <v>977</v>
      </c>
      <c r="AC49" s="111"/>
      <c r="AD49" s="111"/>
      <c r="AE49" s="111"/>
    </row>
    <row r="50" ht="41.25" customHeight="1">
      <c r="A50" s="97">
        <v>46.0</v>
      </c>
      <c r="B50" s="101"/>
      <c r="C50" s="101"/>
      <c r="D50" s="39"/>
      <c r="E50" s="98">
        <v>1.0</v>
      </c>
      <c r="F50" s="39"/>
      <c r="G50" s="101"/>
      <c r="H50" s="101"/>
      <c r="I50" s="98" t="s">
        <v>980</v>
      </c>
      <c r="J50" s="101"/>
      <c r="K50" s="101"/>
      <c r="L50" s="103"/>
      <c r="M50" s="101"/>
      <c r="N50" s="103"/>
      <c r="O50" s="103"/>
      <c r="P50" s="98" t="s">
        <v>163</v>
      </c>
      <c r="Q50" s="104"/>
      <c r="R50" s="56"/>
      <c r="S50" s="39"/>
      <c r="T50" s="349"/>
      <c r="U50" s="39"/>
      <c r="V50" s="104"/>
      <c r="W50" s="56"/>
      <c r="X50" s="327" t="s">
        <v>981</v>
      </c>
      <c r="Y50" s="351" t="s">
        <v>975</v>
      </c>
      <c r="Z50" s="352" t="s">
        <v>976</v>
      </c>
      <c r="AA50" s="330"/>
      <c r="AB50" s="331" t="s">
        <v>977</v>
      </c>
      <c r="AC50" s="111"/>
      <c r="AD50" s="111"/>
      <c r="AE50" s="111"/>
    </row>
    <row r="51">
      <c r="A51" s="97">
        <v>47.0</v>
      </c>
      <c r="B51" s="260"/>
      <c r="C51" s="260"/>
      <c r="D51" s="100">
        <v>9.0</v>
      </c>
      <c r="E51" s="98">
        <v>1.0</v>
      </c>
      <c r="F51" s="115" t="s">
        <v>982</v>
      </c>
      <c r="G51" s="353" t="s">
        <v>121</v>
      </c>
      <c r="H51" s="354" t="s">
        <v>983</v>
      </c>
      <c r="I51" s="98" t="s">
        <v>984</v>
      </c>
      <c r="J51" s="101"/>
      <c r="K51" s="353" t="s">
        <v>57</v>
      </c>
      <c r="L51" s="355">
        <v>23403.0</v>
      </c>
      <c r="M51" s="353" t="s">
        <v>985</v>
      </c>
      <c r="N51" s="356">
        <v>45020.0</v>
      </c>
      <c r="O51" s="356">
        <v>48673.0</v>
      </c>
      <c r="P51" s="357" t="s">
        <v>986</v>
      </c>
      <c r="Q51" s="104"/>
      <c r="R51" s="105">
        <v>46064.0</v>
      </c>
      <c r="S51" s="118" t="s">
        <v>50</v>
      </c>
      <c r="T51" s="107">
        <v>1890000.0</v>
      </c>
      <c r="U51" s="100" t="s">
        <v>515</v>
      </c>
      <c r="V51" s="104"/>
      <c r="W51" s="358"/>
      <c r="X51" s="332"/>
      <c r="Y51" s="328"/>
      <c r="Z51" s="352" t="s">
        <v>987</v>
      </c>
      <c r="AA51" s="330"/>
      <c r="AB51" s="359"/>
      <c r="AC51" s="111"/>
      <c r="AD51" s="111"/>
      <c r="AE51" s="111"/>
    </row>
    <row r="52" ht="15.0" customHeight="1">
      <c r="A52" s="97">
        <v>48.0</v>
      </c>
      <c r="B52" s="39"/>
      <c r="C52" s="39"/>
      <c r="D52" s="39"/>
      <c r="E52" s="98">
        <v>1.0</v>
      </c>
      <c r="F52" s="39"/>
      <c r="G52" s="360" t="s">
        <v>31</v>
      </c>
      <c r="H52" s="361" t="s">
        <v>988</v>
      </c>
      <c r="I52" s="98" t="s">
        <v>989</v>
      </c>
      <c r="J52" s="101"/>
      <c r="K52" s="360" t="s">
        <v>57</v>
      </c>
      <c r="L52" s="362">
        <v>23494.0</v>
      </c>
      <c r="M52" s="360" t="s">
        <v>990</v>
      </c>
      <c r="N52" s="363">
        <v>44896.0</v>
      </c>
      <c r="O52" s="363">
        <v>48549.0</v>
      </c>
      <c r="P52" s="98" t="s">
        <v>163</v>
      </c>
      <c r="Q52" s="104"/>
      <c r="R52" s="56"/>
      <c r="S52" s="118" t="s">
        <v>50</v>
      </c>
      <c r="T52" s="107">
        <v>1890000.0</v>
      </c>
      <c r="U52" s="39"/>
      <c r="V52" s="104"/>
      <c r="W52" s="56"/>
      <c r="X52" s="332"/>
      <c r="Y52" s="328"/>
      <c r="Z52" s="352" t="s">
        <v>987</v>
      </c>
      <c r="AA52" s="330"/>
      <c r="AB52" s="359"/>
      <c r="AC52" s="111"/>
      <c r="AD52" s="111"/>
      <c r="AE52" s="111"/>
    </row>
    <row r="53">
      <c r="A53" s="60">
        <v>49.0</v>
      </c>
      <c r="B53" s="69"/>
      <c r="C53" s="69"/>
      <c r="D53" s="42">
        <v>10.0</v>
      </c>
      <c r="E53" s="43">
        <v>1.0</v>
      </c>
      <c r="F53" s="62" t="s">
        <v>982</v>
      </c>
      <c r="G53" s="68" t="s">
        <v>44</v>
      </c>
      <c r="H53" s="68" t="s">
        <v>991</v>
      </c>
      <c r="I53" s="69" t="s">
        <v>992</v>
      </c>
      <c r="J53" s="68"/>
      <c r="K53" s="340" t="s">
        <v>47</v>
      </c>
      <c r="L53" s="341">
        <v>21698.0</v>
      </c>
      <c r="M53" s="68" t="s">
        <v>993</v>
      </c>
      <c r="N53" s="83">
        <v>45978.0</v>
      </c>
      <c r="O53" s="83">
        <v>49630.0</v>
      </c>
      <c r="P53" s="45" t="s">
        <v>994</v>
      </c>
      <c r="Q53" s="57"/>
      <c r="R53" s="219"/>
      <c r="S53" s="96" t="s">
        <v>995</v>
      </c>
      <c r="T53" s="51">
        <v>1890000.0</v>
      </c>
      <c r="U53" s="42" t="s">
        <v>515</v>
      </c>
      <c r="V53" s="57"/>
      <c r="W53" s="212"/>
      <c r="X53" s="316"/>
      <c r="Y53" s="312" t="s">
        <v>563</v>
      </c>
      <c r="Z53" s="364" t="s">
        <v>996</v>
      </c>
      <c r="AA53" s="365" t="s">
        <v>997</v>
      </c>
      <c r="AB53" s="315" t="s">
        <v>998</v>
      </c>
      <c r="AC53" s="4"/>
      <c r="AD53" s="4"/>
      <c r="AE53" s="4"/>
    </row>
    <row r="54">
      <c r="A54" s="60">
        <v>50.0</v>
      </c>
      <c r="B54" s="69"/>
      <c r="C54" s="69"/>
      <c r="D54" s="28"/>
      <c r="E54" s="43">
        <v>1.0</v>
      </c>
      <c r="F54" s="39"/>
      <c r="G54" s="68" t="s">
        <v>44</v>
      </c>
      <c r="H54" s="68" t="s">
        <v>999</v>
      </c>
      <c r="I54" s="69" t="s">
        <v>1000</v>
      </c>
      <c r="J54" s="68"/>
      <c r="K54" s="340" t="s">
        <v>47</v>
      </c>
      <c r="L54" s="341">
        <v>16361.0</v>
      </c>
      <c r="M54" s="68" t="s">
        <v>1001</v>
      </c>
      <c r="N54" s="83">
        <v>46078.0</v>
      </c>
      <c r="O54" s="83">
        <v>49730.0</v>
      </c>
      <c r="P54" s="45"/>
      <c r="Q54" s="57"/>
      <c r="R54" s="219"/>
      <c r="S54" s="28"/>
      <c r="T54" s="51">
        <v>1890000.0</v>
      </c>
      <c r="U54" s="28"/>
      <c r="V54" s="57"/>
      <c r="W54" s="80"/>
      <c r="X54" s="316"/>
      <c r="Y54" s="312" t="s">
        <v>563</v>
      </c>
      <c r="Z54" s="80"/>
      <c r="AA54" s="157"/>
      <c r="AB54" s="315" t="s">
        <v>1002</v>
      </c>
      <c r="AC54" s="4"/>
      <c r="AD54" s="4"/>
      <c r="AE54" s="4"/>
    </row>
    <row r="55">
      <c r="A55" s="60">
        <v>51.0</v>
      </c>
      <c r="B55" s="69"/>
      <c r="C55" s="69"/>
      <c r="D55" s="28"/>
      <c r="E55" s="43">
        <v>2.0</v>
      </c>
      <c r="F55" s="62" t="s">
        <v>982</v>
      </c>
      <c r="G55" s="68" t="s">
        <v>127</v>
      </c>
      <c r="H55" s="68" t="s">
        <v>1003</v>
      </c>
      <c r="I55" s="69" t="s">
        <v>1004</v>
      </c>
      <c r="J55" s="68"/>
      <c r="K55" s="340" t="s">
        <v>57</v>
      </c>
      <c r="L55" s="341">
        <v>15242.0</v>
      </c>
      <c r="M55" s="68" t="s">
        <v>1005</v>
      </c>
      <c r="N55" s="83">
        <v>46090.0</v>
      </c>
      <c r="O55" s="83">
        <v>49743.0</v>
      </c>
      <c r="P55" s="45"/>
      <c r="Q55" s="57"/>
      <c r="R55" s="219"/>
      <c r="S55" s="28"/>
      <c r="T55" s="51">
        <v>1890000.0</v>
      </c>
      <c r="U55" s="28"/>
      <c r="V55" s="57"/>
      <c r="W55" s="80"/>
      <c r="X55" s="316"/>
      <c r="Y55" s="312" t="s">
        <v>563</v>
      </c>
      <c r="Z55" s="80"/>
      <c r="AA55" s="157"/>
      <c r="AB55" s="317" t="s">
        <v>1006</v>
      </c>
      <c r="AC55" s="4"/>
      <c r="AD55" s="4"/>
      <c r="AE55" s="4"/>
    </row>
    <row r="56">
      <c r="A56" s="60">
        <v>52.0</v>
      </c>
      <c r="B56" s="69"/>
      <c r="C56" s="69"/>
      <c r="D56" s="28"/>
      <c r="E56" s="43">
        <v>2.0</v>
      </c>
      <c r="F56" s="39"/>
      <c r="G56" s="68" t="s">
        <v>44</v>
      </c>
      <c r="H56" s="68" t="s">
        <v>1007</v>
      </c>
      <c r="I56" s="69" t="s">
        <v>1008</v>
      </c>
      <c r="J56" s="68"/>
      <c r="K56" s="340" t="s">
        <v>57</v>
      </c>
      <c r="L56" s="341">
        <v>16281.0</v>
      </c>
      <c r="M56" s="68" t="s">
        <v>1009</v>
      </c>
      <c r="N56" s="83">
        <v>46079.0</v>
      </c>
      <c r="O56" s="83">
        <v>49731.0</v>
      </c>
      <c r="P56" s="45"/>
      <c r="Q56" s="57"/>
      <c r="R56" s="219"/>
      <c r="S56" s="28"/>
      <c r="T56" s="51">
        <v>1890000.0</v>
      </c>
      <c r="U56" s="28"/>
      <c r="V56" s="57"/>
      <c r="W56" s="80"/>
      <c r="X56" s="316"/>
      <c r="Y56" s="312" t="s">
        <v>563</v>
      </c>
      <c r="Z56" s="80"/>
      <c r="AA56" s="157"/>
      <c r="AB56" s="315" t="s">
        <v>1010</v>
      </c>
      <c r="AC56" s="4"/>
      <c r="AD56" s="4"/>
      <c r="AE56" s="4"/>
    </row>
    <row r="57">
      <c r="A57" s="60">
        <v>53.0</v>
      </c>
      <c r="B57" s="69"/>
      <c r="C57" s="69"/>
      <c r="D57" s="28"/>
      <c r="E57" s="43">
        <v>3.0</v>
      </c>
      <c r="F57" s="62" t="s">
        <v>982</v>
      </c>
      <c r="G57" s="68" t="s">
        <v>121</v>
      </c>
      <c r="H57" s="68" t="s">
        <v>1011</v>
      </c>
      <c r="I57" s="69" t="s">
        <v>1012</v>
      </c>
      <c r="J57" s="68"/>
      <c r="K57" s="340" t="s">
        <v>57</v>
      </c>
      <c r="L57" s="341">
        <v>16333.0</v>
      </c>
      <c r="M57" s="68" t="s">
        <v>1013</v>
      </c>
      <c r="N57" s="83">
        <v>46090.0</v>
      </c>
      <c r="O57" s="83">
        <v>49743.0</v>
      </c>
      <c r="P57" s="45"/>
      <c r="Q57" s="57"/>
      <c r="R57" s="219"/>
      <c r="S57" s="28"/>
      <c r="T57" s="51">
        <v>1890000.0</v>
      </c>
      <c r="U57" s="28"/>
      <c r="V57" s="57"/>
      <c r="W57" s="80"/>
      <c r="X57" s="316"/>
      <c r="Y57" s="312" t="s">
        <v>563</v>
      </c>
      <c r="Z57" s="80"/>
      <c r="AA57" s="157"/>
      <c r="AB57" s="317" t="s">
        <v>1014</v>
      </c>
      <c r="AC57" s="4"/>
      <c r="AD57" s="4"/>
      <c r="AE57" s="4"/>
    </row>
    <row r="58">
      <c r="A58" s="60">
        <v>54.0</v>
      </c>
      <c r="B58" s="69"/>
      <c r="C58" s="69"/>
      <c r="D58" s="28"/>
      <c r="E58" s="43">
        <v>3.0</v>
      </c>
      <c r="F58" s="39"/>
      <c r="G58" s="68" t="s">
        <v>44</v>
      </c>
      <c r="H58" s="68" t="s">
        <v>1015</v>
      </c>
      <c r="I58" s="69" t="s">
        <v>1016</v>
      </c>
      <c r="J58" s="68"/>
      <c r="K58" s="340" t="s">
        <v>57</v>
      </c>
      <c r="L58" s="341">
        <v>17269.0</v>
      </c>
      <c r="M58" s="68" t="s">
        <v>1017</v>
      </c>
      <c r="N58" s="83">
        <v>46090.0</v>
      </c>
      <c r="O58" s="366">
        <v>49743.0</v>
      </c>
      <c r="P58" s="45"/>
      <c r="Q58" s="57"/>
      <c r="R58" s="219"/>
      <c r="S58" s="28"/>
      <c r="T58" s="51">
        <v>1890000.0</v>
      </c>
      <c r="U58" s="28"/>
      <c r="V58" s="57"/>
      <c r="W58" s="80"/>
      <c r="X58" s="316"/>
      <c r="Y58" s="312" t="s">
        <v>563</v>
      </c>
      <c r="Z58" s="80"/>
      <c r="AA58" s="157"/>
      <c r="AB58" s="315" t="s">
        <v>1018</v>
      </c>
      <c r="AC58" s="4"/>
      <c r="AD58" s="4"/>
      <c r="AE58" s="4"/>
    </row>
    <row r="59">
      <c r="A59" s="60">
        <v>55.0</v>
      </c>
      <c r="B59" s="69"/>
      <c r="C59" s="69"/>
      <c r="D59" s="28"/>
      <c r="E59" s="43">
        <v>4.0</v>
      </c>
      <c r="F59" s="62" t="s">
        <v>982</v>
      </c>
      <c r="G59" s="68" t="s">
        <v>1019</v>
      </c>
      <c r="H59" s="68" t="s">
        <v>1020</v>
      </c>
      <c r="I59" s="69" t="s">
        <v>1021</v>
      </c>
      <c r="J59" s="68"/>
      <c r="K59" s="340" t="s">
        <v>57</v>
      </c>
      <c r="L59" s="341">
        <v>17207.0</v>
      </c>
      <c r="M59" s="68" t="s">
        <v>1022</v>
      </c>
      <c r="N59" s="83">
        <v>46090.0</v>
      </c>
      <c r="O59" s="83">
        <v>49743.0</v>
      </c>
      <c r="P59" s="45"/>
      <c r="Q59" s="57"/>
      <c r="R59" s="219"/>
      <c r="S59" s="28"/>
      <c r="T59" s="51">
        <v>1890000.0</v>
      </c>
      <c r="U59" s="28"/>
      <c r="V59" s="57"/>
      <c r="W59" s="80"/>
      <c r="X59" s="316"/>
      <c r="Y59" s="312" t="s">
        <v>563</v>
      </c>
      <c r="Z59" s="80"/>
      <c r="AA59" s="157"/>
      <c r="AB59" s="315" t="s">
        <v>1023</v>
      </c>
      <c r="AC59" s="4"/>
      <c r="AD59" s="4"/>
      <c r="AE59" s="4"/>
    </row>
    <row r="60">
      <c r="A60" s="60">
        <v>56.0</v>
      </c>
      <c r="B60" s="69"/>
      <c r="C60" s="69"/>
      <c r="D60" s="28"/>
      <c r="E60" s="43">
        <v>4.0</v>
      </c>
      <c r="F60" s="39"/>
      <c r="G60" s="68" t="s">
        <v>44</v>
      </c>
      <c r="H60" s="68" t="s">
        <v>1024</v>
      </c>
      <c r="I60" s="69" t="s">
        <v>1025</v>
      </c>
      <c r="J60" s="68"/>
      <c r="K60" s="340" t="s">
        <v>57</v>
      </c>
      <c r="L60" s="341">
        <v>17213.0</v>
      </c>
      <c r="M60" s="68" t="s">
        <v>1026</v>
      </c>
      <c r="N60" s="83">
        <v>46090.0</v>
      </c>
      <c r="O60" s="83">
        <v>49743.0</v>
      </c>
      <c r="P60" s="45"/>
      <c r="Q60" s="57"/>
      <c r="R60" s="219"/>
      <c r="S60" s="28"/>
      <c r="T60" s="51">
        <v>1890000.0</v>
      </c>
      <c r="U60" s="28"/>
      <c r="V60" s="57"/>
      <c r="W60" s="80"/>
      <c r="X60" s="316"/>
      <c r="Y60" s="312" t="s">
        <v>563</v>
      </c>
      <c r="Z60" s="80"/>
      <c r="AA60" s="157"/>
      <c r="AB60" s="315" t="s">
        <v>1027</v>
      </c>
      <c r="AC60" s="4"/>
      <c r="AD60" s="4"/>
      <c r="AE60" s="4"/>
    </row>
    <row r="61">
      <c r="A61" s="60">
        <v>57.0</v>
      </c>
      <c r="B61" s="69"/>
      <c r="C61" s="69"/>
      <c r="D61" s="28"/>
      <c r="E61" s="43">
        <v>5.0</v>
      </c>
      <c r="F61" s="62" t="s">
        <v>982</v>
      </c>
      <c r="G61" s="68" t="s">
        <v>44</v>
      </c>
      <c r="H61" s="68" t="s">
        <v>1028</v>
      </c>
      <c r="I61" s="69" t="s">
        <v>1029</v>
      </c>
      <c r="J61" s="68"/>
      <c r="K61" s="340" t="s">
        <v>57</v>
      </c>
      <c r="L61" s="341">
        <v>18887.0</v>
      </c>
      <c r="M61" s="68" t="s">
        <v>1030</v>
      </c>
      <c r="N61" s="83">
        <v>46090.0</v>
      </c>
      <c r="O61" s="83">
        <v>49743.0</v>
      </c>
      <c r="P61" s="45"/>
      <c r="Q61" s="57"/>
      <c r="R61" s="219"/>
      <c r="S61" s="28"/>
      <c r="T61" s="51">
        <v>1890000.0</v>
      </c>
      <c r="U61" s="28"/>
      <c r="V61" s="57"/>
      <c r="W61" s="80"/>
      <c r="X61" s="316"/>
      <c r="Y61" s="312" t="s">
        <v>563</v>
      </c>
      <c r="Z61" s="80"/>
      <c r="AA61" s="157"/>
      <c r="AB61" s="317" t="s">
        <v>1031</v>
      </c>
      <c r="AC61" s="4"/>
      <c r="AD61" s="4"/>
      <c r="AE61" s="4"/>
    </row>
    <row r="62">
      <c r="A62" s="60">
        <v>58.0</v>
      </c>
      <c r="B62" s="69"/>
      <c r="C62" s="69"/>
      <c r="D62" s="28"/>
      <c r="E62" s="43">
        <v>5.0</v>
      </c>
      <c r="F62" s="39"/>
      <c r="G62" s="68" t="s">
        <v>97</v>
      </c>
      <c r="H62" s="68" t="s">
        <v>1032</v>
      </c>
      <c r="I62" s="69" t="s">
        <v>1033</v>
      </c>
      <c r="J62" s="68"/>
      <c r="K62" s="340" t="s">
        <v>57</v>
      </c>
      <c r="L62" s="341">
        <v>20048.0</v>
      </c>
      <c r="M62" s="68" t="s">
        <v>1034</v>
      </c>
      <c r="N62" s="83">
        <v>46094.0</v>
      </c>
      <c r="O62" s="83">
        <v>49747.0</v>
      </c>
      <c r="P62" s="45"/>
      <c r="Q62" s="57"/>
      <c r="R62" s="219"/>
      <c r="S62" s="28"/>
      <c r="T62" s="51">
        <v>1890000.0</v>
      </c>
      <c r="U62" s="28"/>
      <c r="V62" s="57"/>
      <c r="W62" s="80"/>
      <c r="X62" s="316"/>
      <c r="Y62" s="312" t="s">
        <v>563</v>
      </c>
      <c r="Z62" s="80"/>
      <c r="AA62" s="157"/>
      <c r="AB62" s="317" t="s">
        <v>1035</v>
      </c>
      <c r="AC62" s="4"/>
      <c r="AD62" s="4"/>
      <c r="AE62" s="4"/>
    </row>
    <row r="63">
      <c r="A63" s="60">
        <v>59.0</v>
      </c>
      <c r="B63" s="69"/>
      <c r="C63" s="69"/>
      <c r="D63" s="28"/>
      <c r="E63" s="43">
        <v>6.0</v>
      </c>
      <c r="F63" s="62" t="s">
        <v>982</v>
      </c>
      <c r="G63" s="68" t="s">
        <v>44</v>
      </c>
      <c r="H63" s="68" t="s">
        <v>1036</v>
      </c>
      <c r="I63" s="69" t="s">
        <v>1037</v>
      </c>
      <c r="J63" s="68"/>
      <c r="K63" s="340" t="s">
        <v>57</v>
      </c>
      <c r="L63" s="341">
        <v>19485.0</v>
      </c>
      <c r="M63" s="68" t="s">
        <v>1038</v>
      </c>
      <c r="N63" s="83">
        <v>46091.0</v>
      </c>
      <c r="O63" s="83">
        <v>49744.0</v>
      </c>
      <c r="P63" s="45"/>
      <c r="Q63" s="57"/>
      <c r="R63" s="219"/>
      <c r="S63" s="28"/>
      <c r="T63" s="51">
        <v>1890000.0</v>
      </c>
      <c r="U63" s="28"/>
      <c r="V63" s="57"/>
      <c r="W63" s="80"/>
      <c r="X63" s="316"/>
      <c r="Y63" s="312" t="s">
        <v>563</v>
      </c>
      <c r="Z63" s="80"/>
      <c r="AA63" s="157"/>
      <c r="AB63" s="315" t="s">
        <v>1039</v>
      </c>
      <c r="AC63" s="4"/>
      <c r="AD63" s="4"/>
      <c r="AE63" s="4"/>
    </row>
    <row r="64">
      <c r="A64" s="60">
        <v>60.0</v>
      </c>
      <c r="B64" s="69"/>
      <c r="C64" s="69"/>
      <c r="D64" s="28"/>
      <c r="E64" s="43">
        <v>6.0</v>
      </c>
      <c r="F64" s="39"/>
      <c r="G64" s="68" t="s">
        <v>44</v>
      </c>
      <c r="H64" s="68" t="s">
        <v>1040</v>
      </c>
      <c r="I64" s="69" t="s">
        <v>1041</v>
      </c>
      <c r="J64" s="68"/>
      <c r="K64" s="340" t="s">
        <v>57</v>
      </c>
      <c r="L64" s="341">
        <v>20219.0</v>
      </c>
      <c r="M64" s="68" t="s">
        <v>1042</v>
      </c>
      <c r="N64" s="83">
        <v>46094.0</v>
      </c>
      <c r="O64" s="83">
        <v>49747.0</v>
      </c>
      <c r="P64" s="45"/>
      <c r="Q64" s="57"/>
      <c r="R64" s="219"/>
      <c r="S64" s="28"/>
      <c r="T64" s="51">
        <v>1890000.0</v>
      </c>
      <c r="U64" s="28"/>
      <c r="V64" s="57"/>
      <c r="W64" s="80"/>
      <c r="X64" s="316"/>
      <c r="Y64" s="312" t="s">
        <v>563</v>
      </c>
      <c r="Z64" s="80"/>
      <c r="AA64" s="157"/>
      <c r="AB64" s="315" t="s">
        <v>1043</v>
      </c>
      <c r="AC64" s="4"/>
      <c r="AD64" s="4"/>
      <c r="AE64" s="4"/>
    </row>
    <row r="65">
      <c r="A65" s="60">
        <v>61.0</v>
      </c>
      <c r="B65" s="69"/>
      <c r="C65" s="69"/>
      <c r="D65" s="28"/>
      <c r="E65" s="43">
        <v>7.0</v>
      </c>
      <c r="F65" s="62" t="s">
        <v>982</v>
      </c>
      <c r="G65" s="68" t="s">
        <v>44</v>
      </c>
      <c r="H65" s="68" t="s">
        <v>1044</v>
      </c>
      <c r="I65" s="69" t="s">
        <v>1045</v>
      </c>
      <c r="J65" s="68"/>
      <c r="K65" s="340" t="s">
        <v>47</v>
      </c>
      <c r="L65" s="341">
        <v>16277.0</v>
      </c>
      <c r="M65" s="68" t="s">
        <v>1046</v>
      </c>
      <c r="N65" s="83">
        <v>46090.0</v>
      </c>
      <c r="O65" s="83">
        <v>49743.0</v>
      </c>
      <c r="P65" s="45"/>
      <c r="Q65" s="57"/>
      <c r="R65" s="219"/>
      <c r="S65" s="28"/>
      <c r="T65" s="51">
        <v>1890000.0</v>
      </c>
      <c r="U65" s="28"/>
      <c r="V65" s="57"/>
      <c r="W65" s="80"/>
      <c r="X65" s="316"/>
      <c r="Y65" s="312" t="s">
        <v>563</v>
      </c>
      <c r="Z65" s="80"/>
      <c r="AA65" s="157"/>
      <c r="AB65" s="315" t="s">
        <v>1047</v>
      </c>
      <c r="AC65" s="4"/>
      <c r="AD65" s="4"/>
      <c r="AE65" s="4"/>
    </row>
    <row r="66">
      <c r="A66" s="60">
        <v>62.0</v>
      </c>
      <c r="B66" s="69"/>
      <c r="C66" s="69"/>
      <c r="D66" s="28"/>
      <c r="E66" s="43">
        <v>7.0</v>
      </c>
      <c r="F66" s="39"/>
      <c r="G66" s="68" t="s">
        <v>127</v>
      </c>
      <c r="H66" s="68" t="s">
        <v>1048</v>
      </c>
      <c r="I66" s="69" t="s">
        <v>1049</v>
      </c>
      <c r="J66" s="68"/>
      <c r="K66" s="340" t="s">
        <v>57</v>
      </c>
      <c r="L66" s="341">
        <v>16664.0</v>
      </c>
      <c r="M66" s="68" t="s">
        <v>1050</v>
      </c>
      <c r="N66" s="83">
        <v>46090.0</v>
      </c>
      <c r="O66" s="83">
        <v>49743.0</v>
      </c>
      <c r="P66" s="45"/>
      <c r="Q66" s="57"/>
      <c r="R66" s="219"/>
      <c r="S66" s="28"/>
      <c r="T66" s="51">
        <v>1890000.0</v>
      </c>
      <c r="U66" s="28"/>
      <c r="V66" s="57"/>
      <c r="W66" s="80"/>
      <c r="X66" s="316"/>
      <c r="Y66" s="312" t="s">
        <v>563</v>
      </c>
      <c r="Z66" s="80"/>
      <c r="AA66" s="157"/>
      <c r="AB66" s="317" t="s">
        <v>1051</v>
      </c>
      <c r="AC66" s="4"/>
      <c r="AD66" s="4"/>
      <c r="AE66" s="4"/>
    </row>
    <row r="67">
      <c r="A67" s="60">
        <v>63.0</v>
      </c>
      <c r="B67" s="69"/>
      <c r="C67" s="69"/>
      <c r="D67" s="28"/>
      <c r="E67" s="43">
        <v>8.0</v>
      </c>
      <c r="F67" s="62" t="s">
        <v>982</v>
      </c>
      <c r="G67" s="68" t="s">
        <v>127</v>
      </c>
      <c r="H67" s="68" t="s">
        <v>1052</v>
      </c>
      <c r="I67" s="69" t="s">
        <v>1053</v>
      </c>
      <c r="J67" s="68"/>
      <c r="K67" s="340" t="s">
        <v>47</v>
      </c>
      <c r="L67" s="341">
        <v>17288.0</v>
      </c>
      <c r="M67" s="68" t="s">
        <v>1054</v>
      </c>
      <c r="N67" s="83">
        <v>46090.0</v>
      </c>
      <c r="O67" s="83">
        <v>49743.0</v>
      </c>
      <c r="P67" s="45"/>
      <c r="Q67" s="57"/>
      <c r="R67" s="219"/>
      <c r="S67" s="28"/>
      <c r="T67" s="51">
        <v>1890000.0</v>
      </c>
      <c r="U67" s="28"/>
      <c r="V67" s="57"/>
      <c r="W67" s="80"/>
      <c r="X67" s="316"/>
      <c r="Y67" s="312" t="s">
        <v>563</v>
      </c>
      <c r="Z67" s="80"/>
      <c r="AA67" s="157"/>
      <c r="AB67" s="317" t="s">
        <v>1055</v>
      </c>
      <c r="AC67" s="4"/>
      <c r="AD67" s="4"/>
      <c r="AE67" s="4"/>
    </row>
    <row r="68">
      <c r="A68" s="60">
        <v>64.0</v>
      </c>
      <c r="B68" s="69"/>
      <c r="C68" s="69"/>
      <c r="D68" s="28"/>
      <c r="E68" s="43">
        <v>8.0</v>
      </c>
      <c r="F68" s="39"/>
      <c r="G68" s="68" t="s">
        <v>1056</v>
      </c>
      <c r="H68" s="68" t="s">
        <v>1057</v>
      </c>
      <c r="I68" s="69" t="s">
        <v>1058</v>
      </c>
      <c r="J68" s="68"/>
      <c r="K68" s="340" t="s">
        <v>57</v>
      </c>
      <c r="L68" s="341">
        <v>18873.0</v>
      </c>
      <c r="M68" s="68" t="s">
        <v>1059</v>
      </c>
      <c r="N68" s="83">
        <v>46084.0</v>
      </c>
      <c r="O68" s="83">
        <v>49743.0</v>
      </c>
      <c r="P68" s="45"/>
      <c r="Q68" s="57"/>
      <c r="R68" s="219"/>
      <c r="S68" s="28"/>
      <c r="T68" s="51">
        <v>1890000.0</v>
      </c>
      <c r="U68" s="28"/>
      <c r="V68" s="57"/>
      <c r="W68" s="80"/>
      <c r="X68" s="316"/>
      <c r="Y68" s="312" t="s">
        <v>563</v>
      </c>
      <c r="Z68" s="80"/>
      <c r="AA68" s="157"/>
      <c r="AB68" s="315" t="s">
        <v>1060</v>
      </c>
      <c r="AC68" s="4"/>
      <c r="AD68" s="4"/>
      <c r="AE68" s="4"/>
    </row>
    <row r="69">
      <c r="A69" s="60">
        <v>65.0</v>
      </c>
      <c r="B69" s="69"/>
      <c r="C69" s="69"/>
      <c r="D69" s="28"/>
      <c r="E69" s="43">
        <v>9.0</v>
      </c>
      <c r="F69" s="62" t="s">
        <v>982</v>
      </c>
      <c r="G69" s="68" t="s">
        <v>1061</v>
      </c>
      <c r="H69" s="68" t="s">
        <v>1062</v>
      </c>
      <c r="I69" s="69" t="s">
        <v>1063</v>
      </c>
      <c r="J69" s="68"/>
      <c r="K69" s="340" t="s">
        <v>47</v>
      </c>
      <c r="L69" s="341">
        <v>18480.0</v>
      </c>
      <c r="M69" s="68" t="s">
        <v>1064</v>
      </c>
      <c r="N69" s="83">
        <v>46090.0</v>
      </c>
      <c r="O69" s="83">
        <v>49743.0</v>
      </c>
      <c r="P69" s="45"/>
      <c r="Q69" s="57"/>
      <c r="R69" s="219"/>
      <c r="S69" s="28"/>
      <c r="T69" s="51">
        <v>1890000.0</v>
      </c>
      <c r="U69" s="28"/>
      <c r="V69" s="57"/>
      <c r="W69" s="80"/>
      <c r="X69" s="316"/>
      <c r="Y69" s="312" t="s">
        <v>563</v>
      </c>
      <c r="Z69" s="80"/>
      <c r="AA69" s="157"/>
      <c r="AB69" s="317" t="s">
        <v>1065</v>
      </c>
      <c r="AC69" s="4"/>
      <c r="AD69" s="4"/>
      <c r="AE69" s="4"/>
    </row>
    <row r="70">
      <c r="A70" s="60">
        <v>66.0</v>
      </c>
      <c r="B70" s="69"/>
      <c r="C70" s="69"/>
      <c r="D70" s="28"/>
      <c r="E70" s="43">
        <v>9.0</v>
      </c>
      <c r="F70" s="39"/>
      <c r="G70" s="68" t="s">
        <v>44</v>
      </c>
      <c r="H70" s="68" t="s">
        <v>1066</v>
      </c>
      <c r="I70" s="69" t="s">
        <v>1067</v>
      </c>
      <c r="J70" s="68"/>
      <c r="K70" s="340" t="s">
        <v>57</v>
      </c>
      <c r="L70" s="341">
        <v>20883.0</v>
      </c>
      <c r="M70" s="68" t="s">
        <v>1068</v>
      </c>
      <c r="N70" s="83">
        <v>46090.0</v>
      </c>
      <c r="O70" s="83">
        <v>49743.0</v>
      </c>
      <c r="P70" s="45"/>
      <c r="Q70" s="57"/>
      <c r="R70" s="219"/>
      <c r="S70" s="28"/>
      <c r="T70" s="51">
        <v>1890000.0</v>
      </c>
      <c r="U70" s="28"/>
      <c r="V70" s="57"/>
      <c r="W70" s="80"/>
      <c r="X70" s="316"/>
      <c r="Y70" s="312" t="s">
        <v>563</v>
      </c>
      <c r="Z70" s="80"/>
      <c r="AA70" s="157"/>
      <c r="AB70" s="315" t="s">
        <v>1069</v>
      </c>
      <c r="AC70" s="4"/>
      <c r="AD70" s="4"/>
      <c r="AE70" s="4"/>
    </row>
    <row r="71">
      <c r="A71" s="60">
        <v>67.0</v>
      </c>
      <c r="B71" s="69"/>
      <c r="C71" s="69"/>
      <c r="D71" s="28"/>
      <c r="E71" s="43">
        <v>10.0</v>
      </c>
      <c r="F71" s="62" t="s">
        <v>982</v>
      </c>
      <c r="G71" s="68" t="s">
        <v>44</v>
      </c>
      <c r="H71" s="68" t="s">
        <v>1070</v>
      </c>
      <c r="I71" s="69" t="s">
        <v>1071</v>
      </c>
      <c r="J71" s="68"/>
      <c r="K71" s="340" t="s">
        <v>47</v>
      </c>
      <c r="L71" s="341">
        <v>19457.0</v>
      </c>
      <c r="M71" s="68" t="s">
        <v>1072</v>
      </c>
      <c r="N71" s="83">
        <v>46092.0</v>
      </c>
      <c r="O71" s="83">
        <v>49745.0</v>
      </c>
      <c r="P71" s="45"/>
      <c r="Q71" s="57"/>
      <c r="R71" s="219"/>
      <c r="S71" s="28"/>
      <c r="T71" s="51">
        <v>1890000.0</v>
      </c>
      <c r="U71" s="28"/>
      <c r="V71" s="57"/>
      <c r="W71" s="80"/>
      <c r="X71" s="316"/>
      <c r="Y71" s="312" t="s">
        <v>563</v>
      </c>
      <c r="Z71" s="80"/>
      <c r="AA71" s="157"/>
      <c r="AB71" s="315" t="s">
        <v>1073</v>
      </c>
      <c r="AC71" s="4"/>
      <c r="AD71" s="4"/>
      <c r="AE71" s="4"/>
    </row>
    <row r="72">
      <c r="A72" s="60">
        <v>68.0</v>
      </c>
      <c r="B72" s="69"/>
      <c r="C72" s="69"/>
      <c r="D72" s="28"/>
      <c r="E72" s="43">
        <v>10.0</v>
      </c>
      <c r="F72" s="39"/>
      <c r="G72" s="68" t="s">
        <v>127</v>
      </c>
      <c r="H72" s="68" t="s">
        <v>1074</v>
      </c>
      <c r="I72" s="69" t="s">
        <v>1075</v>
      </c>
      <c r="J72" s="68"/>
      <c r="K72" s="340" t="s">
        <v>57</v>
      </c>
      <c r="L72" s="341">
        <v>18791.0</v>
      </c>
      <c r="M72" s="68" t="s">
        <v>1076</v>
      </c>
      <c r="N72" s="83">
        <v>46092.0</v>
      </c>
      <c r="O72" s="83">
        <v>49745.0</v>
      </c>
      <c r="P72" s="45"/>
      <c r="Q72" s="57"/>
      <c r="R72" s="219"/>
      <c r="S72" s="28"/>
      <c r="T72" s="51">
        <v>1890000.0</v>
      </c>
      <c r="U72" s="28"/>
      <c r="V72" s="57"/>
      <c r="W72" s="80"/>
      <c r="X72" s="316"/>
      <c r="Y72" s="312" t="s">
        <v>563</v>
      </c>
      <c r="Z72" s="80"/>
      <c r="AA72" s="157"/>
      <c r="AB72" s="317" t="s">
        <v>1077</v>
      </c>
      <c r="AC72" s="4"/>
      <c r="AD72" s="4"/>
      <c r="AE72" s="4"/>
    </row>
    <row r="73">
      <c r="A73" s="60">
        <v>69.0</v>
      </c>
      <c r="B73" s="69"/>
      <c r="C73" s="69"/>
      <c r="D73" s="28"/>
      <c r="E73" s="43">
        <v>11.0</v>
      </c>
      <c r="F73" s="62" t="s">
        <v>982</v>
      </c>
      <c r="G73" s="68" t="s">
        <v>44</v>
      </c>
      <c r="H73" s="68" t="s">
        <v>1078</v>
      </c>
      <c r="I73" s="69" t="s">
        <v>1079</v>
      </c>
      <c r="J73" s="68"/>
      <c r="K73" s="340" t="s">
        <v>57</v>
      </c>
      <c r="L73" s="341">
        <v>22482.0</v>
      </c>
      <c r="M73" s="68" t="s">
        <v>1080</v>
      </c>
      <c r="N73" s="83">
        <v>45086.0</v>
      </c>
      <c r="O73" s="83">
        <v>48739.0</v>
      </c>
      <c r="P73" s="45"/>
      <c r="Q73" s="57"/>
      <c r="R73" s="219"/>
      <c r="S73" s="28"/>
      <c r="T73" s="51">
        <v>1890000.0</v>
      </c>
      <c r="U73" s="28"/>
      <c r="V73" s="57"/>
      <c r="W73" s="80"/>
      <c r="X73" s="316"/>
      <c r="Y73" s="312" t="s">
        <v>563</v>
      </c>
      <c r="Z73" s="80"/>
      <c r="AA73" s="157"/>
      <c r="AB73" s="315" t="s">
        <v>1081</v>
      </c>
      <c r="AC73" s="4"/>
      <c r="AD73" s="4"/>
      <c r="AE73" s="4"/>
    </row>
    <row r="74">
      <c r="A74" s="60">
        <v>70.0</v>
      </c>
      <c r="B74" s="69"/>
      <c r="C74" s="69"/>
      <c r="D74" s="28"/>
      <c r="E74" s="43">
        <v>11.0</v>
      </c>
      <c r="F74" s="39"/>
      <c r="G74" s="68" t="s">
        <v>44</v>
      </c>
      <c r="H74" s="68" t="s">
        <v>1082</v>
      </c>
      <c r="I74" s="69" t="s">
        <v>1083</v>
      </c>
      <c r="J74" s="68"/>
      <c r="K74" s="340" t="s">
        <v>57</v>
      </c>
      <c r="L74" s="341">
        <v>21834.0</v>
      </c>
      <c r="M74" s="68" t="s">
        <v>1084</v>
      </c>
      <c r="N74" s="83">
        <v>46084.0</v>
      </c>
      <c r="O74" s="83">
        <v>49737.0</v>
      </c>
      <c r="P74" s="45"/>
      <c r="Q74" s="57"/>
      <c r="R74" s="219"/>
      <c r="S74" s="28"/>
      <c r="T74" s="51">
        <v>1890000.0</v>
      </c>
      <c r="U74" s="28"/>
      <c r="V74" s="57"/>
      <c r="W74" s="80"/>
      <c r="X74" s="316"/>
      <c r="Y74" s="312" t="s">
        <v>563</v>
      </c>
      <c r="Z74" s="80"/>
      <c r="AA74" s="157"/>
      <c r="AB74" s="315" t="s">
        <v>1085</v>
      </c>
      <c r="AC74" s="4"/>
      <c r="AD74" s="4"/>
      <c r="AE74" s="4"/>
    </row>
    <row r="75">
      <c r="A75" s="60">
        <v>71.0</v>
      </c>
      <c r="B75" s="69"/>
      <c r="C75" s="69"/>
      <c r="D75" s="28"/>
      <c r="E75" s="43">
        <v>12.0</v>
      </c>
      <c r="F75" s="62" t="s">
        <v>982</v>
      </c>
      <c r="G75" s="68" t="s">
        <v>44</v>
      </c>
      <c r="H75" s="68" t="s">
        <v>1086</v>
      </c>
      <c r="I75" s="69" t="s">
        <v>1087</v>
      </c>
      <c r="J75" s="68"/>
      <c r="K75" s="340" t="s">
        <v>47</v>
      </c>
      <c r="L75" s="341">
        <v>20355.0</v>
      </c>
      <c r="M75" s="68" t="s">
        <v>1088</v>
      </c>
      <c r="N75" s="83">
        <v>45217.0</v>
      </c>
      <c r="O75" s="83">
        <v>48870.0</v>
      </c>
      <c r="P75" s="45"/>
      <c r="Q75" s="57"/>
      <c r="R75" s="219"/>
      <c r="S75" s="28"/>
      <c r="T75" s="51">
        <v>1890000.0</v>
      </c>
      <c r="U75" s="28"/>
      <c r="V75" s="57"/>
      <c r="W75" s="80"/>
      <c r="X75" s="316"/>
      <c r="Y75" s="312" t="s">
        <v>563</v>
      </c>
      <c r="Z75" s="80"/>
      <c r="AA75" s="157"/>
      <c r="AB75" s="315" t="s">
        <v>1089</v>
      </c>
      <c r="AC75" s="4"/>
      <c r="AD75" s="4"/>
      <c r="AE75" s="4"/>
    </row>
    <row r="76">
      <c r="A76" s="60">
        <v>72.0</v>
      </c>
      <c r="B76" s="69"/>
      <c r="C76" s="69"/>
      <c r="D76" s="28"/>
      <c r="E76" s="43">
        <v>12.0</v>
      </c>
      <c r="F76" s="39"/>
      <c r="G76" s="68" t="s">
        <v>44</v>
      </c>
      <c r="H76" s="68" t="s">
        <v>1090</v>
      </c>
      <c r="I76" s="69" t="s">
        <v>1091</v>
      </c>
      <c r="J76" s="68"/>
      <c r="K76" s="340" t="s">
        <v>57</v>
      </c>
      <c r="L76" s="341">
        <v>21888.0</v>
      </c>
      <c r="M76" s="68" t="s">
        <v>1092</v>
      </c>
      <c r="N76" s="83">
        <v>45344.0</v>
      </c>
      <c r="O76" s="83">
        <v>48997.0</v>
      </c>
      <c r="P76" s="45"/>
      <c r="Q76" s="57"/>
      <c r="R76" s="219"/>
      <c r="S76" s="28"/>
      <c r="T76" s="51">
        <v>1890000.0</v>
      </c>
      <c r="U76" s="28"/>
      <c r="V76" s="57"/>
      <c r="W76" s="80"/>
      <c r="X76" s="316"/>
      <c r="Y76" s="312" t="s">
        <v>563</v>
      </c>
      <c r="Z76" s="80"/>
      <c r="AA76" s="157"/>
      <c r="AB76" s="315" t="s">
        <v>1093</v>
      </c>
      <c r="AC76" s="4"/>
      <c r="AD76" s="4"/>
      <c r="AE76" s="4"/>
    </row>
    <row r="77">
      <c r="A77" s="60">
        <v>73.0</v>
      </c>
      <c r="B77" s="69"/>
      <c r="C77" s="69"/>
      <c r="D77" s="28"/>
      <c r="E77" s="43">
        <v>13.0</v>
      </c>
      <c r="F77" s="62" t="s">
        <v>982</v>
      </c>
      <c r="G77" s="68" t="s">
        <v>31</v>
      </c>
      <c r="H77" s="68" t="s">
        <v>1094</v>
      </c>
      <c r="I77" s="69" t="s">
        <v>1095</v>
      </c>
      <c r="J77" s="68"/>
      <c r="K77" s="340" t="s">
        <v>47</v>
      </c>
      <c r="L77" s="341">
        <v>20185.0</v>
      </c>
      <c r="M77" s="68" t="s">
        <v>1096</v>
      </c>
      <c r="N77" s="83">
        <v>46091.0</v>
      </c>
      <c r="O77" s="83">
        <v>49744.0</v>
      </c>
      <c r="P77" s="45"/>
      <c r="Q77" s="57"/>
      <c r="R77" s="219"/>
      <c r="S77" s="28"/>
      <c r="T77" s="51">
        <v>1890000.0</v>
      </c>
      <c r="U77" s="28"/>
      <c r="V77" s="57"/>
      <c r="W77" s="80"/>
      <c r="X77" s="316"/>
      <c r="Y77" s="312" t="s">
        <v>563</v>
      </c>
      <c r="Z77" s="80"/>
      <c r="AA77" s="157"/>
      <c r="AB77" s="317" t="s">
        <v>1097</v>
      </c>
      <c r="AC77" s="4"/>
      <c r="AD77" s="4"/>
      <c r="AE77" s="4"/>
    </row>
    <row r="78">
      <c r="A78" s="60">
        <v>74.0</v>
      </c>
      <c r="B78" s="69"/>
      <c r="C78" s="69"/>
      <c r="D78" s="28"/>
      <c r="E78" s="43">
        <v>13.0</v>
      </c>
      <c r="F78" s="39"/>
      <c r="G78" s="68" t="s">
        <v>44</v>
      </c>
      <c r="H78" s="68" t="s">
        <v>1098</v>
      </c>
      <c r="I78" s="69" t="s">
        <v>1099</v>
      </c>
      <c r="J78" s="68"/>
      <c r="K78" s="340" t="s">
        <v>57</v>
      </c>
      <c r="L78" s="341">
        <v>22710.0</v>
      </c>
      <c r="M78" s="68" t="s">
        <v>1100</v>
      </c>
      <c r="N78" s="83">
        <v>46091.0</v>
      </c>
      <c r="O78" s="83">
        <v>49744.0</v>
      </c>
      <c r="P78" s="45"/>
      <c r="Q78" s="57"/>
      <c r="R78" s="219"/>
      <c r="S78" s="28"/>
      <c r="T78" s="51">
        <v>1890000.0</v>
      </c>
      <c r="U78" s="28"/>
      <c r="V78" s="57"/>
      <c r="W78" s="80"/>
      <c r="X78" s="316"/>
      <c r="Y78" s="312" t="s">
        <v>563</v>
      </c>
      <c r="Z78" s="80"/>
      <c r="AA78" s="157"/>
      <c r="AB78" s="315" t="s">
        <v>1101</v>
      </c>
      <c r="AC78" s="4"/>
      <c r="AD78" s="4"/>
      <c r="AE78" s="4"/>
    </row>
    <row r="79">
      <c r="A79" s="60">
        <v>75.0</v>
      </c>
      <c r="B79" s="69"/>
      <c r="C79" s="69"/>
      <c r="D79" s="28"/>
      <c r="E79" s="43">
        <v>14.0</v>
      </c>
      <c r="F79" s="62" t="s">
        <v>982</v>
      </c>
      <c r="G79" s="68" t="s">
        <v>44</v>
      </c>
      <c r="H79" s="68" t="s">
        <v>1102</v>
      </c>
      <c r="I79" s="69" t="s">
        <v>1103</v>
      </c>
      <c r="J79" s="68"/>
      <c r="K79" s="340" t="s">
        <v>47</v>
      </c>
      <c r="L79" s="341">
        <v>19914.0</v>
      </c>
      <c r="M79" s="68" t="s">
        <v>1104</v>
      </c>
      <c r="N79" s="83">
        <v>45349.0</v>
      </c>
      <c r="O79" s="83">
        <v>49002.0</v>
      </c>
      <c r="P79" s="45"/>
      <c r="Q79" s="57"/>
      <c r="R79" s="219"/>
      <c r="S79" s="28"/>
      <c r="T79" s="51">
        <v>1890000.0</v>
      </c>
      <c r="U79" s="28"/>
      <c r="V79" s="57"/>
      <c r="W79" s="80"/>
      <c r="X79" s="316"/>
      <c r="Y79" s="312" t="s">
        <v>563</v>
      </c>
      <c r="Z79" s="80"/>
      <c r="AA79" s="157"/>
      <c r="AB79" s="317" t="s">
        <v>1105</v>
      </c>
      <c r="AC79" s="4"/>
      <c r="AD79" s="4"/>
      <c r="AE79" s="4"/>
    </row>
    <row r="80">
      <c r="A80" s="60">
        <v>76.0</v>
      </c>
      <c r="B80" s="69"/>
      <c r="C80" s="69"/>
      <c r="D80" s="28"/>
      <c r="E80" s="43">
        <v>14.0</v>
      </c>
      <c r="F80" s="39"/>
      <c r="G80" s="68" t="s">
        <v>440</v>
      </c>
      <c r="H80" s="68" t="s">
        <v>965</v>
      </c>
      <c r="I80" s="69" t="s">
        <v>1106</v>
      </c>
      <c r="J80" s="68"/>
      <c r="K80" s="340" t="s">
        <v>57</v>
      </c>
      <c r="L80" s="341">
        <v>21529.0</v>
      </c>
      <c r="M80" s="68" t="s">
        <v>1107</v>
      </c>
      <c r="N80" s="83">
        <v>45349.0</v>
      </c>
      <c r="O80" s="83">
        <v>49002.0</v>
      </c>
      <c r="P80" s="45"/>
      <c r="Q80" s="57"/>
      <c r="R80" s="219"/>
      <c r="S80" s="28"/>
      <c r="T80" s="51">
        <v>1890000.0</v>
      </c>
      <c r="U80" s="28"/>
      <c r="V80" s="57"/>
      <c r="W80" s="80"/>
      <c r="X80" s="316"/>
      <c r="Y80" s="312" t="s">
        <v>563</v>
      </c>
      <c r="Z80" s="80"/>
      <c r="AA80" s="157"/>
      <c r="AB80" s="317" t="s">
        <v>1108</v>
      </c>
      <c r="AC80" s="4"/>
      <c r="AD80" s="4"/>
      <c r="AE80" s="4"/>
    </row>
    <row r="81">
      <c r="A81" s="60">
        <v>77.0</v>
      </c>
      <c r="B81" s="69"/>
      <c r="C81" s="69"/>
      <c r="D81" s="28"/>
      <c r="E81" s="43">
        <v>15.0</v>
      </c>
      <c r="F81" s="62" t="s">
        <v>982</v>
      </c>
      <c r="G81" s="68" t="s">
        <v>115</v>
      </c>
      <c r="H81" s="68" t="s">
        <v>1109</v>
      </c>
      <c r="I81" s="69" t="s">
        <v>1110</v>
      </c>
      <c r="J81" s="68"/>
      <c r="K81" s="340" t="s">
        <v>47</v>
      </c>
      <c r="L81" s="341">
        <v>17113.0</v>
      </c>
      <c r="M81" s="68" t="s">
        <v>1111</v>
      </c>
      <c r="N81" s="83">
        <v>45072.0</v>
      </c>
      <c r="O81" s="83">
        <v>48725.0</v>
      </c>
      <c r="P81" s="45"/>
      <c r="Q81" s="57"/>
      <c r="R81" s="219"/>
      <c r="S81" s="28"/>
      <c r="T81" s="51">
        <v>1890000.0</v>
      </c>
      <c r="U81" s="28"/>
      <c r="V81" s="57"/>
      <c r="W81" s="80"/>
      <c r="X81" s="316"/>
      <c r="Y81" s="312" t="s">
        <v>563</v>
      </c>
      <c r="Z81" s="80"/>
      <c r="AA81" s="157"/>
      <c r="AB81" s="317" t="s">
        <v>1112</v>
      </c>
      <c r="AC81" s="4"/>
      <c r="AD81" s="4"/>
      <c r="AE81" s="4"/>
    </row>
    <row r="82">
      <c r="A82" s="60">
        <v>78.0</v>
      </c>
      <c r="B82" s="69"/>
      <c r="C82" s="69"/>
      <c r="D82" s="28"/>
      <c r="E82" s="43">
        <v>15.0</v>
      </c>
      <c r="F82" s="39"/>
      <c r="G82" s="68" t="s">
        <v>44</v>
      </c>
      <c r="H82" s="68" t="s">
        <v>1113</v>
      </c>
      <c r="I82" s="69" t="s">
        <v>1114</v>
      </c>
      <c r="J82" s="68"/>
      <c r="K82" s="340" t="s">
        <v>57</v>
      </c>
      <c r="L82" s="341">
        <v>18800.0</v>
      </c>
      <c r="M82" s="68" t="s">
        <v>1115</v>
      </c>
      <c r="N82" s="83">
        <v>45072.0</v>
      </c>
      <c r="O82" s="83">
        <v>48725.0</v>
      </c>
      <c r="P82" s="45"/>
      <c r="Q82" s="57"/>
      <c r="R82" s="219"/>
      <c r="S82" s="39"/>
      <c r="T82" s="51">
        <v>1890000.0</v>
      </c>
      <c r="U82" s="39"/>
      <c r="V82" s="57"/>
      <c r="W82" s="56"/>
      <c r="X82" s="316"/>
      <c r="Y82" s="312" t="s">
        <v>563</v>
      </c>
      <c r="Z82" s="80"/>
      <c r="AA82" s="157"/>
      <c r="AB82" s="317" t="s">
        <v>1116</v>
      </c>
      <c r="AC82" s="4"/>
      <c r="AD82" s="4"/>
      <c r="AE82" s="4"/>
    </row>
    <row r="83">
      <c r="A83" s="60">
        <v>79.0</v>
      </c>
      <c r="B83" s="69"/>
      <c r="C83" s="69"/>
      <c r="D83" s="28"/>
      <c r="E83" s="43">
        <v>16.0</v>
      </c>
      <c r="F83" s="62" t="s">
        <v>982</v>
      </c>
      <c r="G83" s="68" t="s">
        <v>1061</v>
      </c>
      <c r="H83" s="68" t="s">
        <v>1117</v>
      </c>
      <c r="I83" s="69" t="s">
        <v>1118</v>
      </c>
      <c r="J83" s="68"/>
      <c r="K83" s="340" t="s">
        <v>47</v>
      </c>
      <c r="L83" s="341">
        <v>17821.0</v>
      </c>
      <c r="M83" s="68" t="s">
        <v>1119</v>
      </c>
      <c r="N83" s="83">
        <v>46091.0</v>
      </c>
      <c r="O83" s="83">
        <v>49744.0</v>
      </c>
      <c r="P83" s="45"/>
      <c r="Q83" s="57"/>
      <c r="R83" s="64"/>
      <c r="S83" s="325"/>
      <c r="T83" s="51">
        <v>1890000.0</v>
      </c>
      <c r="U83" s="43"/>
      <c r="V83" s="57"/>
      <c r="W83" s="196"/>
      <c r="X83" s="316"/>
      <c r="Y83" s="312" t="s">
        <v>563</v>
      </c>
      <c r="Z83" s="80"/>
      <c r="AA83" s="157"/>
      <c r="AB83" s="317" t="s">
        <v>1120</v>
      </c>
      <c r="AC83" s="4"/>
      <c r="AD83" s="4"/>
      <c r="AE83" s="4"/>
    </row>
    <row r="84">
      <c r="A84" s="60">
        <v>80.0</v>
      </c>
      <c r="B84" s="69"/>
      <c r="C84" s="69"/>
      <c r="D84" s="28"/>
      <c r="E84" s="43">
        <v>16.0</v>
      </c>
      <c r="F84" s="39"/>
      <c r="G84" s="68" t="s">
        <v>121</v>
      </c>
      <c r="H84" s="68" t="s">
        <v>1121</v>
      </c>
      <c r="I84" s="69" t="s">
        <v>1122</v>
      </c>
      <c r="J84" s="68"/>
      <c r="K84" s="340" t="s">
        <v>47</v>
      </c>
      <c r="L84" s="341">
        <v>19514.0</v>
      </c>
      <c r="M84" s="68" t="s">
        <v>1123</v>
      </c>
      <c r="N84" s="83">
        <v>46084.0</v>
      </c>
      <c r="O84" s="83">
        <v>49737.0</v>
      </c>
      <c r="P84" s="45"/>
      <c r="Q84" s="57"/>
      <c r="R84" s="64"/>
      <c r="S84" s="325"/>
      <c r="T84" s="51">
        <v>1890000.0</v>
      </c>
      <c r="U84" s="43"/>
      <c r="V84" s="57"/>
      <c r="W84" s="196"/>
      <c r="X84" s="316"/>
      <c r="Y84" s="312" t="s">
        <v>563</v>
      </c>
      <c r="Z84" s="80"/>
      <c r="AA84" s="157"/>
      <c r="AB84" s="315" t="s">
        <v>1124</v>
      </c>
      <c r="AC84" s="4"/>
      <c r="AD84" s="4"/>
      <c r="AE84" s="4"/>
    </row>
    <row r="85">
      <c r="A85" s="60">
        <v>81.0</v>
      </c>
      <c r="B85" s="69"/>
      <c r="C85" s="69"/>
      <c r="D85" s="28"/>
      <c r="E85" s="43">
        <v>17.0</v>
      </c>
      <c r="F85" s="62" t="s">
        <v>982</v>
      </c>
      <c r="G85" s="68" t="s">
        <v>44</v>
      </c>
      <c r="H85" s="68" t="s">
        <v>1125</v>
      </c>
      <c r="I85" s="69" t="s">
        <v>1126</v>
      </c>
      <c r="J85" s="68"/>
      <c r="K85" s="340" t="s">
        <v>57</v>
      </c>
      <c r="L85" s="341">
        <v>16120.0</v>
      </c>
      <c r="M85" s="68" t="s">
        <v>1127</v>
      </c>
      <c r="N85" s="83">
        <v>46101.0</v>
      </c>
      <c r="O85" s="83">
        <v>49754.0</v>
      </c>
      <c r="P85" s="45"/>
      <c r="Q85" s="57"/>
      <c r="R85" s="64"/>
      <c r="S85" s="325"/>
      <c r="T85" s="51">
        <v>1890000.0</v>
      </c>
      <c r="U85" s="43"/>
      <c r="V85" s="57"/>
      <c r="W85" s="196"/>
      <c r="X85" s="316"/>
      <c r="Y85" s="312" t="s">
        <v>563</v>
      </c>
      <c r="Z85" s="80"/>
      <c r="AA85" s="157"/>
      <c r="AB85" s="315" t="s">
        <v>1128</v>
      </c>
      <c r="AC85" s="4"/>
      <c r="AD85" s="4"/>
      <c r="AE85" s="4"/>
    </row>
    <row r="86">
      <c r="A86" s="60">
        <v>82.0</v>
      </c>
      <c r="B86" s="69"/>
      <c r="C86" s="69"/>
      <c r="D86" s="39"/>
      <c r="E86" s="43">
        <v>17.0</v>
      </c>
      <c r="F86" s="39"/>
      <c r="G86" s="68" t="s">
        <v>44</v>
      </c>
      <c r="H86" s="68" t="s">
        <v>1129</v>
      </c>
      <c r="I86" s="69" t="s">
        <v>1130</v>
      </c>
      <c r="J86" s="68"/>
      <c r="K86" s="340" t="s">
        <v>47</v>
      </c>
      <c r="L86" s="341">
        <v>20109.0</v>
      </c>
      <c r="M86" s="68" t="s">
        <v>1131</v>
      </c>
      <c r="N86" s="83">
        <v>45086.0</v>
      </c>
      <c r="O86" s="83">
        <v>48739.0</v>
      </c>
      <c r="P86" s="45"/>
      <c r="Q86" s="57"/>
      <c r="R86" s="64"/>
      <c r="S86" s="325"/>
      <c r="T86" s="51">
        <v>1890000.0</v>
      </c>
      <c r="U86" s="43"/>
      <c r="V86" s="57"/>
      <c r="W86" s="196"/>
      <c r="X86" s="316"/>
      <c r="Y86" s="312" t="s">
        <v>563</v>
      </c>
      <c r="Z86" s="56"/>
      <c r="AA86" s="122"/>
      <c r="AB86" s="315" t="s">
        <v>1132</v>
      </c>
      <c r="AC86" s="4"/>
      <c r="AD86" s="4"/>
      <c r="AE86" s="4"/>
    </row>
    <row r="87">
      <c r="A87" s="60">
        <v>83.0</v>
      </c>
      <c r="B87" s="69"/>
      <c r="C87" s="69"/>
      <c r="D87" s="42">
        <v>11.0</v>
      </c>
      <c r="E87" s="43">
        <v>1.0</v>
      </c>
      <c r="F87" s="62" t="s">
        <v>1133</v>
      </c>
      <c r="G87" s="367" t="s">
        <v>203</v>
      </c>
      <c r="H87" s="368" t="s">
        <v>1134</v>
      </c>
      <c r="I87" s="43" t="s">
        <v>1135</v>
      </c>
      <c r="J87" s="68"/>
      <c r="K87" s="369" t="s">
        <v>57</v>
      </c>
      <c r="L87" s="370">
        <v>37245.0</v>
      </c>
      <c r="M87" s="367" t="s">
        <v>1136</v>
      </c>
      <c r="N87" s="371">
        <v>45455.0</v>
      </c>
      <c r="O87" s="371">
        <v>49107.0</v>
      </c>
      <c r="P87" s="45" t="s">
        <v>1137</v>
      </c>
      <c r="Q87" s="57"/>
      <c r="R87" s="64">
        <v>46077.0</v>
      </c>
      <c r="S87" s="325" t="s">
        <v>838</v>
      </c>
      <c r="T87" s="51">
        <v>2590000.0</v>
      </c>
      <c r="U87" s="42" t="s">
        <v>1138</v>
      </c>
      <c r="V87" s="57"/>
      <c r="W87" s="289"/>
      <c r="X87" s="316"/>
      <c r="Y87" s="312" t="s">
        <v>563</v>
      </c>
      <c r="Z87" s="313" t="s">
        <v>987</v>
      </c>
      <c r="AA87" s="183"/>
      <c r="AB87" s="315" t="s">
        <v>1139</v>
      </c>
      <c r="AC87" s="4"/>
      <c r="AD87" s="4"/>
      <c r="AE87" s="4"/>
    </row>
    <row r="88">
      <c r="A88" s="60">
        <v>84.0</v>
      </c>
      <c r="B88" s="69"/>
      <c r="C88" s="69"/>
      <c r="D88" s="28"/>
      <c r="E88" s="43">
        <v>1.0</v>
      </c>
      <c r="F88" s="28"/>
      <c r="G88" s="367" t="s">
        <v>776</v>
      </c>
      <c r="H88" s="368" t="s">
        <v>1140</v>
      </c>
      <c r="I88" s="43" t="s">
        <v>1141</v>
      </c>
      <c r="J88" s="68"/>
      <c r="K88" s="369" t="s">
        <v>57</v>
      </c>
      <c r="L88" s="370">
        <v>20182.0</v>
      </c>
      <c r="M88" s="367" t="s">
        <v>1142</v>
      </c>
      <c r="N88" s="371">
        <v>46058.0</v>
      </c>
      <c r="O88" s="371">
        <v>49710.0</v>
      </c>
      <c r="P88" s="68"/>
      <c r="Q88" s="57"/>
      <c r="R88" s="64">
        <v>46077.0</v>
      </c>
      <c r="S88" s="325" t="s">
        <v>838</v>
      </c>
      <c r="T88" s="51">
        <v>2590000.0</v>
      </c>
      <c r="U88" s="28"/>
      <c r="V88" s="57"/>
      <c r="W88" s="80"/>
      <c r="X88" s="316"/>
      <c r="Y88" s="312" t="s">
        <v>563</v>
      </c>
      <c r="Z88" s="313" t="s">
        <v>987</v>
      </c>
      <c r="AA88" s="183"/>
      <c r="AB88" s="315" t="s">
        <v>1143</v>
      </c>
      <c r="AC88" s="4"/>
      <c r="AD88" s="4"/>
      <c r="AE88" s="4"/>
    </row>
    <row r="89">
      <c r="A89" s="60">
        <v>85.0</v>
      </c>
      <c r="B89" s="69"/>
      <c r="C89" s="69"/>
      <c r="D89" s="28"/>
      <c r="E89" s="43">
        <v>1.0</v>
      </c>
      <c r="F89" s="39"/>
      <c r="G89" s="367" t="s">
        <v>203</v>
      </c>
      <c r="H89" s="368" t="s">
        <v>1144</v>
      </c>
      <c r="I89" s="43" t="s">
        <v>1145</v>
      </c>
      <c r="J89" s="68"/>
      <c r="K89" s="369" t="s">
        <v>47</v>
      </c>
      <c r="L89" s="370">
        <v>17241.0</v>
      </c>
      <c r="M89" s="367" t="s">
        <v>1146</v>
      </c>
      <c r="N89" s="371">
        <v>46058.0</v>
      </c>
      <c r="O89" s="371">
        <v>49710.0</v>
      </c>
      <c r="P89" s="68"/>
      <c r="Q89" s="57"/>
      <c r="R89" s="64">
        <v>46077.0</v>
      </c>
      <c r="S89" s="325" t="s">
        <v>838</v>
      </c>
      <c r="T89" s="51">
        <v>1500000.0</v>
      </c>
      <c r="U89" s="28"/>
      <c r="V89" s="57"/>
      <c r="W89" s="80"/>
      <c r="X89" s="316"/>
      <c r="Y89" s="312" t="s">
        <v>563</v>
      </c>
      <c r="Z89" s="313" t="s">
        <v>987</v>
      </c>
      <c r="AA89" s="183"/>
      <c r="AB89" s="315" t="s">
        <v>1147</v>
      </c>
      <c r="AC89" s="4"/>
      <c r="AD89" s="4"/>
      <c r="AE89" s="4"/>
    </row>
    <row r="90">
      <c r="A90" s="60">
        <v>86.0</v>
      </c>
      <c r="B90" s="69"/>
      <c r="C90" s="69"/>
      <c r="D90" s="28"/>
      <c r="E90" s="43">
        <v>2.0</v>
      </c>
      <c r="F90" s="62" t="s">
        <v>1133</v>
      </c>
      <c r="G90" s="367" t="s">
        <v>203</v>
      </c>
      <c r="H90" s="368" t="s">
        <v>1148</v>
      </c>
      <c r="I90" s="43" t="s">
        <v>1149</v>
      </c>
      <c r="J90" s="68"/>
      <c r="K90" s="369" t="s">
        <v>47</v>
      </c>
      <c r="L90" s="370">
        <v>26772.0</v>
      </c>
      <c r="M90" s="367" t="s">
        <v>1150</v>
      </c>
      <c r="N90" s="371">
        <v>46058.0</v>
      </c>
      <c r="O90" s="371">
        <v>49710.0</v>
      </c>
      <c r="P90" s="45" t="s">
        <v>1151</v>
      </c>
      <c r="Q90" s="57"/>
      <c r="R90" s="64">
        <v>46077.0</v>
      </c>
      <c r="S90" s="325" t="s">
        <v>838</v>
      </c>
      <c r="T90" s="51">
        <v>2590000.0</v>
      </c>
      <c r="U90" s="28"/>
      <c r="V90" s="57"/>
      <c r="W90" s="80"/>
      <c r="X90" s="316"/>
      <c r="Y90" s="312" t="s">
        <v>563</v>
      </c>
      <c r="Z90" s="313" t="s">
        <v>987</v>
      </c>
      <c r="AA90" s="183"/>
      <c r="AB90" s="315" t="s">
        <v>1152</v>
      </c>
      <c r="AC90" s="4"/>
      <c r="AD90" s="4"/>
      <c r="AE90" s="4"/>
    </row>
    <row r="91">
      <c r="A91" s="60">
        <v>87.0</v>
      </c>
      <c r="B91" s="69"/>
      <c r="C91" s="69"/>
      <c r="D91" s="28"/>
      <c r="E91" s="43">
        <v>2.0</v>
      </c>
      <c r="F91" s="28"/>
      <c r="G91" s="367" t="s">
        <v>115</v>
      </c>
      <c r="H91" s="368" t="s">
        <v>1153</v>
      </c>
      <c r="I91" s="43" t="s">
        <v>1154</v>
      </c>
      <c r="J91" s="68"/>
      <c r="K91" s="369" t="s">
        <v>57</v>
      </c>
      <c r="L91" s="370">
        <v>27095.0</v>
      </c>
      <c r="M91" s="367" t="s">
        <v>1155</v>
      </c>
      <c r="N91" s="371">
        <v>46058.0</v>
      </c>
      <c r="O91" s="372">
        <v>49710.0</v>
      </c>
      <c r="P91" s="68"/>
      <c r="Q91" s="57"/>
      <c r="R91" s="64">
        <v>46077.0</v>
      </c>
      <c r="S91" s="325" t="s">
        <v>838</v>
      </c>
      <c r="T91" s="51">
        <v>2590000.0</v>
      </c>
      <c r="U91" s="28"/>
      <c r="V91" s="57"/>
      <c r="W91" s="80"/>
      <c r="X91" s="316"/>
      <c r="Y91" s="312" t="s">
        <v>563</v>
      </c>
      <c r="Z91" s="313" t="s">
        <v>987</v>
      </c>
      <c r="AA91" s="183"/>
      <c r="AB91" s="315" t="s">
        <v>1156</v>
      </c>
      <c r="AC91" s="4"/>
      <c r="AD91" s="4"/>
      <c r="AE91" s="4"/>
    </row>
    <row r="92">
      <c r="A92" s="60">
        <v>88.0</v>
      </c>
      <c r="B92" s="69"/>
      <c r="C92" s="69"/>
      <c r="D92" s="39"/>
      <c r="E92" s="43">
        <v>2.0</v>
      </c>
      <c r="F92" s="39"/>
      <c r="G92" s="367" t="s">
        <v>203</v>
      </c>
      <c r="H92" s="368" t="s">
        <v>1157</v>
      </c>
      <c r="I92" s="43" t="s">
        <v>1158</v>
      </c>
      <c r="J92" s="68"/>
      <c r="K92" s="369" t="s">
        <v>47</v>
      </c>
      <c r="L92" s="370">
        <v>37676.0</v>
      </c>
      <c r="M92" s="367" t="s">
        <v>1159</v>
      </c>
      <c r="N92" s="371">
        <v>45586.0</v>
      </c>
      <c r="O92" s="371">
        <v>49238.0</v>
      </c>
      <c r="P92" s="68"/>
      <c r="Q92" s="57"/>
      <c r="R92" s="64">
        <v>46077.0</v>
      </c>
      <c r="S92" s="325" t="s">
        <v>838</v>
      </c>
      <c r="T92" s="51">
        <v>1500000.0</v>
      </c>
      <c r="U92" s="39"/>
      <c r="V92" s="57"/>
      <c r="W92" s="56"/>
      <c r="X92" s="316"/>
      <c r="Y92" s="312" t="s">
        <v>563</v>
      </c>
      <c r="Z92" s="313" t="s">
        <v>987</v>
      </c>
      <c r="AA92" s="183"/>
      <c r="AB92" s="315" t="s">
        <v>1160</v>
      </c>
      <c r="AC92" s="4"/>
      <c r="AD92" s="4"/>
      <c r="AE92" s="4"/>
    </row>
    <row r="93">
      <c r="A93" s="60"/>
      <c r="B93" s="69"/>
      <c r="C93" s="69"/>
      <c r="D93" s="69"/>
      <c r="E93" s="69"/>
      <c r="F93" s="373"/>
      <c r="G93" s="374"/>
      <c r="H93" s="375"/>
      <c r="I93" s="69"/>
      <c r="J93" s="68"/>
      <c r="K93" s="211"/>
      <c r="L93" s="376"/>
      <c r="M93" s="374"/>
      <c r="N93" s="377"/>
      <c r="O93" s="377"/>
      <c r="P93" s="68"/>
      <c r="Q93" s="57"/>
      <c r="R93" s="219"/>
      <c r="S93" s="378"/>
      <c r="T93" s="193"/>
      <c r="U93" s="69"/>
      <c r="V93" s="57"/>
      <c r="W93" s="196"/>
      <c r="X93" s="316"/>
      <c r="Y93" s="379"/>
      <c r="Z93" s="380"/>
      <c r="AA93" s="183"/>
      <c r="AB93" s="381"/>
      <c r="AC93" s="4"/>
      <c r="AD93" s="4"/>
      <c r="AE93" s="4"/>
    </row>
    <row r="94">
      <c r="A94" s="60"/>
      <c r="B94" s="69"/>
      <c r="C94" s="69"/>
      <c r="D94" s="69"/>
      <c r="E94" s="69"/>
      <c r="F94" s="373"/>
      <c r="G94" s="68"/>
      <c r="H94" s="68"/>
      <c r="I94" s="69"/>
      <c r="J94" s="68"/>
      <c r="K94" s="69"/>
      <c r="L94" s="71"/>
      <c r="M94" s="68"/>
      <c r="N94" s="130"/>
      <c r="O94" s="130"/>
      <c r="P94" s="68"/>
      <c r="Q94" s="57"/>
      <c r="R94" s="219"/>
      <c r="S94" s="378"/>
      <c r="T94" s="193"/>
      <c r="U94" s="69"/>
      <c r="V94" s="57"/>
      <c r="W94" s="196"/>
      <c r="X94" s="316"/>
      <c r="Y94" s="379"/>
      <c r="Z94" s="380"/>
      <c r="AA94" s="183"/>
      <c r="AB94" s="381"/>
      <c r="AC94" s="4"/>
      <c r="AD94" s="4"/>
      <c r="AE94" s="4"/>
    </row>
    <row r="95">
      <c r="A95" s="60"/>
      <c r="B95" s="69"/>
      <c r="C95" s="60" t="s">
        <v>290</v>
      </c>
      <c r="D95" s="69"/>
      <c r="E95" s="69"/>
      <c r="F95" s="373"/>
      <c r="G95" s="68"/>
      <c r="H95" s="68"/>
      <c r="I95" s="69"/>
      <c r="J95" s="68"/>
      <c r="K95" s="69"/>
      <c r="L95" s="71"/>
      <c r="M95" s="68"/>
      <c r="N95" s="130"/>
      <c r="O95" s="130"/>
      <c r="P95" s="68"/>
      <c r="Q95" s="57"/>
      <c r="R95" s="131"/>
      <c r="S95" s="132"/>
      <c r="T95" s="133"/>
      <c r="U95" s="134"/>
      <c r="V95" s="135"/>
      <c r="W95" s="233"/>
      <c r="X95" s="382"/>
      <c r="Y95" s="383"/>
      <c r="Z95" s="384"/>
      <c r="AA95" s="385"/>
      <c r="AB95" s="381"/>
      <c r="AC95" s="4"/>
      <c r="AD95" s="4"/>
      <c r="AE95" s="4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 t="s">
        <v>291</v>
      </c>
      <c r="K96" s="138"/>
      <c r="L96" s="139"/>
      <c r="M96" s="138"/>
      <c r="N96" s="139"/>
      <c r="O96" s="139"/>
      <c r="P96" s="138"/>
      <c r="Q96" s="138"/>
      <c r="R96" s="3"/>
      <c r="S96" s="4"/>
      <c r="T96" s="5"/>
      <c r="U96" s="4"/>
      <c r="V96" s="4"/>
      <c r="W96" s="4"/>
      <c r="X96" s="67"/>
      <c r="Y96" s="4"/>
      <c r="Z96" s="4"/>
      <c r="AA96" s="4"/>
      <c r="AB96" s="386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3"/>
      <c r="M97" s="4"/>
      <c r="N97" s="3"/>
      <c r="O97" s="3"/>
      <c r="P97" s="4"/>
      <c r="Q97" s="4"/>
      <c r="R97" s="3"/>
      <c r="S97" s="4"/>
      <c r="T97" s="5"/>
      <c r="U97" s="4"/>
      <c r="V97" s="4"/>
      <c r="W97" s="4"/>
      <c r="X97" s="67"/>
      <c r="Y97" s="4"/>
      <c r="Z97" s="4"/>
      <c r="AA97" s="4"/>
      <c r="AB97" s="386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3"/>
      <c r="M98" s="4"/>
      <c r="N98" s="40"/>
      <c r="O98" s="3"/>
      <c r="P98" s="4"/>
      <c r="Q98" s="4"/>
      <c r="R98" s="3"/>
      <c r="S98" s="40"/>
      <c r="T98" s="387"/>
      <c r="U98" s="4"/>
      <c r="V98" s="4"/>
      <c r="W98" s="4"/>
      <c r="X98" s="67"/>
      <c r="Y98" s="4"/>
      <c r="Z98" s="4"/>
      <c r="AA98" s="4"/>
      <c r="AB98" s="386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3"/>
      <c r="M99" s="4"/>
      <c r="N99" s="40"/>
      <c r="O99" s="3"/>
      <c r="P99" s="4"/>
      <c r="Q99" s="4"/>
      <c r="R99" s="3"/>
      <c r="S99" s="40"/>
      <c r="T99" s="5"/>
      <c r="U99" s="4"/>
      <c r="V99" s="4"/>
      <c r="W99" s="4"/>
      <c r="X99" s="67"/>
      <c r="Y99" s="4"/>
      <c r="Z99" s="4"/>
      <c r="AA99" s="4"/>
      <c r="AB99" s="386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3"/>
      <c r="M100" s="4"/>
      <c r="N100" s="3"/>
      <c r="O100" s="3"/>
      <c r="P100" s="4"/>
      <c r="Q100" s="4"/>
      <c r="R100" s="3"/>
      <c r="S100" s="4"/>
      <c r="T100" s="5"/>
      <c r="U100" s="4"/>
      <c r="V100" s="4"/>
      <c r="W100" s="4"/>
      <c r="X100" s="67"/>
      <c r="Y100" s="4"/>
      <c r="Z100" s="4"/>
      <c r="AA100" s="4"/>
      <c r="AB100" s="386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3"/>
      <c r="M101" s="4"/>
      <c r="N101" s="3"/>
      <c r="O101" s="3"/>
      <c r="P101" s="4"/>
      <c r="Q101" s="4"/>
      <c r="R101" s="3"/>
      <c r="S101" s="4"/>
      <c r="T101" s="5"/>
      <c r="U101" s="4"/>
      <c r="V101" s="4"/>
      <c r="W101" s="4"/>
      <c r="X101" s="67"/>
      <c r="Y101" s="4"/>
      <c r="Z101" s="4"/>
      <c r="AA101" s="4"/>
      <c r="AB101" s="386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4"/>
      <c r="N102" s="3"/>
      <c r="O102" s="3"/>
      <c r="P102" s="4"/>
      <c r="Q102" s="4"/>
      <c r="R102" s="3"/>
      <c r="S102" s="4"/>
      <c r="T102" s="5"/>
      <c r="U102" s="4"/>
      <c r="V102" s="4"/>
      <c r="W102" s="4"/>
      <c r="X102" s="67"/>
      <c r="Y102" s="4"/>
      <c r="Z102" s="4"/>
      <c r="AA102" s="4"/>
      <c r="AB102" s="386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3"/>
      <c r="M103" s="4"/>
      <c r="N103" s="3"/>
      <c r="O103" s="3"/>
      <c r="P103" s="4"/>
      <c r="Q103" s="4"/>
      <c r="R103" s="3"/>
      <c r="S103" s="4"/>
      <c r="T103" s="5"/>
      <c r="U103" s="4"/>
      <c r="V103" s="4"/>
      <c r="W103" s="4"/>
      <c r="X103" s="67"/>
      <c r="Y103" s="4"/>
      <c r="Z103" s="4"/>
      <c r="AA103" s="4"/>
      <c r="AB103" s="386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3"/>
      <c r="M104" s="4"/>
      <c r="N104" s="3"/>
      <c r="O104" s="3"/>
      <c r="P104" s="4"/>
      <c r="Q104" s="4"/>
      <c r="R104" s="3"/>
      <c r="S104" s="4"/>
      <c r="T104" s="5"/>
      <c r="U104" s="4"/>
      <c r="V104" s="4"/>
      <c r="W104" s="4"/>
      <c r="X104" s="67"/>
      <c r="Y104" s="4"/>
      <c r="Z104" s="4"/>
      <c r="AA104" s="4"/>
      <c r="AB104" s="386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3"/>
      <c r="M105" s="4"/>
      <c r="N105" s="3"/>
      <c r="O105" s="3"/>
      <c r="P105" s="4"/>
      <c r="Q105" s="4"/>
      <c r="R105" s="3"/>
      <c r="S105" s="4"/>
      <c r="T105" s="5"/>
      <c r="U105" s="4"/>
      <c r="V105" s="4"/>
      <c r="W105" s="4"/>
      <c r="X105" s="67"/>
      <c r="Y105" s="4"/>
      <c r="Z105" s="4"/>
      <c r="AA105" s="4"/>
      <c r="AB105" s="386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3"/>
      <c r="M106" s="4"/>
      <c r="N106" s="3"/>
      <c r="O106" s="3"/>
      <c r="P106" s="4"/>
      <c r="Q106" s="4"/>
      <c r="R106" s="3"/>
      <c r="S106" s="4"/>
      <c r="T106" s="5"/>
      <c r="U106" s="4"/>
      <c r="V106" s="4"/>
      <c r="W106" s="4"/>
      <c r="X106" s="67"/>
      <c r="Y106" s="4"/>
      <c r="Z106" s="4"/>
      <c r="AA106" s="4"/>
      <c r="AB106" s="386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3"/>
      <c r="M107" s="4"/>
      <c r="N107" s="3"/>
      <c r="O107" s="3"/>
      <c r="P107" s="4"/>
      <c r="Q107" s="4"/>
      <c r="R107" s="3"/>
      <c r="S107" s="4"/>
      <c r="T107" s="5"/>
      <c r="U107" s="4"/>
      <c r="V107" s="4"/>
      <c r="W107" s="4"/>
      <c r="X107" s="67"/>
      <c r="Y107" s="4"/>
      <c r="Z107" s="4"/>
      <c r="AA107" s="4"/>
      <c r="AB107" s="386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3"/>
      <c r="M108" s="4"/>
      <c r="N108" s="3"/>
      <c r="O108" s="3"/>
      <c r="P108" s="4"/>
      <c r="Q108" s="4"/>
      <c r="R108" s="3"/>
      <c r="S108" s="4"/>
      <c r="T108" s="5"/>
      <c r="U108" s="4"/>
      <c r="V108" s="4"/>
      <c r="W108" s="4"/>
      <c r="X108" s="67"/>
      <c r="Y108" s="4"/>
      <c r="Z108" s="4"/>
      <c r="AA108" s="4"/>
      <c r="AB108" s="386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3"/>
      <c r="M109" s="4"/>
      <c r="N109" s="3"/>
      <c r="O109" s="3"/>
      <c r="P109" s="4"/>
      <c r="Q109" s="4"/>
      <c r="R109" s="3"/>
      <c r="S109" s="4"/>
      <c r="T109" s="5"/>
      <c r="U109" s="4"/>
      <c r="V109" s="4"/>
      <c r="W109" s="4"/>
      <c r="X109" s="67"/>
      <c r="Y109" s="4"/>
      <c r="Z109" s="4"/>
      <c r="AA109" s="4"/>
      <c r="AB109" s="386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3"/>
      <c r="M110" s="4"/>
      <c r="N110" s="3"/>
      <c r="O110" s="3"/>
      <c r="P110" s="4"/>
      <c r="Q110" s="4"/>
      <c r="R110" s="3"/>
      <c r="S110" s="4"/>
      <c r="T110" s="5"/>
      <c r="U110" s="4"/>
      <c r="V110" s="4"/>
      <c r="W110" s="4"/>
      <c r="X110" s="67"/>
      <c r="Y110" s="4"/>
      <c r="Z110" s="4"/>
      <c r="AA110" s="4"/>
      <c r="AB110" s="386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3"/>
      <c r="M111" s="4"/>
      <c r="N111" s="3"/>
      <c r="O111" s="3"/>
      <c r="P111" s="4"/>
      <c r="Q111" s="4"/>
      <c r="R111" s="3"/>
      <c r="S111" s="4"/>
      <c r="T111" s="5"/>
      <c r="U111" s="4"/>
      <c r="V111" s="4"/>
      <c r="W111" s="4"/>
      <c r="X111" s="67"/>
      <c r="Y111" s="4"/>
      <c r="Z111" s="4"/>
      <c r="AA111" s="4"/>
      <c r="AB111" s="386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3"/>
      <c r="M112" s="4"/>
      <c r="N112" s="3"/>
      <c r="O112" s="3"/>
      <c r="P112" s="4"/>
      <c r="Q112" s="4"/>
      <c r="R112" s="3"/>
      <c r="S112" s="4"/>
      <c r="T112" s="5"/>
      <c r="U112" s="4"/>
      <c r="V112" s="4"/>
      <c r="W112" s="4"/>
      <c r="X112" s="67"/>
      <c r="Y112" s="4"/>
      <c r="Z112" s="4"/>
      <c r="AA112" s="4"/>
      <c r="AB112" s="386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3"/>
      <c r="M113" s="4"/>
      <c r="N113" s="3"/>
      <c r="O113" s="3"/>
      <c r="P113" s="4"/>
      <c r="Q113" s="4"/>
      <c r="R113" s="3"/>
      <c r="S113" s="4"/>
      <c r="T113" s="5"/>
      <c r="U113" s="4"/>
      <c r="V113" s="4"/>
      <c r="W113" s="4"/>
      <c r="X113" s="67"/>
      <c r="Y113" s="4"/>
      <c r="Z113" s="4"/>
      <c r="AA113" s="4"/>
      <c r="AB113" s="386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3"/>
      <c r="M114" s="4"/>
      <c r="N114" s="3"/>
      <c r="O114" s="3"/>
      <c r="P114" s="4"/>
      <c r="Q114" s="4"/>
      <c r="R114" s="3"/>
      <c r="S114" s="4"/>
      <c r="T114" s="5"/>
      <c r="U114" s="4"/>
      <c r="V114" s="4"/>
      <c r="W114" s="4"/>
      <c r="X114" s="67"/>
      <c r="Y114" s="4"/>
      <c r="Z114" s="4"/>
      <c r="AA114" s="4"/>
      <c r="AB114" s="386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3"/>
      <c r="M115" s="4"/>
      <c r="N115" s="3"/>
      <c r="O115" s="3"/>
      <c r="P115" s="4"/>
      <c r="Q115" s="4"/>
      <c r="R115" s="3"/>
      <c r="S115" s="4"/>
      <c r="T115" s="5"/>
      <c r="U115" s="4"/>
      <c r="V115" s="4"/>
      <c r="W115" s="4"/>
      <c r="X115" s="67"/>
      <c r="Y115" s="4"/>
      <c r="Z115" s="4"/>
      <c r="AA115" s="4"/>
      <c r="AB115" s="386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3"/>
      <c r="M116" s="4"/>
      <c r="N116" s="3"/>
      <c r="O116" s="3"/>
      <c r="P116" s="4"/>
      <c r="Q116" s="4"/>
      <c r="R116" s="3"/>
      <c r="S116" s="4"/>
      <c r="T116" s="5"/>
      <c r="U116" s="4"/>
      <c r="V116" s="4"/>
      <c r="W116" s="4"/>
      <c r="X116" s="67"/>
      <c r="Y116" s="4"/>
      <c r="Z116" s="4"/>
      <c r="AA116" s="4"/>
      <c r="AB116" s="386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4"/>
      <c r="N117" s="3"/>
      <c r="O117" s="3"/>
      <c r="P117" s="4"/>
      <c r="Q117" s="4"/>
      <c r="R117" s="3"/>
      <c r="S117" s="4"/>
      <c r="T117" s="5"/>
      <c r="U117" s="4"/>
      <c r="V117" s="4"/>
      <c r="W117" s="4"/>
      <c r="X117" s="67"/>
      <c r="Y117" s="4"/>
      <c r="Z117" s="4"/>
      <c r="AA117" s="4"/>
      <c r="AB117" s="386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4"/>
      <c r="N118" s="3"/>
      <c r="O118" s="3"/>
      <c r="P118" s="4"/>
      <c r="Q118" s="4"/>
      <c r="R118" s="3"/>
      <c r="S118" s="4"/>
      <c r="T118" s="5"/>
      <c r="U118" s="4"/>
      <c r="V118" s="4"/>
      <c r="W118" s="4"/>
      <c r="X118" s="67"/>
      <c r="Y118" s="4"/>
      <c r="Z118" s="4"/>
      <c r="AA118" s="4"/>
      <c r="AB118" s="386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4"/>
      <c r="N119" s="3"/>
      <c r="O119" s="3"/>
      <c r="P119" s="4"/>
      <c r="Q119" s="4"/>
      <c r="R119" s="3"/>
      <c r="S119" s="4"/>
      <c r="T119" s="5"/>
      <c r="U119" s="4"/>
      <c r="V119" s="4"/>
      <c r="W119" s="4"/>
      <c r="X119" s="67"/>
      <c r="Y119" s="4"/>
      <c r="Z119" s="4"/>
      <c r="AA119" s="4"/>
      <c r="AB119" s="386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4"/>
      <c r="N120" s="3"/>
      <c r="O120" s="3"/>
      <c r="P120" s="4"/>
      <c r="Q120" s="4"/>
      <c r="R120" s="3"/>
      <c r="S120" s="4"/>
      <c r="T120" s="5"/>
      <c r="U120" s="4"/>
      <c r="V120" s="4"/>
      <c r="W120" s="4"/>
      <c r="X120" s="67"/>
      <c r="Y120" s="4"/>
      <c r="Z120" s="4"/>
      <c r="AA120" s="4"/>
      <c r="AB120" s="386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4"/>
      <c r="N121" s="3"/>
      <c r="O121" s="3"/>
      <c r="P121" s="4"/>
      <c r="Q121" s="4"/>
      <c r="R121" s="3"/>
      <c r="S121" s="4"/>
      <c r="T121" s="5"/>
      <c r="U121" s="4"/>
      <c r="V121" s="4"/>
      <c r="W121" s="4"/>
      <c r="X121" s="67"/>
      <c r="Y121" s="4"/>
      <c r="Z121" s="4"/>
      <c r="AA121" s="4"/>
      <c r="AB121" s="386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3"/>
      <c r="M122" s="4"/>
      <c r="N122" s="3"/>
      <c r="O122" s="3"/>
      <c r="P122" s="4"/>
      <c r="Q122" s="4"/>
      <c r="R122" s="3"/>
      <c r="S122" s="4"/>
      <c r="T122" s="5"/>
      <c r="U122" s="4"/>
      <c r="V122" s="4"/>
      <c r="W122" s="4"/>
      <c r="X122" s="67"/>
      <c r="Y122" s="4"/>
      <c r="Z122" s="4"/>
      <c r="AA122" s="4"/>
      <c r="AB122" s="386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3"/>
      <c r="M123" s="4"/>
      <c r="N123" s="3"/>
      <c r="O123" s="3"/>
      <c r="P123" s="4"/>
      <c r="Q123" s="4"/>
      <c r="R123" s="3"/>
      <c r="S123" s="4"/>
      <c r="T123" s="5"/>
      <c r="U123" s="4"/>
      <c r="V123" s="4"/>
      <c r="W123" s="4"/>
      <c r="X123" s="67"/>
      <c r="Y123" s="4"/>
      <c r="Z123" s="4"/>
      <c r="AA123" s="4"/>
      <c r="AB123" s="386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3"/>
      <c r="M124" s="4"/>
      <c r="N124" s="3"/>
      <c r="O124" s="3"/>
      <c r="P124" s="4"/>
      <c r="Q124" s="4"/>
      <c r="R124" s="3"/>
      <c r="S124" s="4"/>
      <c r="T124" s="5"/>
      <c r="U124" s="4"/>
      <c r="V124" s="4"/>
      <c r="W124" s="4"/>
      <c r="X124" s="67"/>
      <c r="Y124" s="4"/>
      <c r="Z124" s="4"/>
      <c r="AA124" s="4"/>
      <c r="AB124" s="386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3"/>
      <c r="M125" s="4"/>
      <c r="N125" s="3"/>
      <c r="O125" s="3"/>
      <c r="P125" s="4"/>
      <c r="Q125" s="4"/>
      <c r="R125" s="3"/>
      <c r="S125" s="4"/>
      <c r="T125" s="5"/>
      <c r="U125" s="4"/>
      <c r="V125" s="4"/>
      <c r="W125" s="4"/>
      <c r="X125" s="67"/>
      <c r="Y125" s="4"/>
      <c r="Z125" s="4"/>
      <c r="AA125" s="4"/>
      <c r="AB125" s="386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3"/>
      <c r="M126" s="4"/>
      <c r="N126" s="3"/>
      <c r="O126" s="3"/>
      <c r="P126" s="4"/>
      <c r="Q126" s="4"/>
      <c r="R126" s="3"/>
      <c r="S126" s="4"/>
      <c r="T126" s="5"/>
      <c r="U126" s="4"/>
      <c r="V126" s="4"/>
      <c r="W126" s="4"/>
      <c r="X126" s="67"/>
      <c r="Y126" s="4"/>
      <c r="Z126" s="4"/>
      <c r="AA126" s="4"/>
      <c r="AB126" s="386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3"/>
      <c r="M127" s="4"/>
      <c r="N127" s="3"/>
      <c r="O127" s="3"/>
      <c r="P127" s="4"/>
      <c r="Q127" s="4"/>
      <c r="R127" s="3"/>
      <c r="S127" s="4"/>
      <c r="T127" s="5"/>
      <c r="U127" s="4"/>
      <c r="V127" s="4"/>
      <c r="W127" s="4"/>
      <c r="X127" s="67"/>
      <c r="Y127" s="4"/>
      <c r="Z127" s="4"/>
      <c r="AA127" s="4"/>
      <c r="AB127" s="386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3"/>
      <c r="M128" s="4"/>
      <c r="N128" s="3"/>
      <c r="O128" s="3"/>
      <c r="P128" s="4"/>
      <c r="Q128" s="4"/>
      <c r="R128" s="3"/>
      <c r="S128" s="4"/>
      <c r="T128" s="5"/>
      <c r="U128" s="4"/>
      <c r="V128" s="4"/>
      <c r="W128" s="4"/>
      <c r="X128" s="67"/>
      <c r="Y128" s="4"/>
      <c r="Z128" s="4"/>
      <c r="AA128" s="4"/>
      <c r="AB128" s="386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3"/>
      <c r="M129" s="4"/>
      <c r="N129" s="3"/>
      <c r="O129" s="3"/>
      <c r="P129" s="4"/>
      <c r="Q129" s="4"/>
      <c r="R129" s="3"/>
      <c r="S129" s="4"/>
      <c r="T129" s="5"/>
      <c r="U129" s="4"/>
      <c r="V129" s="4"/>
      <c r="W129" s="4"/>
      <c r="X129" s="67"/>
      <c r="Y129" s="4"/>
      <c r="Z129" s="4"/>
      <c r="AA129" s="4"/>
      <c r="AB129" s="386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3"/>
      <c r="M130" s="4"/>
      <c r="N130" s="3"/>
      <c r="O130" s="3"/>
      <c r="P130" s="4"/>
      <c r="Q130" s="4"/>
      <c r="R130" s="3"/>
      <c r="S130" s="4"/>
      <c r="T130" s="5"/>
      <c r="U130" s="4"/>
      <c r="V130" s="4"/>
      <c r="W130" s="4"/>
      <c r="X130" s="67"/>
      <c r="Y130" s="4"/>
      <c r="Z130" s="4"/>
      <c r="AA130" s="4"/>
      <c r="AB130" s="386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3"/>
      <c r="M131" s="4"/>
      <c r="N131" s="3"/>
      <c r="O131" s="3"/>
      <c r="P131" s="4"/>
      <c r="Q131" s="4"/>
      <c r="R131" s="3"/>
      <c r="S131" s="4"/>
      <c r="T131" s="5"/>
      <c r="U131" s="4"/>
      <c r="V131" s="4"/>
      <c r="W131" s="4"/>
      <c r="X131" s="67"/>
      <c r="Y131" s="4"/>
      <c r="Z131" s="4"/>
      <c r="AA131" s="4"/>
      <c r="AB131" s="386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3"/>
      <c r="M132" s="4"/>
      <c r="N132" s="3"/>
      <c r="O132" s="3"/>
      <c r="P132" s="4"/>
      <c r="Q132" s="4"/>
      <c r="R132" s="3"/>
      <c r="S132" s="4"/>
      <c r="T132" s="5"/>
      <c r="U132" s="4"/>
      <c r="V132" s="4"/>
      <c r="W132" s="4"/>
      <c r="X132" s="67"/>
      <c r="Y132" s="4"/>
      <c r="Z132" s="4"/>
      <c r="AA132" s="4"/>
      <c r="AB132" s="386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3"/>
      <c r="M133" s="4"/>
      <c r="N133" s="3"/>
      <c r="O133" s="3"/>
      <c r="P133" s="4"/>
      <c r="Q133" s="4"/>
      <c r="R133" s="3"/>
      <c r="S133" s="4"/>
      <c r="T133" s="5"/>
      <c r="U133" s="4"/>
      <c r="V133" s="4"/>
      <c r="W133" s="4"/>
      <c r="X133" s="67"/>
      <c r="Y133" s="4"/>
      <c r="Z133" s="4"/>
      <c r="AA133" s="4"/>
      <c r="AB133" s="386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3"/>
      <c r="M134" s="4"/>
      <c r="N134" s="3"/>
      <c r="O134" s="3"/>
      <c r="P134" s="4"/>
      <c r="Q134" s="4"/>
      <c r="R134" s="3"/>
      <c r="S134" s="4"/>
      <c r="T134" s="5"/>
      <c r="U134" s="4"/>
      <c r="V134" s="4"/>
      <c r="W134" s="4"/>
      <c r="X134" s="67"/>
      <c r="Y134" s="4"/>
      <c r="Z134" s="4"/>
      <c r="AA134" s="4"/>
      <c r="AB134" s="386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3"/>
      <c r="M135" s="4"/>
      <c r="N135" s="3"/>
      <c r="O135" s="3"/>
      <c r="P135" s="4"/>
      <c r="Q135" s="4"/>
      <c r="R135" s="3"/>
      <c r="S135" s="4"/>
      <c r="T135" s="5"/>
      <c r="U135" s="4"/>
      <c r="V135" s="4"/>
      <c r="W135" s="4"/>
      <c r="X135" s="67"/>
      <c r="Y135" s="4"/>
      <c r="Z135" s="4"/>
      <c r="AA135" s="4"/>
      <c r="AB135" s="386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3"/>
      <c r="M136" s="4"/>
      <c r="N136" s="3"/>
      <c r="O136" s="3"/>
      <c r="P136" s="4"/>
      <c r="Q136" s="4"/>
      <c r="R136" s="3"/>
      <c r="S136" s="4"/>
      <c r="T136" s="5"/>
      <c r="U136" s="4"/>
      <c r="V136" s="4"/>
      <c r="W136" s="4"/>
      <c r="X136" s="67"/>
      <c r="Y136" s="4"/>
      <c r="Z136" s="4"/>
      <c r="AA136" s="4"/>
      <c r="AB136" s="386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3"/>
      <c r="M137" s="4"/>
      <c r="N137" s="3"/>
      <c r="O137" s="3"/>
      <c r="P137" s="4"/>
      <c r="Q137" s="4"/>
      <c r="R137" s="3"/>
      <c r="S137" s="4"/>
      <c r="T137" s="5"/>
      <c r="U137" s="4"/>
      <c r="V137" s="4"/>
      <c r="W137" s="4"/>
      <c r="X137" s="67"/>
      <c r="Y137" s="4"/>
      <c r="Z137" s="4"/>
      <c r="AA137" s="4"/>
      <c r="AB137" s="386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4"/>
      <c r="N138" s="3"/>
      <c r="O138" s="3"/>
      <c r="P138" s="4"/>
      <c r="Q138" s="4"/>
      <c r="R138" s="3"/>
      <c r="S138" s="4"/>
      <c r="T138" s="5"/>
      <c r="U138" s="4"/>
      <c r="V138" s="4"/>
      <c r="W138" s="4"/>
      <c r="X138" s="67"/>
      <c r="Y138" s="4"/>
      <c r="Z138" s="4"/>
      <c r="AA138" s="4"/>
      <c r="AB138" s="386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3"/>
      <c r="M139" s="4"/>
      <c r="N139" s="3"/>
      <c r="O139" s="3"/>
      <c r="P139" s="4"/>
      <c r="Q139" s="4"/>
      <c r="R139" s="3"/>
      <c r="S139" s="4"/>
      <c r="T139" s="5"/>
      <c r="U139" s="4"/>
      <c r="V139" s="4"/>
      <c r="W139" s="4"/>
      <c r="X139" s="67"/>
      <c r="Y139" s="4"/>
      <c r="Z139" s="4"/>
      <c r="AA139" s="4"/>
      <c r="AB139" s="386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4"/>
      <c r="N140" s="3"/>
      <c r="O140" s="3"/>
      <c r="P140" s="4"/>
      <c r="Q140" s="4"/>
      <c r="R140" s="3"/>
      <c r="S140" s="4"/>
      <c r="T140" s="5"/>
      <c r="U140" s="4"/>
      <c r="V140" s="4"/>
      <c r="W140" s="4"/>
      <c r="X140" s="67"/>
      <c r="Y140" s="4"/>
      <c r="Z140" s="4"/>
      <c r="AA140" s="4"/>
      <c r="AB140" s="386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  <c r="M141" s="4"/>
      <c r="N141" s="3"/>
      <c r="O141" s="3"/>
      <c r="P141" s="4"/>
      <c r="Q141" s="4"/>
      <c r="R141" s="3"/>
      <c r="S141" s="4"/>
      <c r="T141" s="5"/>
      <c r="U141" s="4"/>
      <c r="V141" s="4"/>
      <c r="W141" s="4"/>
      <c r="X141" s="67"/>
      <c r="Y141" s="4"/>
      <c r="Z141" s="4"/>
      <c r="AA141" s="4"/>
      <c r="AB141" s="386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  <c r="M142" s="4"/>
      <c r="N142" s="3"/>
      <c r="O142" s="3"/>
      <c r="P142" s="4"/>
      <c r="Q142" s="4"/>
      <c r="R142" s="3"/>
      <c r="S142" s="4"/>
      <c r="T142" s="5"/>
      <c r="U142" s="4"/>
      <c r="V142" s="4"/>
      <c r="W142" s="4"/>
      <c r="X142" s="67"/>
      <c r="Y142" s="4"/>
      <c r="Z142" s="4"/>
      <c r="AA142" s="4"/>
      <c r="AB142" s="386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  <c r="M143" s="4"/>
      <c r="N143" s="3"/>
      <c r="O143" s="3"/>
      <c r="P143" s="4"/>
      <c r="Q143" s="4"/>
      <c r="R143" s="3"/>
      <c r="S143" s="4"/>
      <c r="T143" s="5"/>
      <c r="U143" s="4"/>
      <c r="V143" s="4"/>
      <c r="W143" s="4"/>
      <c r="X143" s="67"/>
      <c r="Y143" s="4"/>
      <c r="Z143" s="4"/>
      <c r="AA143" s="4"/>
      <c r="AB143" s="386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4"/>
      <c r="N144" s="3"/>
      <c r="O144" s="3"/>
      <c r="P144" s="4"/>
      <c r="Q144" s="4"/>
      <c r="R144" s="3"/>
      <c r="S144" s="4"/>
      <c r="T144" s="5"/>
      <c r="U144" s="4"/>
      <c r="V144" s="4"/>
      <c r="W144" s="4"/>
      <c r="X144" s="67"/>
      <c r="Y144" s="4"/>
      <c r="Z144" s="4"/>
      <c r="AA144" s="4"/>
      <c r="AB144" s="386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  <c r="M145" s="4"/>
      <c r="N145" s="3"/>
      <c r="O145" s="3"/>
      <c r="P145" s="4"/>
      <c r="Q145" s="4"/>
      <c r="R145" s="3"/>
      <c r="S145" s="4"/>
      <c r="T145" s="5"/>
      <c r="U145" s="4"/>
      <c r="V145" s="4"/>
      <c r="W145" s="4"/>
      <c r="X145" s="67"/>
      <c r="Y145" s="4"/>
      <c r="Z145" s="4"/>
      <c r="AA145" s="4"/>
      <c r="AB145" s="386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  <c r="M146" s="4"/>
      <c r="N146" s="3"/>
      <c r="O146" s="3"/>
      <c r="P146" s="4"/>
      <c r="Q146" s="4"/>
      <c r="R146" s="3"/>
      <c r="S146" s="4"/>
      <c r="T146" s="5"/>
      <c r="U146" s="4"/>
      <c r="V146" s="4"/>
      <c r="W146" s="4"/>
      <c r="X146" s="67"/>
      <c r="Y146" s="4"/>
      <c r="Z146" s="4"/>
      <c r="AA146" s="4"/>
      <c r="AB146" s="386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  <c r="M147" s="4"/>
      <c r="N147" s="3"/>
      <c r="O147" s="3"/>
      <c r="P147" s="4"/>
      <c r="Q147" s="4"/>
      <c r="R147" s="3"/>
      <c r="S147" s="4"/>
      <c r="T147" s="5"/>
      <c r="U147" s="4"/>
      <c r="V147" s="4"/>
      <c r="W147" s="4"/>
      <c r="X147" s="67"/>
      <c r="Y147" s="4"/>
      <c r="Z147" s="4"/>
      <c r="AA147" s="4"/>
      <c r="AB147" s="386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  <c r="M148" s="4"/>
      <c r="N148" s="3"/>
      <c r="O148" s="3"/>
      <c r="P148" s="4"/>
      <c r="Q148" s="4"/>
      <c r="R148" s="3"/>
      <c r="S148" s="4"/>
      <c r="T148" s="5"/>
      <c r="U148" s="4"/>
      <c r="V148" s="4"/>
      <c r="W148" s="4"/>
      <c r="X148" s="67"/>
      <c r="Y148" s="4"/>
      <c r="Z148" s="4"/>
      <c r="AA148" s="4"/>
      <c r="AB148" s="386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  <c r="M149" s="4"/>
      <c r="N149" s="3"/>
      <c r="O149" s="3"/>
      <c r="P149" s="4"/>
      <c r="Q149" s="4"/>
      <c r="R149" s="3"/>
      <c r="S149" s="4"/>
      <c r="T149" s="5"/>
      <c r="U149" s="4"/>
      <c r="V149" s="4"/>
      <c r="W149" s="4"/>
      <c r="X149" s="67"/>
      <c r="Y149" s="4"/>
      <c r="Z149" s="4"/>
      <c r="AA149" s="4"/>
      <c r="AB149" s="386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  <c r="M150" s="4"/>
      <c r="N150" s="3"/>
      <c r="O150" s="3"/>
      <c r="P150" s="4"/>
      <c r="Q150" s="4"/>
      <c r="R150" s="3"/>
      <c r="S150" s="4"/>
      <c r="T150" s="5"/>
      <c r="U150" s="4"/>
      <c r="V150" s="4"/>
      <c r="W150" s="4"/>
      <c r="X150" s="67"/>
      <c r="Y150" s="4"/>
      <c r="Z150" s="4"/>
      <c r="AA150" s="4"/>
      <c r="AB150" s="386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  <c r="M151" s="4"/>
      <c r="N151" s="3"/>
      <c r="O151" s="3"/>
      <c r="P151" s="4"/>
      <c r="Q151" s="4"/>
      <c r="R151" s="3"/>
      <c r="S151" s="4"/>
      <c r="T151" s="5"/>
      <c r="U151" s="4"/>
      <c r="V151" s="4"/>
      <c r="W151" s="4"/>
      <c r="X151" s="67"/>
      <c r="Y151" s="4"/>
      <c r="Z151" s="4"/>
      <c r="AA151" s="4"/>
      <c r="AB151" s="386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  <c r="M152" s="4"/>
      <c r="N152" s="3"/>
      <c r="O152" s="3"/>
      <c r="P152" s="4"/>
      <c r="Q152" s="4"/>
      <c r="R152" s="3"/>
      <c r="S152" s="4"/>
      <c r="T152" s="5"/>
      <c r="U152" s="4"/>
      <c r="V152" s="4"/>
      <c r="W152" s="4"/>
      <c r="X152" s="67"/>
      <c r="Y152" s="4"/>
      <c r="Z152" s="4"/>
      <c r="AA152" s="4"/>
      <c r="AB152" s="386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  <c r="M153" s="4"/>
      <c r="N153" s="3"/>
      <c r="O153" s="3"/>
      <c r="P153" s="4"/>
      <c r="Q153" s="4"/>
      <c r="R153" s="3"/>
      <c r="S153" s="4"/>
      <c r="T153" s="5"/>
      <c r="U153" s="4"/>
      <c r="V153" s="4"/>
      <c r="W153" s="4"/>
      <c r="X153" s="67"/>
      <c r="Y153" s="4"/>
      <c r="Z153" s="4"/>
      <c r="AA153" s="4"/>
      <c r="AB153" s="386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  <c r="M154" s="4"/>
      <c r="N154" s="3"/>
      <c r="O154" s="3"/>
      <c r="P154" s="4"/>
      <c r="Q154" s="4"/>
      <c r="R154" s="3"/>
      <c r="S154" s="4"/>
      <c r="T154" s="5"/>
      <c r="U154" s="4"/>
      <c r="V154" s="4"/>
      <c r="W154" s="4"/>
      <c r="X154" s="67"/>
      <c r="Y154" s="4"/>
      <c r="Z154" s="4"/>
      <c r="AA154" s="4"/>
      <c r="AB154" s="386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  <c r="M155" s="4"/>
      <c r="N155" s="3"/>
      <c r="O155" s="3"/>
      <c r="P155" s="4"/>
      <c r="Q155" s="4"/>
      <c r="R155" s="3"/>
      <c r="S155" s="4"/>
      <c r="T155" s="5"/>
      <c r="U155" s="4"/>
      <c r="V155" s="4"/>
      <c r="W155" s="4"/>
      <c r="X155" s="67"/>
      <c r="Y155" s="4"/>
      <c r="Z155" s="4"/>
      <c r="AA155" s="4"/>
      <c r="AB155" s="386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  <c r="M156" s="4"/>
      <c r="N156" s="3"/>
      <c r="O156" s="3"/>
      <c r="P156" s="4"/>
      <c r="Q156" s="4"/>
      <c r="R156" s="3"/>
      <c r="S156" s="4"/>
      <c r="T156" s="5"/>
      <c r="U156" s="4"/>
      <c r="V156" s="4"/>
      <c r="W156" s="4"/>
      <c r="X156" s="67"/>
      <c r="Y156" s="4"/>
      <c r="Z156" s="4"/>
      <c r="AA156" s="4"/>
      <c r="AB156" s="386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4"/>
      <c r="N157" s="3"/>
      <c r="O157" s="3"/>
      <c r="P157" s="4"/>
      <c r="Q157" s="4"/>
      <c r="R157" s="3"/>
      <c r="S157" s="4"/>
      <c r="T157" s="5"/>
      <c r="U157" s="4"/>
      <c r="V157" s="4"/>
      <c r="W157" s="4"/>
      <c r="X157" s="67"/>
      <c r="Y157" s="4"/>
      <c r="Z157" s="4"/>
      <c r="AA157" s="4"/>
      <c r="AB157" s="386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  <c r="M158" s="4"/>
      <c r="N158" s="3"/>
      <c r="O158" s="3"/>
      <c r="P158" s="4"/>
      <c r="Q158" s="4"/>
      <c r="R158" s="3"/>
      <c r="S158" s="4"/>
      <c r="T158" s="5"/>
      <c r="U158" s="4"/>
      <c r="V158" s="4"/>
      <c r="W158" s="4"/>
      <c r="X158" s="67"/>
      <c r="Y158" s="4"/>
      <c r="Z158" s="4"/>
      <c r="AA158" s="4"/>
      <c r="AB158" s="386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  <c r="M159" s="4"/>
      <c r="N159" s="3"/>
      <c r="O159" s="3"/>
      <c r="P159" s="4"/>
      <c r="Q159" s="4"/>
      <c r="R159" s="3"/>
      <c r="S159" s="4"/>
      <c r="T159" s="5"/>
      <c r="U159" s="4"/>
      <c r="V159" s="4"/>
      <c r="W159" s="4"/>
      <c r="X159" s="67"/>
      <c r="Y159" s="4"/>
      <c r="Z159" s="4"/>
      <c r="AA159" s="4"/>
      <c r="AB159" s="386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  <c r="M160" s="4"/>
      <c r="N160" s="3"/>
      <c r="O160" s="3"/>
      <c r="P160" s="4"/>
      <c r="Q160" s="4"/>
      <c r="R160" s="3"/>
      <c r="S160" s="4"/>
      <c r="T160" s="5"/>
      <c r="U160" s="4"/>
      <c r="V160" s="4"/>
      <c r="W160" s="4"/>
      <c r="X160" s="67"/>
      <c r="Y160" s="4"/>
      <c r="Z160" s="4"/>
      <c r="AA160" s="4"/>
      <c r="AB160" s="386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4"/>
      <c r="N161" s="3"/>
      <c r="O161" s="3"/>
      <c r="P161" s="4"/>
      <c r="Q161" s="4"/>
      <c r="R161" s="3"/>
      <c r="S161" s="4"/>
      <c r="T161" s="5"/>
      <c r="U161" s="4"/>
      <c r="V161" s="4"/>
      <c r="W161" s="4"/>
      <c r="X161" s="67"/>
      <c r="Y161" s="4"/>
      <c r="Z161" s="4"/>
      <c r="AA161" s="4"/>
      <c r="AB161" s="386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  <c r="M162" s="4"/>
      <c r="N162" s="3"/>
      <c r="O162" s="3"/>
      <c r="P162" s="4"/>
      <c r="Q162" s="4"/>
      <c r="R162" s="3"/>
      <c r="S162" s="4"/>
      <c r="T162" s="5"/>
      <c r="U162" s="4"/>
      <c r="V162" s="4"/>
      <c r="W162" s="4"/>
      <c r="X162" s="67"/>
      <c r="Y162" s="4"/>
      <c r="Z162" s="4"/>
      <c r="AA162" s="4"/>
      <c r="AB162" s="386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4"/>
      <c r="N163" s="3"/>
      <c r="O163" s="3"/>
      <c r="P163" s="4"/>
      <c r="Q163" s="4"/>
      <c r="R163" s="3"/>
      <c r="S163" s="4"/>
      <c r="T163" s="5"/>
      <c r="U163" s="4"/>
      <c r="V163" s="4"/>
      <c r="W163" s="4"/>
      <c r="X163" s="67"/>
      <c r="Y163" s="4"/>
      <c r="Z163" s="4"/>
      <c r="AA163" s="4"/>
      <c r="AB163" s="386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3"/>
      <c r="M164" s="4"/>
      <c r="N164" s="3"/>
      <c r="O164" s="3"/>
      <c r="P164" s="4"/>
      <c r="Q164" s="4"/>
      <c r="R164" s="3"/>
      <c r="S164" s="4"/>
      <c r="T164" s="5"/>
      <c r="U164" s="4"/>
      <c r="V164" s="4"/>
      <c r="W164" s="4"/>
      <c r="X164" s="67"/>
      <c r="Y164" s="4"/>
      <c r="Z164" s="4"/>
      <c r="AA164" s="4"/>
      <c r="AB164" s="386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3"/>
      <c r="M165" s="4"/>
      <c r="N165" s="3"/>
      <c r="O165" s="3"/>
      <c r="P165" s="4"/>
      <c r="Q165" s="4"/>
      <c r="R165" s="3"/>
      <c r="S165" s="4"/>
      <c r="T165" s="5"/>
      <c r="U165" s="4"/>
      <c r="V165" s="4"/>
      <c r="W165" s="4"/>
      <c r="X165" s="67"/>
      <c r="Y165" s="4"/>
      <c r="Z165" s="4"/>
      <c r="AA165" s="4"/>
      <c r="AB165" s="386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3"/>
      <c r="M166" s="4"/>
      <c r="N166" s="3"/>
      <c r="O166" s="3"/>
      <c r="P166" s="4"/>
      <c r="Q166" s="4"/>
      <c r="R166" s="3"/>
      <c r="S166" s="4"/>
      <c r="T166" s="5"/>
      <c r="U166" s="4"/>
      <c r="V166" s="4"/>
      <c r="W166" s="4"/>
      <c r="X166" s="67"/>
      <c r="Y166" s="4"/>
      <c r="Z166" s="4"/>
      <c r="AA166" s="4"/>
      <c r="AB166" s="386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3"/>
      <c r="M167" s="4"/>
      <c r="N167" s="3"/>
      <c r="O167" s="3"/>
      <c r="P167" s="4"/>
      <c r="Q167" s="4"/>
      <c r="R167" s="3"/>
      <c r="S167" s="4"/>
      <c r="T167" s="5"/>
      <c r="U167" s="4"/>
      <c r="V167" s="4"/>
      <c r="W167" s="4"/>
      <c r="X167" s="67"/>
      <c r="Y167" s="4"/>
      <c r="Z167" s="4"/>
      <c r="AA167" s="4"/>
      <c r="AB167" s="386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3"/>
      <c r="M168" s="4"/>
      <c r="N168" s="3"/>
      <c r="O168" s="3"/>
      <c r="P168" s="4"/>
      <c r="Q168" s="4"/>
      <c r="R168" s="3"/>
      <c r="S168" s="4"/>
      <c r="T168" s="5"/>
      <c r="U168" s="4"/>
      <c r="V168" s="4"/>
      <c r="W168" s="4"/>
      <c r="X168" s="67"/>
      <c r="Y168" s="4"/>
      <c r="Z168" s="4"/>
      <c r="AA168" s="4"/>
      <c r="AB168" s="386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3"/>
      <c r="M169" s="4"/>
      <c r="N169" s="3"/>
      <c r="O169" s="3"/>
      <c r="P169" s="4"/>
      <c r="Q169" s="4"/>
      <c r="R169" s="3"/>
      <c r="S169" s="4"/>
      <c r="T169" s="5"/>
      <c r="U169" s="4"/>
      <c r="V169" s="4"/>
      <c r="W169" s="4"/>
      <c r="X169" s="67"/>
      <c r="Y169" s="4"/>
      <c r="Z169" s="4"/>
      <c r="AA169" s="4"/>
      <c r="AB169" s="386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3"/>
      <c r="M170" s="4"/>
      <c r="N170" s="3"/>
      <c r="O170" s="3"/>
      <c r="P170" s="4"/>
      <c r="Q170" s="4"/>
      <c r="R170" s="3"/>
      <c r="S170" s="4"/>
      <c r="T170" s="5"/>
      <c r="U170" s="4"/>
      <c r="V170" s="4"/>
      <c r="W170" s="4"/>
      <c r="X170" s="67"/>
      <c r="Y170" s="4"/>
      <c r="Z170" s="4"/>
      <c r="AA170" s="4"/>
      <c r="AB170" s="386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3"/>
      <c r="M171" s="4"/>
      <c r="N171" s="3"/>
      <c r="O171" s="3"/>
      <c r="P171" s="4"/>
      <c r="Q171" s="4"/>
      <c r="R171" s="3"/>
      <c r="S171" s="4"/>
      <c r="T171" s="5"/>
      <c r="U171" s="4"/>
      <c r="V171" s="4"/>
      <c r="W171" s="4"/>
      <c r="X171" s="67"/>
      <c r="Y171" s="4"/>
      <c r="Z171" s="4"/>
      <c r="AA171" s="4"/>
      <c r="AB171" s="386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3"/>
      <c r="M172" s="4"/>
      <c r="N172" s="3"/>
      <c r="O172" s="3"/>
      <c r="P172" s="4"/>
      <c r="Q172" s="4"/>
      <c r="R172" s="3"/>
      <c r="S172" s="4"/>
      <c r="T172" s="5"/>
      <c r="U172" s="4"/>
      <c r="V172" s="4"/>
      <c r="W172" s="4"/>
      <c r="X172" s="67"/>
      <c r="Y172" s="4"/>
      <c r="Z172" s="4"/>
      <c r="AA172" s="4"/>
      <c r="AB172" s="386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3"/>
      <c r="M173" s="4"/>
      <c r="N173" s="3"/>
      <c r="O173" s="3"/>
      <c r="P173" s="4"/>
      <c r="Q173" s="4"/>
      <c r="R173" s="3"/>
      <c r="S173" s="4"/>
      <c r="T173" s="5"/>
      <c r="U173" s="4"/>
      <c r="V173" s="4"/>
      <c r="W173" s="4"/>
      <c r="X173" s="67"/>
      <c r="Y173" s="4"/>
      <c r="Z173" s="4"/>
      <c r="AA173" s="4"/>
      <c r="AB173" s="386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3"/>
      <c r="M174" s="4"/>
      <c r="N174" s="3"/>
      <c r="O174" s="3"/>
      <c r="P174" s="4"/>
      <c r="Q174" s="4"/>
      <c r="R174" s="3"/>
      <c r="S174" s="4"/>
      <c r="T174" s="5"/>
      <c r="U174" s="4"/>
      <c r="V174" s="4"/>
      <c r="W174" s="4"/>
      <c r="X174" s="67"/>
      <c r="Y174" s="4"/>
      <c r="Z174" s="4"/>
      <c r="AA174" s="4"/>
      <c r="AB174" s="386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3"/>
      <c r="M175" s="4"/>
      <c r="N175" s="3"/>
      <c r="O175" s="3"/>
      <c r="P175" s="4"/>
      <c r="Q175" s="4"/>
      <c r="R175" s="3"/>
      <c r="S175" s="4"/>
      <c r="T175" s="5"/>
      <c r="U175" s="4"/>
      <c r="V175" s="4"/>
      <c r="W175" s="4"/>
      <c r="X175" s="67"/>
      <c r="Y175" s="4"/>
      <c r="Z175" s="4"/>
      <c r="AA175" s="4"/>
      <c r="AB175" s="386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4"/>
      <c r="N176" s="3"/>
      <c r="O176" s="3"/>
      <c r="P176" s="4"/>
      <c r="Q176" s="4"/>
      <c r="R176" s="3"/>
      <c r="S176" s="4"/>
      <c r="T176" s="5"/>
      <c r="U176" s="4"/>
      <c r="V176" s="4"/>
      <c r="W176" s="4"/>
      <c r="X176" s="67"/>
      <c r="Y176" s="4"/>
      <c r="Z176" s="4"/>
      <c r="AA176" s="4"/>
      <c r="AB176" s="386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3"/>
      <c r="O177" s="3"/>
      <c r="P177" s="4"/>
      <c r="Q177" s="4"/>
      <c r="R177" s="3"/>
      <c r="S177" s="4"/>
      <c r="T177" s="5"/>
      <c r="U177" s="4"/>
      <c r="V177" s="4"/>
      <c r="W177" s="4"/>
      <c r="X177" s="67"/>
      <c r="Y177" s="4"/>
      <c r="Z177" s="4"/>
      <c r="AA177" s="4"/>
      <c r="AB177" s="386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3"/>
      <c r="O178" s="3"/>
      <c r="P178" s="4"/>
      <c r="Q178" s="4"/>
      <c r="R178" s="3"/>
      <c r="S178" s="4"/>
      <c r="T178" s="5"/>
      <c r="U178" s="4"/>
      <c r="V178" s="4"/>
      <c r="W178" s="4"/>
      <c r="X178" s="67"/>
      <c r="Y178" s="4"/>
      <c r="Z178" s="4"/>
      <c r="AA178" s="4"/>
      <c r="AB178" s="386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3"/>
      <c r="M179" s="4"/>
      <c r="N179" s="3"/>
      <c r="O179" s="3"/>
      <c r="P179" s="4"/>
      <c r="Q179" s="4"/>
      <c r="R179" s="3"/>
      <c r="S179" s="4"/>
      <c r="T179" s="5"/>
      <c r="U179" s="4"/>
      <c r="V179" s="4"/>
      <c r="W179" s="4"/>
      <c r="X179" s="67"/>
      <c r="Y179" s="4"/>
      <c r="Z179" s="4"/>
      <c r="AA179" s="4"/>
      <c r="AB179" s="386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3"/>
      <c r="M180" s="4"/>
      <c r="N180" s="3"/>
      <c r="O180" s="3"/>
      <c r="P180" s="4"/>
      <c r="Q180" s="4"/>
      <c r="R180" s="3"/>
      <c r="S180" s="4"/>
      <c r="T180" s="5"/>
      <c r="U180" s="4"/>
      <c r="V180" s="4"/>
      <c r="W180" s="4"/>
      <c r="X180" s="67"/>
      <c r="Y180" s="4"/>
      <c r="Z180" s="4"/>
      <c r="AA180" s="4"/>
      <c r="AB180" s="386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3"/>
      <c r="M181" s="4"/>
      <c r="N181" s="3"/>
      <c r="O181" s="3"/>
      <c r="P181" s="4"/>
      <c r="Q181" s="4"/>
      <c r="R181" s="3"/>
      <c r="S181" s="4"/>
      <c r="T181" s="5"/>
      <c r="U181" s="4"/>
      <c r="V181" s="4"/>
      <c r="W181" s="4"/>
      <c r="X181" s="67"/>
      <c r="Y181" s="4"/>
      <c r="Z181" s="4"/>
      <c r="AA181" s="4"/>
      <c r="AB181" s="386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3"/>
      <c r="M182" s="4"/>
      <c r="N182" s="3"/>
      <c r="O182" s="3"/>
      <c r="P182" s="4"/>
      <c r="Q182" s="4"/>
      <c r="R182" s="3"/>
      <c r="S182" s="4"/>
      <c r="T182" s="5"/>
      <c r="U182" s="4"/>
      <c r="V182" s="4"/>
      <c r="W182" s="4"/>
      <c r="X182" s="67"/>
      <c r="Y182" s="4"/>
      <c r="Z182" s="4"/>
      <c r="AA182" s="4"/>
      <c r="AB182" s="386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3"/>
      <c r="M183" s="4"/>
      <c r="N183" s="3"/>
      <c r="O183" s="3"/>
      <c r="P183" s="4"/>
      <c r="Q183" s="4"/>
      <c r="R183" s="3"/>
      <c r="S183" s="4"/>
      <c r="T183" s="5"/>
      <c r="U183" s="4"/>
      <c r="V183" s="4"/>
      <c r="W183" s="4"/>
      <c r="X183" s="67"/>
      <c r="Y183" s="4"/>
      <c r="Z183" s="4"/>
      <c r="AA183" s="4"/>
      <c r="AB183" s="386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3"/>
      <c r="M184" s="4"/>
      <c r="N184" s="3"/>
      <c r="O184" s="3"/>
      <c r="P184" s="4"/>
      <c r="Q184" s="4"/>
      <c r="R184" s="3"/>
      <c r="S184" s="4"/>
      <c r="T184" s="5"/>
      <c r="U184" s="4"/>
      <c r="V184" s="4"/>
      <c r="W184" s="4"/>
      <c r="X184" s="67"/>
      <c r="Y184" s="4"/>
      <c r="Z184" s="4"/>
      <c r="AA184" s="4"/>
      <c r="AB184" s="386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3"/>
      <c r="M185" s="4"/>
      <c r="N185" s="3"/>
      <c r="O185" s="3"/>
      <c r="P185" s="4"/>
      <c r="Q185" s="4"/>
      <c r="R185" s="3"/>
      <c r="S185" s="4"/>
      <c r="T185" s="5"/>
      <c r="U185" s="4"/>
      <c r="V185" s="4"/>
      <c r="W185" s="4"/>
      <c r="X185" s="67"/>
      <c r="Y185" s="4"/>
      <c r="Z185" s="4"/>
      <c r="AA185" s="4"/>
      <c r="AB185" s="386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3"/>
      <c r="M186" s="4"/>
      <c r="N186" s="3"/>
      <c r="O186" s="3"/>
      <c r="P186" s="4"/>
      <c r="Q186" s="4"/>
      <c r="R186" s="3"/>
      <c r="S186" s="4"/>
      <c r="T186" s="5"/>
      <c r="U186" s="4"/>
      <c r="V186" s="4"/>
      <c r="W186" s="4"/>
      <c r="X186" s="67"/>
      <c r="Y186" s="4"/>
      <c r="Z186" s="4"/>
      <c r="AA186" s="4"/>
      <c r="AB186" s="386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3"/>
      <c r="M187" s="4"/>
      <c r="N187" s="3"/>
      <c r="O187" s="3"/>
      <c r="P187" s="4"/>
      <c r="Q187" s="4"/>
      <c r="R187" s="3"/>
      <c r="S187" s="4"/>
      <c r="T187" s="5"/>
      <c r="U187" s="4"/>
      <c r="V187" s="4"/>
      <c r="W187" s="4"/>
      <c r="X187" s="67"/>
      <c r="Y187" s="4"/>
      <c r="Z187" s="4"/>
      <c r="AA187" s="4"/>
      <c r="AB187" s="386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3"/>
      <c r="M188" s="4"/>
      <c r="N188" s="3"/>
      <c r="O188" s="3"/>
      <c r="P188" s="4"/>
      <c r="Q188" s="4"/>
      <c r="R188" s="3"/>
      <c r="S188" s="4"/>
      <c r="T188" s="5"/>
      <c r="U188" s="4"/>
      <c r="V188" s="4"/>
      <c r="W188" s="4"/>
      <c r="X188" s="67"/>
      <c r="Y188" s="4"/>
      <c r="Z188" s="4"/>
      <c r="AA188" s="4"/>
      <c r="AB188" s="386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3"/>
      <c r="M189" s="4"/>
      <c r="N189" s="3"/>
      <c r="O189" s="3"/>
      <c r="P189" s="4"/>
      <c r="Q189" s="4"/>
      <c r="R189" s="3"/>
      <c r="S189" s="4"/>
      <c r="T189" s="5"/>
      <c r="U189" s="4"/>
      <c r="V189" s="4"/>
      <c r="W189" s="4"/>
      <c r="X189" s="67"/>
      <c r="Y189" s="4"/>
      <c r="Z189" s="4"/>
      <c r="AA189" s="4"/>
      <c r="AB189" s="386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3"/>
      <c r="M190" s="4"/>
      <c r="N190" s="3"/>
      <c r="O190" s="3"/>
      <c r="P190" s="4"/>
      <c r="Q190" s="4"/>
      <c r="R190" s="3"/>
      <c r="S190" s="4"/>
      <c r="T190" s="5"/>
      <c r="U190" s="4"/>
      <c r="V190" s="4"/>
      <c r="W190" s="4"/>
      <c r="X190" s="67"/>
      <c r="Y190" s="4"/>
      <c r="Z190" s="4"/>
      <c r="AA190" s="4"/>
      <c r="AB190" s="386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3"/>
      <c r="M191" s="4"/>
      <c r="N191" s="3"/>
      <c r="O191" s="3"/>
      <c r="P191" s="4"/>
      <c r="Q191" s="4"/>
      <c r="R191" s="3"/>
      <c r="S191" s="4"/>
      <c r="T191" s="5"/>
      <c r="U191" s="4"/>
      <c r="V191" s="4"/>
      <c r="W191" s="4"/>
      <c r="X191" s="67"/>
      <c r="Y191" s="4"/>
      <c r="Z191" s="4"/>
      <c r="AA191" s="4"/>
      <c r="AB191" s="386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3"/>
      <c r="M192" s="4"/>
      <c r="N192" s="3"/>
      <c r="O192" s="3"/>
      <c r="P192" s="4"/>
      <c r="Q192" s="4"/>
      <c r="R192" s="3"/>
      <c r="S192" s="4"/>
      <c r="T192" s="5"/>
      <c r="U192" s="4"/>
      <c r="V192" s="4"/>
      <c r="W192" s="4"/>
      <c r="X192" s="67"/>
      <c r="Y192" s="4"/>
      <c r="Z192" s="4"/>
      <c r="AA192" s="4"/>
      <c r="AB192" s="386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3"/>
      <c r="M193" s="4"/>
      <c r="N193" s="3"/>
      <c r="O193" s="3"/>
      <c r="P193" s="4"/>
      <c r="Q193" s="4"/>
      <c r="R193" s="3"/>
      <c r="S193" s="4"/>
      <c r="T193" s="5"/>
      <c r="U193" s="4"/>
      <c r="V193" s="4"/>
      <c r="W193" s="4"/>
      <c r="X193" s="67"/>
      <c r="Y193" s="4"/>
      <c r="Z193" s="4"/>
      <c r="AA193" s="4"/>
      <c r="AB193" s="386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3"/>
      <c r="M194" s="4"/>
      <c r="N194" s="3"/>
      <c r="O194" s="3"/>
      <c r="P194" s="4"/>
      <c r="Q194" s="4"/>
      <c r="R194" s="3"/>
      <c r="S194" s="4"/>
      <c r="T194" s="5"/>
      <c r="U194" s="4"/>
      <c r="V194" s="4"/>
      <c r="W194" s="4"/>
      <c r="X194" s="67"/>
      <c r="Y194" s="4"/>
      <c r="Z194" s="4"/>
      <c r="AA194" s="4"/>
      <c r="AB194" s="386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3"/>
      <c r="M195" s="4"/>
      <c r="N195" s="3"/>
      <c r="O195" s="3"/>
      <c r="P195" s="4"/>
      <c r="Q195" s="4"/>
      <c r="R195" s="3"/>
      <c r="S195" s="4"/>
      <c r="T195" s="5"/>
      <c r="U195" s="4"/>
      <c r="V195" s="4"/>
      <c r="W195" s="4"/>
      <c r="X195" s="67"/>
      <c r="Y195" s="4"/>
      <c r="Z195" s="4"/>
      <c r="AA195" s="4"/>
      <c r="AB195" s="386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3"/>
      <c r="M196" s="4"/>
      <c r="N196" s="3"/>
      <c r="O196" s="3"/>
      <c r="P196" s="4"/>
      <c r="Q196" s="4"/>
      <c r="R196" s="3"/>
      <c r="S196" s="4"/>
      <c r="T196" s="5"/>
      <c r="U196" s="4"/>
      <c r="V196" s="4"/>
      <c r="W196" s="4"/>
      <c r="X196" s="67"/>
      <c r="Y196" s="4"/>
      <c r="Z196" s="4"/>
      <c r="AA196" s="4"/>
      <c r="AB196" s="386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3"/>
      <c r="M197" s="4"/>
      <c r="N197" s="3"/>
      <c r="O197" s="3"/>
      <c r="P197" s="4"/>
      <c r="Q197" s="4"/>
      <c r="R197" s="3"/>
      <c r="S197" s="4"/>
      <c r="T197" s="5"/>
      <c r="U197" s="4"/>
      <c r="V197" s="4"/>
      <c r="W197" s="4"/>
      <c r="X197" s="67"/>
      <c r="Y197" s="4"/>
      <c r="Z197" s="4"/>
      <c r="AA197" s="4"/>
      <c r="AB197" s="386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3"/>
      <c r="M198" s="4"/>
      <c r="N198" s="3"/>
      <c r="O198" s="3"/>
      <c r="P198" s="4"/>
      <c r="Q198" s="4"/>
      <c r="R198" s="3"/>
      <c r="S198" s="4"/>
      <c r="T198" s="5"/>
      <c r="U198" s="4"/>
      <c r="V198" s="4"/>
      <c r="W198" s="4"/>
      <c r="X198" s="67"/>
      <c r="Y198" s="4"/>
      <c r="Z198" s="4"/>
      <c r="AA198" s="4"/>
      <c r="AB198" s="386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3"/>
      <c r="M199" s="4"/>
      <c r="N199" s="3"/>
      <c r="O199" s="3"/>
      <c r="P199" s="4"/>
      <c r="Q199" s="4"/>
      <c r="R199" s="3"/>
      <c r="S199" s="4"/>
      <c r="T199" s="5"/>
      <c r="U199" s="4"/>
      <c r="V199" s="4"/>
      <c r="W199" s="4"/>
      <c r="X199" s="67"/>
      <c r="Y199" s="4"/>
      <c r="Z199" s="4"/>
      <c r="AA199" s="4"/>
      <c r="AB199" s="386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3"/>
      <c r="M200" s="4"/>
      <c r="N200" s="3"/>
      <c r="O200" s="3"/>
      <c r="P200" s="4"/>
      <c r="Q200" s="4"/>
      <c r="R200" s="3"/>
      <c r="S200" s="4"/>
      <c r="T200" s="5"/>
      <c r="U200" s="4"/>
      <c r="V200" s="4"/>
      <c r="W200" s="4"/>
      <c r="X200" s="67"/>
      <c r="Y200" s="4"/>
      <c r="Z200" s="4"/>
      <c r="AA200" s="4"/>
      <c r="AB200" s="386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3"/>
      <c r="M201" s="4"/>
      <c r="N201" s="3"/>
      <c r="O201" s="3"/>
      <c r="P201" s="4"/>
      <c r="Q201" s="4"/>
      <c r="R201" s="3"/>
      <c r="S201" s="4"/>
      <c r="T201" s="5"/>
      <c r="U201" s="4"/>
      <c r="V201" s="4"/>
      <c r="W201" s="4"/>
      <c r="X201" s="67"/>
      <c r="Y201" s="4"/>
      <c r="Z201" s="4"/>
      <c r="AA201" s="4"/>
      <c r="AB201" s="386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4"/>
      <c r="N202" s="3"/>
      <c r="O202" s="3"/>
      <c r="P202" s="4"/>
      <c r="Q202" s="4"/>
      <c r="R202" s="3"/>
      <c r="S202" s="4"/>
      <c r="T202" s="5"/>
      <c r="U202" s="4"/>
      <c r="V202" s="4"/>
      <c r="W202" s="4"/>
      <c r="X202" s="67"/>
      <c r="Y202" s="4"/>
      <c r="Z202" s="4"/>
      <c r="AA202" s="4"/>
      <c r="AB202" s="386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4"/>
      <c r="N203" s="3"/>
      <c r="O203" s="3"/>
      <c r="P203" s="4"/>
      <c r="Q203" s="4"/>
      <c r="R203" s="3"/>
      <c r="S203" s="4"/>
      <c r="T203" s="5"/>
      <c r="U203" s="4"/>
      <c r="V203" s="4"/>
      <c r="W203" s="4"/>
      <c r="X203" s="67"/>
      <c r="Y203" s="4"/>
      <c r="Z203" s="4"/>
      <c r="AA203" s="4"/>
      <c r="AB203" s="386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4"/>
      <c r="N204" s="3"/>
      <c r="O204" s="3"/>
      <c r="P204" s="4"/>
      <c r="Q204" s="4"/>
      <c r="R204" s="3"/>
      <c r="S204" s="4"/>
      <c r="T204" s="5"/>
      <c r="U204" s="4"/>
      <c r="V204" s="4"/>
      <c r="W204" s="4"/>
      <c r="X204" s="67"/>
      <c r="Y204" s="4"/>
      <c r="Z204" s="4"/>
      <c r="AA204" s="4"/>
      <c r="AB204" s="386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4"/>
      <c r="N205" s="3"/>
      <c r="O205" s="3"/>
      <c r="P205" s="4"/>
      <c r="Q205" s="4"/>
      <c r="R205" s="3"/>
      <c r="S205" s="4"/>
      <c r="T205" s="5"/>
      <c r="U205" s="4"/>
      <c r="V205" s="4"/>
      <c r="W205" s="4"/>
      <c r="X205" s="67"/>
      <c r="Y205" s="4"/>
      <c r="Z205" s="4"/>
      <c r="AA205" s="4"/>
      <c r="AB205" s="386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4"/>
      <c r="N206" s="3"/>
      <c r="O206" s="3"/>
      <c r="P206" s="4"/>
      <c r="Q206" s="4"/>
      <c r="R206" s="3"/>
      <c r="S206" s="4"/>
      <c r="T206" s="5"/>
      <c r="U206" s="4"/>
      <c r="V206" s="4"/>
      <c r="W206" s="4"/>
      <c r="X206" s="67"/>
      <c r="Y206" s="4"/>
      <c r="Z206" s="4"/>
      <c r="AA206" s="4"/>
      <c r="AB206" s="386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  <c r="M207" s="4"/>
      <c r="N207" s="3"/>
      <c r="O207" s="3"/>
      <c r="P207" s="4"/>
      <c r="Q207" s="4"/>
      <c r="R207" s="3"/>
      <c r="S207" s="4"/>
      <c r="T207" s="5"/>
      <c r="U207" s="4"/>
      <c r="V207" s="4"/>
      <c r="W207" s="4"/>
      <c r="X207" s="67"/>
      <c r="Y207" s="4"/>
      <c r="Z207" s="4"/>
      <c r="AA207" s="4"/>
      <c r="AB207" s="386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  <c r="M208" s="4"/>
      <c r="N208" s="3"/>
      <c r="O208" s="3"/>
      <c r="P208" s="4"/>
      <c r="Q208" s="4"/>
      <c r="R208" s="3"/>
      <c r="S208" s="4"/>
      <c r="T208" s="5"/>
      <c r="U208" s="4"/>
      <c r="V208" s="4"/>
      <c r="W208" s="4"/>
      <c r="X208" s="67"/>
      <c r="Y208" s="4"/>
      <c r="Z208" s="4"/>
      <c r="AA208" s="4"/>
      <c r="AB208" s="386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  <c r="M209" s="4"/>
      <c r="N209" s="3"/>
      <c r="O209" s="3"/>
      <c r="P209" s="4"/>
      <c r="Q209" s="4"/>
      <c r="R209" s="3"/>
      <c r="S209" s="4"/>
      <c r="T209" s="5"/>
      <c r="U209" s="4"/>
      <c r="V209" s="4"/>
      <c r="W209" s="4"/>
      <c r="X209" s="67"/>
      <c r="Y209" s="4"/>
      <c r="Z209" s="4"/>
      <c r="AA209" s="4"/>
      <c r="AB209" s="386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  <c r="M210" s="4"/>
      <c r="N210" s="3"/>
      <c r="O210" s="3"/>
      <c r="P210" s="4"/>
      <c r="Q210" s="4"/>
      <c r="R210" s="3"/>
      <c r="S210" s="4"/>
      <c r="T210" s="5"/>
      <c r="U210" s="4"/>
      <c r="V210" s="4"/>
      <c r="W210" s="4"/>
      <c r="X210" s="67"/>
      <c r="Y210" s="4"/>
      <c r="Z210" s="4"/>
      <c r="AA210" s="4"/>
      <c r="AB210" s="386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  <c r="M211" s="4"/>
      <c r="N211" s="3"/>
      <c r="O211" s="3"/>
      <c r="P211" s="4"/>
      <c r="Q211" s="4"/>
      <c r="R211" s="3"/>
      <c r="S211" s="4"/>
      <c r="T211" s="5"/>
      <c r="U211" s="4"/>
      <c r="V211" s="4"/>
      <c r="W211" s="4"/>
      <c r="X211" s="67"/>
      <c r="Y211" s="4"/>
      <c r="Z211" s="4"/>
      <c r="AA211" s="4"/>
      <c r="AB211" s="386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  <c r="M212" s="4"/>
      <c r="N212" s="3"/>
      <c r="O212" s="3"/>
      <c r="P212" s="4"/>
      <c r="Q212" s="4"/>
      <c r="R212" s="3"/>
      <c r="S212" s="4"/>
      <c r="T212" s="5"/>
      <c r="U212" s="4"/>
      <c r="V212" s="4"/>
      <c r="W212" s="4"/>
      <c r="X212" s="67"/>
      <c r="Y212" s="4"/>
      <c r="Z212" s="4"/>
      <c r="AA212" s="4"/>
      <c r="AB212" s="386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  <c r="M213" s="4"/>
      <c r="N213" s="3"/>
      <c r="O213" s="3"/>
      <c r="P213" s="4"/>
      <c r="Q213" s="4"/>
      <c r="R213" s="3"/>
      <c r="S213" s="4"/>
      <c r="T213" s="5"/>
      <c r="U213" s="4"/>
      <c r="V213" s="4"/>
      <c r="W213" s="4"/>
      <c r="X213" s="67"/>
      <c r="Y213" s="4"/>
      <c r="Z213" s="4"/>
      <c r="AA213" s="4"/>
      <c r="AB213" s="386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  <c r="M214" s="4"/>
      <c r="N214" s="3"/>
      <c r="O214" s="3"/>
      <c r="P214" s="4"/>
      <c r="Q214" s="4"/>
      <c r="R214" s="3"/>
      <c r="S214" s="4"/>
      <c r="T214" s="5"/>
      <c r="U214" s="4"/>
      <c r="V214" s="4"/>
      <c r="W214" s="4"/>
      <c r="X214" s="67"/>
      <c r="Y214" s="4"/>
      <c r="Z214" s="4"/>
      <c r="AA214" s="4"/>
      <c r="AB214" s="386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  <c r="M215" s="4"/>
      <c r="N215" s="3"/>
      <c r="O215" s="3"/>
      <c r="P215" s="4"/>
      <c r="Q215" s="4"/>
      <c r="R215" s="3"/>
      <c r="S215" s="4"/>
      <c r="T215" s="5"/>
      <c r="U215" s="4"/>
      <c r="V215" s="4"/>
      <c r="W215" s="4"/>
      <c r="X215" s="67"/>
      <c r="Y215" s="4"/>
      <c r="Z215" s="4"/>
      <c r="AA215" s="4"/>
      <c r="AB215" s="386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  <c r="M216" s="4"/>
      <c r="N216" s="3"/>
      <c r="O216" s="3"/>
      <c r="P216" s="4"/>
      <c r="Q216" s="4"/>
      <c r="R216" s="3"/>
      <c r="S216" s="4"/>
      <c r="T216" s="5"/>
      <c r="U216" s="4"/>
      <c r="V216" s="4"/>
      <c r="W216" s="4"/>
      <c r="X216" s="67"/>
      <c r="Y216" s="4"/>
      <c r="Z216" s="4"/>
      <c r="AA216" s="4"/>
      <c r="AB216" s="386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  <c r="M217" s="4"/>
      <c r="N217" s="3"/>
      <c r="O217" s="3"/>
      <c r="P217" s="4"/>
      <c r="Q217" s="4"/>
      <c r="R217" s="3"/>
      <c r="S217" s="4"/>
      <c r="T217" s="5"/>
      <c r="U217" s="4"/>
      <c r="V217" s="4"/>
      <c r="W217" s="4"/>
      <c r="X217" s="67"/>
      <c r="Y217" s="4"/>
      <c r="Z217" s="4"/>
      <c r="AA217" s="4"/>
      <c r="AB217" s="386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  <c r="M218" s="4"/>
      <c r="N218" s="3"/>
      <c r="O218" s="3"/>
      <c r="P218" s="4"/>
      <c r="Q218" s="4"/>
      <c r="R218" s="3"/>
      <c r="S218" s="4"/>
      <c r="T218" s="5"/>
      <c r="U218" s="4"/>
      <c r="V218" s="4"/>
      <c r="W218" s="4"/>
      <c r="X218" s="67"/>
      <c r="Y218" s="4"/>
      <c r="Z218" s="4"/>
      <c r="AA218" s="4"/>
      <c r="AB218" s="386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  <c r="M219" s="4"/>
      <c r="N219" s="3"/>
      <c r="O219" s="3"/>
      <c r="P219" s="4"/>
      <c r="Q219" s="4"/>
      <c r="R219" s="3"/>
      <c r="S219" s="4"/>
      <c r="T219" s="5"/>
      <c r="U219" s="4"/>
      <c r="V219" s="4"/>
      <c r="W219" s="4"/>
      <c r="X219" s="67"/>
      <c r="Y219" s="4"/>
      <c r="Z219" s="4"/>
      <c r="AA219" s="4"/>
      <c r="AB219" s="386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  <c r="M220" s="4"/>
      <c r="N220" s="3"/>
      <c r="O220" s="3"/>
      <c r="P220" s="4"/>
      <c r="Q220" s="4"/>
      <c r="R220" s="3"/>
      <c r="S220" s="4"/>
      <c r="T220" s="5"/>
      <c r="U220" s="4"/>
      <c r="V220" s="4"/>
      <c r="W220" s="4"/>
      <c r="X220" s="67"/>
      <c r="Y220" s="4"/>
      <c r="Z220" s="4"/>
      <c r="AA220" s="4"/>
      <c r="AB220" s="386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  <c r="M221" s="4"/>
      <c r="N221" s="3"/>
      <c r="O221" s="3"/>
      <c r="P221" s="4"/>
      <c r="Q221" s="4"/>
      <c r="R221" s="3"/>
      <c r="S221" s="4"/>
      <c r="T221" s="5"/>
      <c r="U221" s="4"/>
      <c r="V221" s="4"/>
      <c r="W221" s="4"/>
      <c r="X221" s="67"/>
      <c r="Y221" s="4"/>
      <c r="Z221" s="4"/>
      <c r="AA221" s="4"/>
      <c r="AB221" s="386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  <c r="M222" s="4"/>
      <c r="N222" s="3"/>
      <c r="O222" s="3"/>
      <c r="P222" s="4"/>
      <c r="Q222" s="4"/>
      <c r="R222" s="3"/>
      <c r="S222" s="4"/>
      <c r="T222" s="5"/>
      <c r="U222" s="4"/>
      <c r="V222" s="4"/>
      <c r="W222" s="4"/>
      <c r="X222" s="67"/>
      <c r="Y222" s="4"/>
      <c r="Z222" s="4"/>
      <c r="AA222" s="4"/>
      <c r="AB222" s="386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  <c r="M223" s="4"/>
      <c r="N223" s="3"/>
      <c r="O223" s="3"/>
      <c r="P223" s="4"/>
      <c r="Q223" s="4"/>
      <c r="R223" s="3"/>
      <c r="S223" s="4"/>
      <c r="T223" s="5"/>
      <c r="U223" s="4"/>
      <c r="V223" s="4"/>
      <c r="W223" s="4"/>
      <c r="X223" s="67"/>
      <c r="Y223" s="4"/>
      <c r="Z223" s="4"/>
      <c r="AA223" s="4"/>
      <c r="AB223" s="386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  <c r="M224" s="4"/>
      <c r="N224" s="3"/>
      <c r="O224" s="3"/>
      <c r="P224" s="4"/>
      <c r="Q224" s="4"/>
      <c r="R224" s="3"/>
      <c r="S224" s="4"/>
      <c r="T224" s="5"/>
      <c r="U224" s="4"/>
      <c r="V224" s="4"/>
      <c r="W224" s="4"/>
      <c r="X224" s="67"/>
      <c r="Y224" s="4"/>
      <c r="Z224" s="4"/>
      <c r="AA224" s="4"/>
      <c r="AB224" s="386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  <c r="M225" s="4"/>
      <c r="N225" s="3"/>
      <c r="O225" s="3"/>
      <c r="P225" s="4"/>
      <c r="Q225" s="4"/>
      <c r="R225" s="3"/>
      <c r="S225" s="4"/>
      <c r="T225" s="5"/>
      <c r="U225" s="4"/>
      <c r="V225" s="4"/>
      <c r="W225" s="4"/>
      <c r="X225" s="67"/>
      <c r="Y225" s="4"/>
      <c r="Z225" s="4"/>
      <c r="AA225" s="4"/>
      <c r="AB225" s="386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  <c r="M226" s="4"/>
      <c r="N226" s="3"/>
      <c r="O226" s="3"/>
      <c r="P226" s="4"/>
      <c r="Q226" s="4"/>
      <c r="R226" s="3"/>
      <c r="S226" s="4"/>
      <c r="T226" s="5"/>
      <c r="U226" s="4"/>
      <c r="V226" s="4"/>
      <c r="W226" s="4"/>
      <c r="X226" s="67"/>
      <c r="Y226" s="4"/>
      <c r="Z226" s="4"/>
      <c r="AA226" s="4"/>
      <c r="AB226" s="386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  <c r="M227" s="4"/>
      <c r="N227" s="3"/>
      <c r="O227" s="3"/>
      <c r="P227" s="4"/>
      <c r="Q227" s="4"/>
      <c r="R227" s="3"/>
      <c r="S227" s="4"/>
      <c r="T227" s="5"/>
      <c r="U227" s="4"/>
      <c r="V227" s="4"/>
      <c r="W227" s="4"/>
      <c r="X227" s="67"/>
      <c r="Y227" s="4"/>
      <c r="Z227" s="4"/>
      <c r="AA227" s="4"/>
      <c r="AB227" s="386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  <c r="M228" s="4"/>
      <c r="N228" s="3"/>
      <c r="O228" s="3"/>
      <c r="P228" s="4"/>
      <c r="Q228" s="4"/>
      <c r="R228" s="3"/>
      <c r="S228" s="4"/>
      <c r="T228" s="5"/>
      <c r="U228" s="4"/>
      <c r="V228" s="4"/>
      <c r="W228" s="4"/>
      <c r="X228" s="67"/>
      <c r="Y228" s="4"/>
      <c r="Z228" s="4"/>
      <c r="AA228" s="4"/>
      <c r="AB228" s="386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  <c r="M229" s="4"/>
      <c r="N229" s="3"/>
      <c r="O229" s="3"/>
      <c r="P229" s="4"/>
      <c r="Q229" s="4"/>
      <c r="R229" s="3"/>
      <c r="S229" s="4"/>
      <c r="T229" s="5"/>
      <c r="U229" s="4"/>
      <c r="V229" s="4"/>
      <c r="W229" s="4"/>
      <c r="X229" s="67"/>
      <c r="Y229" s="4"/>
      <c r="Z229" s="4"/>
      <c r="AA229" s="4"/>
      <c r="AB229" s="386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  <c r="M230" s="4"/>
      <c r="N230" s="3"/>
      <c r="O230" s="3"/>
      <c r="P230" s="4"/>
      <c r="Q230" s="4"/>
      <c r="R230" s="3"/>
      <c r="S230" s="4"/>
      <c r="T230" s="5"/>
      <c r="U230" s="4"/>
      <c r="V230" s="4"/>
      <c r="W230" s="4"/>
      <c r="X230" s="67"/>
      <c r="Y230" s="4"/>
      <c r="Z230" s="4"/>
      <c r="AA230" s="4"/>
      <c r="AB230" s="386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3"/>
      <c r="M231" s="4"/>
      <c r="N231" s="3"/>
      <c r="O231" s="3"/>
      <c r="P231" s="4"/>
      <c r="Q231" s="4"/>
      <c r="R231" s="3"/>
      <c r="S231" s="4"/>
      <c r="T231" s="5"/>
      <c r="U231" s="4"/>
      <c r="V231" s="4"/>
      <c r="W231" s="4"/>
      <c r="X231" s="67"/>
      <c r="Y231" s="4"/>
      <c r="Z231" s="4"/>
      <c r="AA231" s="4"/>
      <c r="AB231" s="386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3"/>
      <c r="M232" s="4"/>
      <c r="N232" s="3"/>
      <c r="O232" s="3"/>
      <c r="P232" s="4"/>
      <c r="Q232" s="4"/>
      <c r="R232" s="3"/>
      <c r="S232" s="4"/>
      <c r="T232" s="5"/>
      <c r="U232" s="4"/>
      <c r="V232" s="4"/>
      <c r="W232" s="4"/>
      <c r="X232" s="67"/>
      <c r="Y232" s="4"/>
      <c r="Z232" s="4"/>
      <c r="AA232" s="4"/>
      <c r="AB232" s="386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3"/>
      <c r="M233" s="4"/>
      <c r="N233" s="3"/>
      <c r="O233" s="3"/>
      <c r="P233" s="4"/>
      <c r="Q233" s="4"/>
      <c r="R233" s="3"/>
      <c r="S233" s="4"/>
      <c r="T233" s="5"/>
      <c r="U233" s="4"/>
      <c r="V233" s="4"/>
      <c r="W233" s="4"/>
      <c r="X233" s="67"/>
      <c r="Y233" s="4"/>
      <c r="Z233" s="4"/>
      <c r="AA233" s="4"/>
      <c r="AB233" s="386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3"/>
      <c r="M234" s="4"/>
      <c r="N234" s="3"/>
      <c r="O234" s="3"/>
      <c r="P234" s="4"/>
      <c r="Q234" s="4"/>
      <c r="R234" s="3"/>
      <c r="S234" s="4"/>
      <c r="T234" s="5"/>
      <c r="U234" s="4"/>
      <c r="V234" s="4"/>
      <c r="W234" s="4"/>
      <c r="X234" s="67"/>
      <c r="Y234" s="4"/>
      <c r="Z234" s="4"/>
      <c r="AA234" s="4"/>
      <c r="AB234" s="386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3"/>
      <c r="M235" s="4"/>
      <c r="N235" s="3"/>
      <c r="O235" s="3"/>
      <c r="P235" s="4"/>
      <c r="Q235" s="4"/>
      <c r="R235" s="3"/>
      <c r="S235" s="4"/>
      <c r="T235" s="5"/>
      <c r="U235" s="4"/>
      <c r="V235" s="4"/>
      <c r="W235" s="4"/>
      <c r="X235" s="67"/>
      <c r="Y235" s="4"/>
      <c r="Z235" s="4"/>
      <c r="AA235" s="4"/>
      <c r="AB235" s="386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3"/>
      <c r="M236" s="4"/>
      <c r="N236" s="3"/>
      <c r="O236" s="3"/>
      <c r="P236" s="4"/>
      <c r="Q236" s="4"/>
      <c r="R236" s="3"/>
      <c r="S236" s="4"/>
      <c r="T236" s="5"/>
      <c r="U236" s="4"/>
      <c r="V236" s="4"/>
      <c r="W236" s="4"/>
      <c r="X236" s="67"/>
      <c r="Y236" s="4"/>
      <c r="Z236" s="4"/>
      <c r="AA236" s="4"/>
      <c r="AB236" s="386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3"/>
      <c r="M237" s="4"/>
      <c r="N237" s="3"/>
      <c r="O237" s="3"/>
      <c r="P237" s="4"/>
      <c r="Q237" s="4"/>
      <c r="R237" s="3"/>
      <c r="S237" s="4"/>
      <c r="T237" s="5"/>
      <c r="U237" s="4"/>
      <c r="V237" s="4"/>
      <c r="W237" s="4"/>
      <c r="X237" s="67"/>
      <c r="Y237" s="4"/>
      <c r="Z237" s="4"/>
      <c r="AA237" s="4"/>
      <c r="AB237" s="386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3"/>
      <c r="M238" s="4"/>
      <c r="N238" s="3"/>
      <c r="O238" s="3"/>
      <c r="P238" s="4"/>
      <c r="Q238" s="4"/>
      <c r="R238" s="3"/>
      <c r="S238" s="4"/>
      <c r="T238" s="5"/>
      <c r="U238" s="4"/>
      <c r="V238" s="4"/>
      <c r="W238" s="4"/>
      <c r="X238" s="67"/>
      <c r="Y238" s="4"/>
      <c r="Z238" s="4"/>
      <c r="AA238" s="4"/>
      <c r="AB238" s="386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3"/>
      <c r="M239" s="4"/>
      <c r="N239" s="3"/>
      <c r="O239" s="3"/>
      <c r="P239" s="4"/>
      <c r="Q239" s="4"/>
      <c r="R239" s="3"/>
      <c r="S239" s="4"/>
      <c r="T239" s="5"/>
      <c r="U239" s="4"/>
      <c r="V239" s="4"/>
      <c r="W239" s="4"/>
      <c r="X239" s="67"/>
      <c r="Y239" s="4"/>
      <c r="Z239" s="4"/>
      <c r="AA239" s="4"/>
      <c r="AB239" s="386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3"/>
      <c r="M240" s="4"/>
      <c r="N240" s="3"/>
      <c r="O240" s="3"/>
      <c r="P240" s="4"/>
      <c r="Q240" s="4"/>
      <c r="R240" s="3"/>
      <c r="S240" s="4"/>
      <c r="T240" s="5"/>
      <c r="U240" s="4"/>
      <c r="V240" s="4"/>
      <c r="W240" s="4"/>
      <c r="X240" s="67"/>
      <c r="Y240" s="4"/>
      <c r="Z240" s="4"/>
      <c r="AA240" s="4"/>
      <c r="AB240" s="386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3"/>
      <c r="M241" s="4"/>
      <c r="N241" s="3"/>
      <c r="O241" s="3"/>
      <c r="P241" s="4"/>
      <c r="Q241" s="4"/>
      <c r="R241" s="3"/>
      <c r="S241" s="4"/>
      <c r="T241" s="5"/>
      <c r="U241" s="4"/>
      <c r="V241" s="4"/>
      <c r="W241" s="4"/>
      <c r="X241" s="67"/>
      <c r="Y241" s="4"/>
      <c r="Z241" s="4"/>
      <c r="AA241" s="4"/>
      <c r="AB241" s="386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3"/>
      <c r="M242" s="4"/>
      <c r="N242" s="3"/>
      <c r="O242" s="3"/>
      <c r="P242" s="4"/>
      <c r="Q242" s="4"/>
      <c r="R242" s="3"/>
      <c r="S242" s="4"/>
      <c r="T242" s="5"/>
      <c r="U242" s="4"/>
      <c r="V242" s="4"/>
      <c r="W242" s="4"/>
      <c r="X242" s="67"/>
      <c r="Y242" s="4"/>
      <c r="Z242" s="4"/>
      <c r="AA242" s="4"/>
      <c r="AB242" s="386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3"/>
      <c r="M243" s="4"/>
      <c r="N243" s="3"/>
      <c r="O243" s="3"/>
      <c r="P243" s="4"/>
      <c r="Q243" s="4"/>
      <c r="R243" s="3"/>
      <c r="S243" s="4"/>
      <c r="T243" s="5"/>
      <c r="U243" s="4"/>
      <c r="V243" s="4"/>
      <c r="W243" s="4"/>
      <c r="X243" s="67"/>
      <c r="Y243" s="4"/>
      <c r="Z243" s="4"/>
      <c r="AA243" s="4"/>
      <c r="AB243" s="386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3"/>
      <c r="M244" s="4"/>
      <c r="N244" s="3"/>
      <c r="O244" s="3"/>
      <c r="P244" s="4"/>
      <c r="Q244" s="4"/>
      <c r="R244" s="3"/>
      <c r="S244" s="4"/>
      <c r="T244" s="5"/>
      <c r="U244" s="4"/>
      <c r="V244" s="4"/>
      <c r="W244" s="4"/>
      <c r="X244" s="67"/>
      <c r="Y244" s="4"/>
      <c r="Z244" s="4"/>
      <c r="AA244" s="4"/>
      <c r="AB244" s="386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4"/>
      <c r="N245" s="3"/>
      <c r="O245" s="3"/>
      <c r="P245" s="4"/>
      <c r="Q245" s="4"/>
      <c r="R245" s="3"/>
      <c r="S245" s="4"/>
      <c r="T245" s="5"/>
      <c r="U245" s="4"/>
      <c r="V245" s="4"/>
      <c r="W245" s="4"/>
      <c r="X245" s="67"/>
      <c r="Y245" s="4"/>
      <c r="Z245" s="4"/>
      <c r="AA245" s="4"/>
      <c r="AB245" s="386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4"/>
      <c r="N246" s="3"/>
      <c r="O246" s="3"/>
      <c r="P246" s="4"/>
      <c r="Q246" s="4"/>
      <c r="R246" s="3"/>
      <c r="S246" s="4"/>
      <c r="T246" s="5"/>
      <c r="U246" s="4"/>
      <c r="V246" s="4"/>
      <c r="W246" s="4"/>
      <c r="X246" s="67"/>
      <c r="Y246" s="4"/>
      <c r="Z246" s="4"/>
      <c r="AA246" s="4"/>
      <c r="AB246" s="386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3"/>
      <c r="M247" s="4"/>
      <c r="N247" s="3"/>
      <c r="O247" s="3"/>
      <c r="P247" s="4"/>
      <c r="Q247" s="4"/>
      <c r="R247" s="3"/>
      <c r="S247" s="4"/>
      <c r="T247" s="5"/>
      <c r="U247" s="4"/>
      <c r="V247" s="4"/>
      <c r="W247" s="4"/>
      <c r="X247" s="67"/>
      <c r="Y247" s="4"/>
      <c r="Z247" s="4"/>
      <c r="AA247" s="4"/>
      <c r="AB247" s="386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3"/>
      <c r="M248" s="4"/>
      <c r="N248" s="3"/>
      <c r="O248" s="3"/>
      <c r="P248" s="4"/>
      <c r="Q248" s="4"/>
      <c r="R248" s="3"/>
      <c r="S248" s="4"/>
      <c r="T248" s="5"/>
      <c r="U248" s="4"/>
      <c r="V248" s="4"/>
      <c r="W248" s="4"/>
      <c r="X248" s="67"/>
      <c r="Y248" s="4"/>
      <c r="Z248" s="4"/>
      <c r="AA248" s="4"/>
      <c r="AB248" s="386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3"/>
      <c r="M249" s="4"/>
      <c r="N249" s="3"/>
      <c r="O249" s="3"/>
      <c r="P249" s="4"/>
      <c r="Q249" s="4"/>
      <c r="R249" s="3"/>
      <c r="S249" s="4"/>
      <c r="T249" s="5"/>
      <c r="U249" s="4"/>
      <c r="V249" s="4"/>
      <c r="W249" s="4"/>
      <c r="X249" s="67"/>
      <c r="Y249" s="4"/>
      <c r="Z249" s="4"/>
      <c r="AA249" s="4"/>
      <c r="AB249" s="386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3"/>
      <c r="M250" s="4"/>
      <c r="N250" s="3"/>
      <c r="O250" s="3"/>
      <c r="P250" s="4"/>
      <c r="Q250" s="4"/>
      <c r="R250" s="3"/>
      <c r="S250" s="4"/>
      <c r="T250" s="5"/>
      <c r="U250" s="4"/>
      <c r="V250" s="4"/>
      <c r="W250" s="4"/>
      <c r="X250" s="67"/>
      <c r="Y250" s="4"/>
      <c r="Z250" s="4"/>
      <c r="AA250" s="4"/>
      <c r="AB250" s="386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3"/>
      <c r="M251" s="4"/>
      <c r="N251" s="3"/>
      <c r="O251" s="3"/>
      <c r="P251" s="4"/>
      <c r="Q251" s="4"/>
      <c r="R251" s="3"/>
      <c r="S251" s="4"/>
      <c r="T251" s="5"/>
      <c r="U251" s="4"/>
      <c r="V251" s="4"/>
      <c r="W251" s="4"/>
      <c r="X251" s="67"/>
      <c r="Y251" s="4"/>
      <c r="Z251" s="4"/>
      <c r="AA251" s="4"/>
      <c r="AB251" s="386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3"/>
      <c r="M252" s="4"/>
      <c r="N252" s="3"/>
      <c r="O252" s="3"/>
      <c r="P252" s="4"/>
      <c r="Q252" s="4"/>
      <c r="R252" s="3"/>
      <c r="S252" s="4"/>
      <c r="T252" s="5"/>
      <c r="U252" s="4"/>
      <c r="V252" s="4"/>
      <c r="W252" s="4"/>
      <c r="X252" s="67"/>
      <c r="Y252" s="4"/>
      <c r="Z252" s="4"/>
      <c r="AA252" s="4"/>
      <c r="AB252" s="386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3"/>
      <c r="M253" s="4"/>
      <c r="N253" s="3"/>
      <c r="O253" s="3"/>
      <c r="P253" s="4"/>
      <c r="Q253" s="4"/>
      <c r="R253" s="3"/>
      <c r="S253" s="4"/>
      <c r="T253" s="5"/>
      <c r="U253" s="4"/>
      <c r="V253" s="4"/>
      <c r="W253" s="4"/>
      <c r="X253" s="67"/>
      <c r="Y253" s="4"/>
      <c r="Z253" s="4"/>
      <c r="AA253" s="4"/>
      <c r="AB253" s="386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3"/>
      <c r="M254" s="4"/>
      <c r="N254" s="3"/>
      <c r="O254" s="3"/>
      <c r="P254" s="4"/>
      <c r="Q254" s="4"/>
      <c r="R254" s="3"/>
      <c r="S254" s="4"/>
      <c r="T254" s="5"/>
      <c r="U254" s="4"/>
      <c r="V254" s="4"/>
      <c r="W254" s="4"/>
      <c r="X254" s="67"/>
      <c r="Y254" s="4"/>
      <c r="Z254" s="4"/>
      <c r="AA254" s="4"/>
      <c r="AB254" s="386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3"/>
      <c r="M255" s="4"/>
      <c r="N255" s="3"/>
      <c r="O255" s="3"/>
      <c r="P255" s="4"/>
      <c r="Q255" s="4"/>
      <c r="R255" s="3"/>
      <c r="S255" s="4"/>
      <c r="T255" s="5"/>
      <c r="U255" s="4"/>
      <c r="V255" s="4"/>
      <c r="W255" s="4"/>
      <c r="X255" s="67"/>
      <c r="Y255" s="4"/>
      <c r="Z255" s="4"/>
      <c r="AA255" s="4"/>
      <c r="AB255" s="386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3"/>
      <c r="M256" s="4"/>
      <c r="N256" s="3"/>
      <c r="O256" s="3"/>
      <c r="P256" s="4"/>
      <c r="Q256" s="4"/>
      <c r="R256" s="3"/>
      <c r="S256" s="4"/>
      <c r="T256" s="5"/>
      <c r="U256" s="4"/>
      <c r="V256" s="4"/>
      <c r="W256" s="4"/>
      <c r="X256" s="67"/>
      <c r="Y256" s="4"/>
      <c r="Z256" s="4"/>
      <c r="AA256" s="4"/>
      <c r="AB256" s="386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3"/>
      <c r="M257" s="4"/>
      <c r="N257" s="3"/>
      <c r="O257" s="3"/>
      <c r="P257" s="4"/>
      <c r="Q257" s="4"/>
      <c r="R257" s="3"/>
      <c r="S257" s="4"/>
      <c r="T257" s="5"/>
      <c r="U257" s="4"/>
      <c r="V257" s="4"/>
      <c r="W257" s="4"/>
      <c r="X257" s="67"/>
      <c r="Y257" s="4"/>
      <c r="Z257" s="4"/>
      <c r="AA257" s="4"/>
      <c r="AB257" s="386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3"/>
      <c r="M258" s="4"/>
      <c r="N258" s="3"/>
      <c r="O258" s="3"/>
      <c r="P258" s="4"/>
      <c r="Q258" s="4"/>
      <c r="R258" s="3"/>
      <c r="S258" s="4"/>
      <c r="T258" s="5"/>
      <c r="U258" s="4"/>
      <c r="V258" s="4"/>
      <c r="W258" s="4"/>
      <c r="X258" s="67"/>
      <c r="Y258" s="4"/>
      <c r="Z258" s="4"/>
      <c r="AA258" s="4"/>
      <c r="AB258" s="386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3"/>
      <c r="M259" s="4"/>
      <c r="N259" s="3"/>
      <c r="O259" s="3"/>
      <c r="P259" s="4"/>
      <c r="Q259" s="4"/>
      <c r="R259" s="3"/>
      <c r="S259" s="4"/>
      <c r="T259" s="5"/>
      <c r="U259" s="4"/>
      <c r="V259" s="4"/>
      <c r="W259" s="4"/>
      <c r="X259" s="67"/>
      <c r="Y259" s="4"/>
      <c r="Z259" s="4"/>
      <c r="AA259" s="4"/>
      <c r="AB259" s="386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3"/>
      <c r="M260" s="4"/>
      <c r="N260" s="3"/>
      <c r="O260" s="3"/>
      <c r="P260" s="4"/>
      <c r="Q260" s="4"/>
      <c r="R260" s="3"/>
      <c r="S260" s="4"/>
      <c r="T260" s="5"/>
      <c r="U260" s="4"/>
      <c r="V260" s="4"/>
      <c r="W260" s="4"/>
      <c r="X260" s="67"/>
      <c r="Y260" s="4"/>
      <c r="Z260" s="4"/>
      <c r="AA260" s="4"/>
      <c r="AB260" s="386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3"/>
      <c r="M261" s="4"/>
      <c r="N261" s="3"/>
      <c r="O261" s="3"/>
      <c r="P261" s="4"/>
      <c r="Q261" s="4"/>
      <c r="R261" s="3"/>
      <c r="S261" s="4"/>
      <c r="T261" s="5"/>
      <c r="U261" s="4"/>
      <c r="V261" s="4"/>
      <c r="W261" s="4"/>
      <c r="X261" s="67"/>
      <c r="Y261" s="4"/>
      <c r="Z261" s="4"/>
      <c r="AA261" s="4"/>
      <c r="AB261" s="386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3"/>
      <c r="M262" s="4"/>
      <c r="N262" s="3"/>
      <c r="O262" s="3"/>
      <c r="P262" s="4"/>
      <c r="Q262" s="4"/>
      <c r="R262" s="3"/>
      <c r="S262" s="4"/>
      <c r="T262" s="5"/>
      <c r="U262" s="4"/>
      <c r="V262" s="4"/>
      <c r="W262" s="4"/>
      <c r="X262" s="67"/>
      <c r="Y262" s="4"/>
      <c r="Z262" s="4"/>
      <c r="AA262" s="4"/>
      <c r="AB262" s="386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3"/>
      <c r="M263" s="4"/>
      <c r="N263" s="3"/>
      <c r="O263" s="3"/>
      <c r="P263" s="4"/>
      <c r="Q263" s="4"/>
      <c r="R263" s="3"/>
      <c r="S263" s="4"/>
      <c r="T263" s="5"/>
      <c r="U263" s="4"/>
      <c r="V263" s="4"/>
      <c r="W263" s="4"/>
      <c r="X263" s="67"/>
      <c r="Y263" s="4"/>
      <c r="Z263" s="4"/>
      <c r="AA263" s="4"/>
      <c r="AB263" s="386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3"/>
      <c r="M264" s="4"/>
      <c r="N264" s="3"/>
      <c r="O264" s="3"/>
      <c r="P264" s="4"/>
      <c r="Q264" s="4"/>
      <c r="R264" s="3"/>
      <c r="S264" s="4"/>
      <c r="T264" s="5"/>
      <c r="U264" s="4"/>
      <c r="V264" s="4"/>
      <c r="W264" s="4"/>
      <c r="X264" s="67"/>
      <c r="Y264" s="4"/>
      <c r="Z264" s="4"/>
      <c r="AA264" s="4"/>
      <c r="AB264" s="386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3"/>
      <c r="M265" s="4"/>
      <c r="N265" s="3"/>
      <c r="O265" s="3"/>
      <c r="P265" s="4"/>
      <c r="Q265" s="4"/>
      <c r="R265" s="3"/>
      <c r="S265" s="4"/>
      <c r="T265" s="5"/>
      <c r="U265" s="4"/>
      <c r="V265" s="4"/>
      <c r="W265" s="4"/>
      <c r="X265" s="67"/>
      <c r="Y265" s="4"/>
      <c r="Z265" s="4"/>
      <c r="AA265" s="4"/>
      <c r="AB265" s="386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3"/>
      <c r="M266" s="4"/>
      <c r="N266" s="3"/>
      <c r="O266" s="3"/>
      <c r="P266" s="4"/>
      <c r="Q266" s="4"/>
      <c r="R266" s="3"/>
      <c r="S266" s="4"/>
      <c r="T266" s="5"/>
      <c r="U266" s="4"/>
      <c r="V266" s="4"/>
      <c r="W266" s="4"/>
      <c r="X266" s="67"/>
      <c r="Y266" s="4"/>
      <c r="Z266" s="4"/>
      <c r="AA266" s="4"/>
      <c r="AB266" s="386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3"/>
      <c r="M267" s="4"/>
      <c r="N267" s="3"/>
      <c r="O267" s="3"/>
      <c r="P267" s="4"/>
      <c r="Q267" s="4"/>
      <c r="R267" s="3"/>
      <c r="S267" s="4"/>
      <c r="T267" s="5"/>
      <c r="U267" s="4"/>
      <c r="V267" s="4"/>
      <c r="W267" s="4"/>
      <c r="X267" s="67"/>
      <c r="Y267" s="4"/>
      <c r="Z267" s="4"/>
      <c r="AA267" s="4"/>
      <c r="AB267" s="386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3"/>
      <c r="M268" s="4"/>
      <c r="N268" s="3"/>
      <c r="O268" s="3"/>
      <c r="P268" s="4"/>
      <c r="Q268" s="4"/>
      <c r="R268" s="3"/>
      <c r="S268" s="4"/>
      <c r="T268" s="5"/>
      <c r="U268" s="4"/>
      <c r="V268" s="4"/>
      <c r="W268" s="4"/>
      <c r="X268" s="67"/>
      <c r="Y268" s="4"/>
      <c r="Z268" s="4"/>
      <c r="AA268" s="4"/>
      <c r="AB268" s="386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3"/>
      <c r="M269" s="4"/>
      <c r="N269" s="3"/>
      <c r="O269" s="3"/>
      <c r="P269" s="4"/>
      <c r="Q269" s="4"/>
      <c r="R269" s="3"/>
      <c r="S269" s="4"/>
      <c r="T269" s="5"/>
      <c r="U269" s="4"/>
      <c r="V269" s="4"/>
      <c r="W269" s="4"/>
      <c r="X269" s="67"/>
      <c r="Y269" s="4"/>
      <c r="Z269" s="4"/>
      <c r="AA269" s="4"/>
      <c r="AB269" s="386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3"/>
      <c r="M270" s="4"/>
      <c r="N270" s="3"/>
      <c r="O270" s="3"/>
      <c r="P270" s="4"/>
      <c r="Q270" s="4"/>
      <c r="R270" s="3"/>
      <c r="S270" s="4"/>
      <c r="T270" s="5"/>
      <c r="U270" s="4"/>
      <c r="V270" s="4"/>
      <c r="W270" s="4"/>
      <c r="X270" s="67"/>
      <c r="Y270" s="4"/>
      <c r="Z270" s="4"/>
      <c r="AA270" s="4"/>
      <c r="AB270" s="386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3"/>
      <c r="M271" s="4"/>
      <c r="N271" s="3"/>
      <c r="O271" s="3"/>
      <c r="P271" s="4"/>
      <c r="Q271" s="4"/>
      <c r="R271" s="3"/>
      <c r="S271" s="4"/>
      <c r="T271" s="5"/>
      <c r="U271" s="4"/>
      <c r="V271" s="4"/>
      <c r="W271" s="4"/>
      <c r="X271" s="67"/>
      <c r="Y271" s="4"/>
      <c r="Z271" s="4"/>
      <c r="AA271" s="4"/>
      <c r="AB271" s="386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3"/>
      <c r="M272" s="4"/>
      <c r="N272" s="3"/>
      <c r="O272" s="3"/>
      <c r="P272" s="4"/>
      <c r="Q272" s="4"/>
      <c r="R272" s="3"/>
      <c r="S272" s="4"/>
      <c r="T272" s="5"/>
      <c r="U272" s="4"/>
      <c r="V272" s="4"/>
      <c r="W272" s="4"/>
      <c r="X272" s="67"/>
      <c r="Y272" s="4"/>
      <c r="Z272" s="4"/>
      <c r="AA272" s="4"/>
      <c r="AB272" s="386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3"/>
      <c r="M273" s="4"/>
      <c r="N273" s="3"/>
      <c r="O273" s="3"/>
      <c r="P273" s="4"/>
      <c r="Q273" s="4"/>
      <c r="R273" s="3"/>
      <c r="S273" s="4"/>
      <c r="T273" s="5"/>
      <c r="U273" s="4"/>
      <c r="V273" s="4"/>
      <c r="W273" s="4"/>
      <c r="X273" s="67"/>
      <c r="Y273" s="4"/>
      <c r="Z273" s="4"/>
      <c r="AA273" s="4"/>
      <c r="AB273" s="386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  <c r="M274" s="4"/>
      <c r="N274" s="3"/>
      <c r="O274" s="3"/>
      <c r="P274" s="4"/>
      <c r="Q274" s="4"/>
      <c r="R274" s="3"/>
      <c r="S274" s="4"/>
      <c r="T274" s="5"/>
      <c r="U274" s="4"/>
      <c r="V274" s="4"/>
      <c r="W274" s="4"/>
      <c r="X274" s="67"/>
      <c r="Y274" s="4"/>
      <c r="Z274" s="4"/>
      <c r="AA274" s="4"/>
      <c r="AB274" s="386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  <c r="M275" s="4"/>
      <c r="N275" s="3"/>
      <c r="O275" s="3"/>
      <c r="P275" s="4"/>
      <c r="Q275" s="4"/>
      <c r="R275" s="3"/>
      <c r="S275" s="4"/>
      <c r="T275" s="5"/>
      <c r="U275" s="4"/>
      <c r="V275" s="4"/>
      <c r="W275" s="4"/>
      <c r="X275" s="67"/>
      <c r="Y275" s="4"/>
      <c r="Z275" s="4"/>
      <c r="AA275" s="4"/>
      <c r="AB275" s="386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  <c r="M276" s="4"/>
      <c r="N276" s="3"/>
      <c r="O276" s="3"/>
      <c r="P276" s="4"/>
      <c r="Q276" s="4"/>
      <c r="R276" s="3"/>
      <c r="S276" s="4"/>
      <c r="T276" s="5"/>
      <c r="U276" s="4"/>
      <c r="V276" s="4"/>
      <c r="W276" s="4"/>
      <c r="X276" s="67"/>
      <c r="Y276" s="4"/>
      <c r="Z276" s="4"/>
      <c r="AA276" s="4"/>
      <c r="AB276" s="386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  <c r="M277" s="4"/>
      <c r="N277" s="3"/>
      <c r="O277" s="3"/>
      <c r="P277" s="4"/>
      <c r="Q277" s="4"/>
      <c r="R277" s="3"/>
      <c r="S277" s="4"/>
      <c r="T277" s="5"/>
      <c r="U277" s="4"/>
      <c r="V277" s="4"/>
      <c r="W277" s="4"/>
      <c r="X277" s="67"/>
      <c r="Y277" s="4"/>
      <c r="Z277" s="4"/>
      <c r="AA277" s="4"/>
      <c r="AB277" s="386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  <c r="M278" s="4"/>
      <c r="N278" s="3"/>
      <c r="O278" s="3"/>
      <c r="P278" s="4"/>
      <c r="Q278" s="4"/>
      <c r="R278" s="3"/>
      <c r="S278" s="4"/>
      <c r="T278" s="5"/>
      <c r="U278" s="4"/>
      <c r="V278" s="4"/>
      <c r="W278" s="4"/>
      <c r="X278" s="67"/>
      <c r="Y278" s="4"/>
      <c r="Z278" s="4"/>
      <c r="AA278" s="4"/>
      <c r="AB278" s="386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4"/>
      <c r="N279" s="3"/>
      <c r="O279" s="3"/>
      <c r="P279" s="4"/>
      <c r="Q279" s="4"/>
      <c r="R279" s="3"/>
      <c r="S279" s="4"/>
      <c r="T279" s="5"/>
      <c r="U279" s="4"/>
      <c r="V279" s="4"/>
      <c r="W279" s="4"/>
      <c r="X279" s="67"/>
      <c r="Y279" s="4"/>
      <c r="Z279" s="4"/>
      <c r="AA279" s="4"/>
      <c r="AB279" s="386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4"/>
      <c r="N280" s="3"/>
      <c r="O280" s="3"/>
      <c r="P280" s="4"/>
      <c r="Q280" s="4"/>
      <c r="R280" s="3"/>
      <c r="S280" s="4"/>
      <c r="T280" s="5"/>
      <c r="U280" s="4"/>
      <c r="V280" s="4"/>
      <c r="W280" s="4"/>
      <c r="X280" s="67"/>
      <c r="Y280" s="4"/>
      <c r="Z280" s="4"/>
      <c r="AA280" s="4"/>
      <c r="AB280" s="386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  <c r="M281" s="4"/>
      <c r="N281" s="3"/>
      <c r="O281" s="3"/>
      <c r="P281" s="4"/>
      <c r="Q281" s="4"/>
      <c r="R281" s="3"/>
      <c r="S281" s="4"/>
      <c r="T281" s="5"/>
      <c r="U281" s="4"/>
      <c r="V281" s="4"/>
      <c r="W281" s="4"/>
      <c r="X281" s="67"/>
      <c r="Y281" s="4"/>
      <c r="Z281" s="4"/>
      <c r="AA281" s="4"/>
      <c r="AB281" s="386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  <c r="M282" s="4"/>
      <c r="N282" s="3"/>
      <c r="O282" s="3"/>
      <c r="P282" s="4"/>
      <c r="Q282" s="4"/>
      <c r="R282" s="3"/>
      <c r="S282" s="4"/>
      <c r="T282" s="5"/>
      <c r="U282" s="4"/>
      <c r="V282" s="4"/>
      <c r="W282" s="4"/>
      <c r="X282" s="67"/>
      <c r="Y282" s="4"/>
      <c r="Z282" s="4"/>
      <c r="AA282" s="4"/>
      <c r="AB282" s="386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  <c r="M283" s="4"/>
      <c r="N283" s="3"/>
      <c r="O283" s="3"/>
      <c r="P283" s="4"/>
      <c r="Q283" s="4"/>
      <c r="R283" s="3"/>
      <c r="S283" s="4"/>
      <c r="T283" s="5"/>
      <c r="U283" s="4"/>
      <c r="V283" s="4"/>
      <c r="W283" s="4"/>
      <c r="X283" s="67"/>
      <c r="Y283" s="4"/>
      <c r="Z283" s="4"/>
      <c r="AA283" s="4"/>
      <c r="AB283" s="386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  <c r="M284" s="4"/>
      <c r="N284" s="3"/>
      <c r="O284" s="3"/>
      <c r="P284" s="4"/>
      <c r="Q284" s="4"/>
      <c r="R284" s="3"/>
      <c r="S284" s="4"/>
      <c r="T284" s="5"/>
      <c r="U284" s="4"/>
      <c r="V284" s="4"/>
      <c r="W284" s="4"/>
      <c r="X284" s="67"/>
      <c r="Y284" s="4"/>
      <c r="Z284" s="4"/>
      <c r="AA284" s="4"/>
      <c r="AB284" s="386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  <c r="M285" s="4"/>
      <c r="N285" s="3"/>
      <c r="O285" s="3"/>
      <c r="P285" s="4"/>
      <c r="Q285" s="4"/>
      <c r="R285" s="3"/>
      <c r="S285" s="4"/>
      <c r="T285" s="5"/>
      <c r="U285" s="4"/>
      <c r="V285" s="4"/>
      <c r="W285" s="4"/>
      <c r="X285" s="67"/>
      <c r="Y285" s="4"/>
      <c r="Z285" s="4"/>
      <c r="AA285" s="4"/>
      <c r="AB285" s="386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4"/>
      <c r="N286" s="3"/>
      <c r="O286" s="3"/>
      <c r="P286" s="4"/>
      <c r="Q286" s="4"/>
      <c r="R286" s="3"/>
      <c r="S286" s="4"/>
      <c r="T286" s="5"/>
      <c r="U286" s="4"/>
      <c r="V286" s="4"/>
      <c r="W286" s="4"/>
      <c r="X286" s="67"/>
      <c r="Y286" s="4"/>
      <c r="Z286" s="4"/>
      <c r="AA286" s="4"/>
      <c r="AB286" s="386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  <c r="M287" s="4"/>
      <c r="N287" s="3"/>
      <c r="O287" s="3"/>
      <c r="P287" s="4"/>
      <c r="Q287" s="4"/>
      <c r="R287" s="3"/>
      <c r="S287" s="4"/>
      <c r="T287" s="5"/>
      <c r="U287" s="4"/>
      <c r="V287" s="4"/>
      <c r="W287" s="4"/>
      <c r="X287" s="67"/>
      <c r="Y287" s="4"/>
      <c r="Z287" s="4"/>
      <c r="AA287" s="4"/>
      <c r="AB287" s="386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  <c r="M288" s="4"/>
      <c r="N288" s="3"/>
      <c r="O288" s="3"/>
      <c r="P288" s="4"/>
      <c r="Q288" s="4"/>
      <c r="R288" s="3"/>
      <c r="S288" s="4"/>
      <c r="T288" s="5"/>
      <c r="U288" s="4"/>
      <c r="V288" s="4"/>
      <c r="W288" s="4"/>
      <c r="X288" s="67"/>
      <c r="Y288" s="4"/>
      <c r="Z288" s="4"/>
      <c r="AA288" s="4"/>
      <c r="AB288" s="386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  <c r="M289" s="4"/>
      <c r="N289" s="3"/>
      <c r="O289" s="3"/>
      <c r="P289" s="4"/>
      <c r="Q289" s="4"/>
      <c r="R289" s="3"/>
      <c r="S289" s="4"/>
      <c r="T289" s="5"/>
      <c r="U289" s="4"/>
      <c r="V289" s="4"/>
      <c r="W289" s="4"/>
      <c r="X289" s="67"/>
      <c r="Y289" s="4"/>
      <c r="Z289" s="4"/>
      <c r="AA289" s="4"/>
      <c r="AB289" s="386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  <c r="M290" s="4"/>
      <c r="N290" s="3"/>
      <c r="O290" s="3"/>
      <c r="P290" s="4"/>
      <c r="Q290" s="4"/>
      <c r="R290" s="3"/>
      <c r="S290" s="4"/>
      <c r="T290" s="5"/>
      <c r="U290" s="4"/>
      <c r="V290" s="4"/>
      <c r="W290" s="4"/>
      <c r="X290" s="67"/>
      <c r="Y290" s="4"/>
      <c r="Z290" s="4"/>
      <c r="AA290" s="4"/>
      <c r="AB290" s="386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  <c r="M291" s="4"/>
      <c r="N291" s="3"/>
      <c r="O291" s="3"/>
      <c r="P291" s="4"/>
      <c r="Q291" s="4"/>
      <c r="R291" s="3"/>
      <c r="S291" s="4"/>
      <c r="T291" s="5"/>
      <c r="U291" s="4"/>
      <c r="V291" s="4"/>
      <c r="W291" s="4"/>
      <c r="X291" s="67"/>
      <c r="Y291" s="4"/>
      <c r="Z291" s="4"/>
      <c r="AA291" s="4"/>
      <c r="AB291" s="386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  <c r="M292" s="4"/>
      <c r="N292" s="3"/>
      <c r="O292" s="3"/>
      <c r="P292" s="4"/>
      <c r="Q292" s="4"/>
      <c r="R292" s="3"/>
      <c r="S292" s="4"/>
      <c r="T292" s="5"/>
      <c r="U292" s="4"/>
      <c r="V292" s="4"/>
      <c r="W292" s="4"/>
      <c r="X292" s="67"/>
      <c r="Y292" s="4"/>
      <c r="Z292" s="4"/>
      <c r="AA292" s="4"/>
      <c r="AB292" s="386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4"/>
      <c r="N293" s="3"/>
      <c r="O293" s="3"/>
      <c r="P293" s="4"/>
      <c r="Q293" s="4"/>
      <c r="R293" s="3"/>
      <c r="S293" s="4"/>
      <c r="T293" s="5"/>
      <c r="U293" s="4"/>
      <c r="V293" s="4"/>
      <c r="W293" s="4"/>
      <c r="X293" s="67"/>
      <c r="Y293" s="4"/>
      <c r="Z293" s="4"/>
      <c r="AA293" s="4"/>
      <c r="AB293" s="386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4"/>
      <c r="N294" s="3"/>
      <c r="O294" s="3"/>
      <c r="P294" s="4"/>
      <c r="Q294" s="4"/>
      <c r="R294" s="3"/>
      <c r="S294" s="4"/>
      <c r="T294" s="5"/>
      <c r="U294" s="4"/>
      <c r="V294" s="4"/>
      <c r="W294" s="4"/>
      <c r="X294" s="67"/>
      <c r="Y294" s="4"/>
      <c r="Z294" s="4"/>
      <c r="AA294" s="4"/>
      <c r="AB294" s="386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4"/>
      <c r="N295" s="3"/>
      <c r="O295" s="3"/>
      <c r="P295" s="4"/>
      <c r="Q295" s="4"/>
      <c r="R295" s="3"/>
      <c r="S295" s="4"/>
      <c r="T295" s="5"/>
      <c r="U295" s="4"/>
      <c r="V295" s="4"/>
      <c r="W295" s="4"/>
      <c r="X295" s="67"/>
      <c r="Y295" s="4"/>
      <c r="Z295" s="4"/>
      <c r="AA295" s="4"/>
      <c r="AB295" s="386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4"/>
      <c r="N296" s="3"/>
      <c r="O296" s="3"/>
      <c r="P296" s="4"/>
      <c r="Q296" s="4"/>
      <c r="R296" s="3"/>
      <c r="S296" s="4"/>
      <c r="T296" s="5"/>
      <c r="U296" s="4"/>
      <c r="V296" s="4"/>
      <c r="W296" s="4"/>
      <c r="X296" s="67"/>
      <c r="Y296" s="4"/>
      <c r="Z296" s="4"/>
      <c r="AA296" s="4"/>
      <c r="AB296" s="386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4"/>
      <c r="N297" s="3"/>
      <c r="O297" s="3"/>
      <c r="P297" s="4"/>
      <c r="Q297" s="4"/>
      <c r="R297" s="3"/>
      <c r="S297" s="4"/>
      <c r="T297" s="5"/>
      <c r="U297" s="4"/>
      <c r="V297" s="4"/>
      <c r="W297" s="4"/>
      <c r="X297" s="67"/>
      <c r="Y297" s="4"/>
      <c r="Z297" s="4"/>
      <c r="AA297" s="4"/>
      <c r="AB297" s="386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4"/>
      <c r="N298" s="3"/>
      <c r="O298" s="3"/>
      <c r="P298" s="4"/>
      <c r="Q298" s="4"/>
      <c r="R298" s="3"/>
      <c r="S298" s="4"/>
      <c r="T298" s="5"/>
      <c r="U298" s="4"/>
      <c r="V298" s="4"/>
      <c r="W298" s="4"/>
      <c r="X298" s="67"/>
      <c r="Y298" s="4"/>
      <c r="Z298" s="4"/>
      <c r="AA298" s="4"/>
      <c r="AB298" s="386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3"/>
      <c r="M299" s="4"/>
      <c r="N299" s="3"/>
      <c r="O299" s="3"/>
      <c r="P299" s="4"/>
      <c r="Q299" s="4"/>
      <c r="R299" s="3"/>
      <c r="S299" s="4"/>
      <c r="T299" s="5"/>
      <c r="U299" s="4"/>
      <c r="V299" s="4"/>
      <c r="W299" s="4"/>
      <c r="X299" s="67"/>
      <c r="Y299" s="4"/>
      <c r="Z299" s="4"/>
      <c r="AA299" s="4"/>
      <c r="AB299" s="386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3"/>
      <c r="M300" s="4"/>
      <c r="N300" s="3"/>
      <c r="O300" s="3"/>
      <c r="P300" s="4"/>
      <c r="Q300" s="4"/>
      <c r="R300" s="3"/>
      <c r="S300" s="4"/>
      <c r="T300" s="5"/>
      <c r="U300" s="4"/>
      <c r="V300" s="4"/>
      <c r="W300" s="4"/>
      <c r="X300" s="67"/>
      <c r="Y300" s="4"/>
      <c r="Z300" s="4"/>
      <c r="AA300" s="4"/>
      <c r="AB300" s="386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3"/>
      <c r="M301" s="4"/>
      <c r="N301" s="3"/>
      <c r="O301" s="3"/>
      <c r="P301" s="4"/>
      <c r="Q301" s="4"/>
      <c r="R301" s="3"/>
      <c r="S301" s="4"/>
      <c r="T301" s="5"/>
      <c r="U301" s="4"/>
      <c r="V301" s="4"/>
      <c r="W301" s="4"/>
      <c r="X301" s="67"/>
      <c r="Y301" s="4"/>
      <c r="Z301" s="4"/>
      <c r="AA301" s="4"/>
      <c r="AB301" s="386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3"/>
      <c r="M302" s="4"/>
      <c r="N302" s="3"/>
      <c r="O302" s="3"/>
      <c r="P302" s="4"/>
      <c r="Q302" s="4"/>
      <c r="R302" s="3"/>
      <c r="S302" s="4"/>
      <c r="T302" s="5"/>
      <c r="U302" s="4"/>
      <c r="V302" s="4"/>
      <c r="W302" s="4"/>
      <c r="X302" s="67"/>
      <c r="Y302" s="4"/>
      <c r="Z302" s="4"/>
      <c r="AA302" s="4"/>
      <c r="AB302" s="386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3"/>
      <c r="M303" s="4"/>
      <c r="N303" s="3"/>
      <c r="O303" s="3"/>
      <c r="P303" s="4"/>
      <c r="Q303" s="4"/>
      <c r="R303" s="3"/>
      <c r="S303" s="4"/>
      <c r="T303" s="5"/>
      <c r="U303" s="4"/>
      <c r="V303" s="4"/>
      <c r="W303" s="4"/>
      <c r="X303" s="67"/>
      <c r="Y303" s="4"/>
      <c r="Z303" s="4"/>
      <c r="AA303" s="4"/>
      <c r="AB303" s="386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3"/>
      <c r="M304" s="4"/>
      <c r="N304" s="3"/>
      <c r="O304" s="3"/>
      <c r="P304" s="4"/>
      <c r="Q304" s="4"/>
      <c r="R304" s="3"/>
      <c r="S304" s="4"/>
      <c r="T304" s="5"/>
      <c r="U304" s="4"/>
      <c r="V304" s="4"/>
      <c r="W304" s="4"/>
      <c r="X304" s="67"/>
      <c r="Y304" s="4"/>
      <c r="Z304" s="4"/>
      <c r="AA304" s="4"/>
      <c r="AB304" s="386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4"/>
      <c r="N305" s="3"/>
      <c r="O305" s="3"/>
      <c r="P305" s="4"/>
      <c r="Q305" s="4"/>
      <c r="R305" s="3"/>
      <c r="S305" s="4"/>
      <c r="T305" s="5"/>
      <c r="U305" s="4"/>
      <c r="V305" s="4"/>
      <c r="W305" s="4"/>
      <c r="X305" s="67"/>
      <c r="Y305" s="4"/>
      <c r="Z305" s="4"/>
      <c r="AA305" s="4"/>
      <c r="AB305" s="386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4"/>
      <c r="N306" s="3"/>
      <c r="O306" s="3"/>
      <c r="P306" s="4"/>
      <c r="Q306" s="4"/>
      <c r="R306" s="3"/>
      <c r="S306" s="4"/>
      <c r="T306" s="5"/>
      <c r="U306" s="4"/>
      <c r="V306" s="4"/>
      <c r="W306" s="4"/>
      <c r="X306" s="67"/>
      <c r="Y306" s="4"/>
      <c r="Z306" s="4"/>
      <c r="AA306" s="4"/>
      <c r="AB306" s="386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4"/>
      <c r="N307" s="3"/>
      <c r="O307" s="3"/>
      <c r="P307" s="4"/>
      <c r="Q307" s="4"/>
      <c r="R307" s="3"/>
      <c r="S307" s="4"/>
      <c r="T307" s="5"/>
      <c r="U307" s="4"/>
      <c r="V307" s="4"/>
      <c r="W307" s="4"/>
      <c r="X307" s="67"/>
      <c r="Y307" s="4"/>
      <c r="Z307" s="4"/>
      <c r="AA307" s="4"/>
      <c r="AB307" s="386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4"/>
      <c r="N308" s="3"/>
      <c r="O308" s="3"/>
      <c r="P308" s="4"/>
      <c r="Q308" s="4"/>
      <c r="R308" s="3"/>
      <c r="S308" s="4"/>
      <c r="T308" s="5"/>
      <c r="U308" s="4"/>
      <c r="V308" s="4"/>
      <c r="W308" s="4"/>
      <c r="X308" s="67"/>
      <c r="Y308" s="4"/>
      <c r="Z308" s="4"/>
      <c r="AA308" s="4"/>
      <c r="AB308" s="386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4"/>
      <c r="N309" s="3"/>
      <c r="O309" s="3"/>
      <c r="P309" s="4"/>
      <c r="Q309" s="4"/>
      <c r="R309" s="3"/>
      <c r="S309" s="4"/>
      <c r="T309" s="5"/>
      <c r="U309" s="4"/>
      <c r="V309" s="4"/>
      <c r="W309" s="4"/>
      <c r="X309" s="67"/>
      <c r="Y309" s="4"/>
      <c r="Z309" s="4"/>
      <c r="AA309" s="4"/>
      <c r="AB309" s="386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4"/>
      <c r="N310" s="3"/>
      <c r="O310" s="3"/>
      <c r="P310" s="4"/>
      <c r="Q310" s="4"/>
      <c r="R310" s="3"/>
      <c r="S310" s="4"/>
      <c r="T310" s="5"/>
      <c r="U310" s="4"/>
      <c r="V310" s="4"/>
      <c r="W310" s="4"/>
      <c r="X310" s="67"/>
      <c r="Y310" s="4"/>
      <c r="Z310" s="4"/>
      <c r="AA310" s="4"/>
      <c r="AB310" s="386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4"/>
      <c r="N311" s="3"/>
      <c r="O311" s="3"/>
      <c r="P311" s="4"/>
      <c r="Q311" s="4"/>
      <c r="R311" s="3"/>
      <c r="S311" s="4"/>
      <c r="T311" s="5"/>
      <c r="U311" s="4"/>
      <c r="V311" s="4"/>
      <c r="W311" s="4"/>
      <c r="X311" s="67"/>
      <c r="Y311" s="4"/>
      <c r="Z311" s="4"/>
      <c r="AA311" s="4"/>
      <c r="AB311" s="386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4"/>
      <c r="N312" s="3"/>
      <c r="O312" s="3"/>
      <c r="P312" s="4"/>
      <c r="Q312" s="4"/>
      <c r="R312" s="3"/>
      <c r="S312" s="4"/>
      <c r="T312" s="5"/>
      <c r="U312" s="4"/>
      <c r="V312" s="4"/>
      <c r="W312" s="4"/>
      <c r="X312" s="67"/>
      <c r="Y312" s="4"/>
      <c r="Z312" s="4"/>
      <c r="AA312" s="4"/>
      <c r="AB312" s="386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4"/>
      <c r="N313" s="3"/>
      <c r="O313" s="3"/>
      <c r="P313" s="4"/>
      <c r="Q313" s="4"/>
      <c r="R313" s="3"/>
      <c r="S313" s="4"/>
      <c r="T313" s="5"/>
      <c r="U313" s="4"/>
      <c r="V313" s="4"/>
      <c r="W313" s="4"/>
      <c r="X313" s="67"/>
      <c r="Y313" s="4"/>
      <c r="Z313" s="4"/>
      <c r="AA313" s="4"/>
      <c r="AB313" s="386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3"/>
      <c r="M314" s="4"/>
      <c r="N314" s="3"/>
      <c r="O314" s="3"/>
      <c r="P314" s="4"/>
      <c r="Q314" s="4"/>
      <c r="R314" s="3"/>
      <c r="S314" s="4"/>
      <c r="T314" s="5"/>
      <c r="U314" s="4"/>
      <c r="V314" s="4"/>
      <c r="W314" s="4"/>
      <c r="X314" s="67"/>
      <c r="Y314" s="4"/>
      <c r="Z314" s="4"/>
      <c r="AA314" s="4"/>
      <c r="AB314" s="386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4"/>
      <c r="N315" s="3"/>
      <c r="O315" s="3"/>
      <c r="P315" s="4"/>
      <c r="Q315" s="4"/>
      <c r="R315" s="3"/>
      <c r="S315" s="4"/>
      <c r="T315" s="5"/>
      <c r="U315" s="4"/>
      <c r="V315" s="4"/>
      <c r="W315" s="4"/>
      <c r="X315" s="67"/>
      <c r="Y315" s="4"/>
      <c r="Z315" s="4"/>
      <c r="AA315" s="4"/>
      <c r="AB315" s="386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3"/>
      <c r="M316" s="4"/>
      <c r="N316" s="3"/>
      <c r="O316" s="3"/>
      <c r="P316" s="4"/>
      <c r="Q316" s="4"/>
      <c r="R316" s="3"/>
      <c r="S316" s="4"/>
      <c r="T316" s="5"/>
      <c r="U316" s="4"/>
      <c r="V316" s="4"/>
      <c r="W316" s="4"/>
      <c r="X316" s="67"/>
      <c r="Y316" s="4"/>
      <c r="Z316" s="4"/>
      <c r="AA316" s="4"/>
      <c r="AB316" s="386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4"/>
      <c r="N317" s="3"/>
      <c r="O317" s="3"/>
      <c r="P317" s="4"/>
      <c r="Q317" s="4"/>
      <c r="R317" s="3"/>
      <c r="S317" s="4"/>
      <c r="T317" s="5"/>
      <c r="U317" s="4"/>
      <c r="V317" s="4"/>
      <c r="W317" s="4"/>
      <c r="X317" s="67"/>
      <c r="Y317" s="4"/>
      <c r="Z317" s="4"/>
      <c r="AA317" s="4"/>
      <c r="AB317" s="386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4"/>
      <c r="N318" s="3"/>
      <c r="O318" s="3"/>
      <c r="P318" s="4"/>
      <c r="Q318" s="4"/>
      <c r="R318" s="3"/>
      <c r="S318" s="4"/>
      <c r="T318" s="5"/>
      <c r="U318" s="4"/>
      <c r="V318" s="4"/>
      <c r="W318" s="4"/>
      <c r="X318" s="67"/>
      <c r="Y318" s="4"/>
      <c r="Z318" s="4"/>
      <c r="AA318" s="4"/>
      <c r="AB318" s="386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3"/>
      <c r="M319" s="4"/>
      <c r="N319" s="3"/>
      <c r="O319" s="3"/>
      <c r="P319" s="4"/>
      <c r="Q319" s="4"/>
      <c r="R319" s="3"/>
      <c r="S319" s="4"/>
      <c r="T319" s="5"/>
      <c r="U319" s="4"/>
      <c r="V319" s="4"/>
      <c r="W319" s="4"/>
      <c r="X319" s="67"/>
      <c r="Y319" s="4"/>
      <c r="Z319" s="4"/>
      <c r="AA319" s="4"/>
      <c r="AB319" s="386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3"/>
      <c r="M320" s="4"/>
      <c r="N320" s="3"/>
      <c r="O320" s="3"/>
      <c r="P320" s="4"/>
      <c r="Q320" s="4"/>
      <c r="R320" s="3"/>
      <c r="S320" s="4"/>
      <c r="T320" s="5"/>
      <c r="U320" s="4"/>
      <c r="V320" s="4"/>
      <c r="W320" s="4"/>
      <c r="X320" s="67"/>
      <c r="Y320" s="4"/>
      <c r="Z320" s="4"/>
      <c r="AA320" s="4"/>
      <c r="AB320" s="386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3"/>
      <c r="M321" s="4"/>
      <c r="N321" s="3"/>
      <c r="O321" s="3"/>
      <c r="P321" s="4"/>
      <c r="Q321" s="4"/>
      <c r="R321" s="3"/>
      <c r="S321" s="4"/>
      <c r="T321" s="5"/>
      <c r="U321" s="4"/>
      <c r="V321" s="4"/>
      <c r="W321" s="4"/>
      <c r="X321" s="67"/>
      <c r="Y321" s="4"/>
      <c r="Z321" s="4"/>
      <c r="AA321" s="4"/>
      <c r="AB321" s="386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3"/>
      <c r="M322" s="4"/>
      <c r="N322" s="3"/>
      <c r="O322" s="3"/>
      <c r="P322" s="4"/>
      <c r="Q322" s="4"/>
      <c r="R322" s="3"/>
      <c r="S322" s="4"/>
      <c r="T322" s="5"/>
      <c r="U322" s="4"/>
      <c r="V322" s="4"/>
      <c r="W322" s="4"/>
      <c r="X322" s="67"/>
      <c r="Y322" s="4"/>
      <c r="Z322" s="4"/>
      <c r="AA322" s="4"/>
      <c r="AB322" s="386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3"/>
      <c r="M323" s="4"/>
      <c r="N323" s="3"/>
      <c r="O323" s="3"/>
      <c r="P323" s="4"/>
      <c r="Q323" s="4"/>
      <c r="R323" s="3"/>
      <c r="S323" s="4"/>
      <c r="T323" s="5"/>
      <c r="U323" s="4"/>
      <c r="V323" s="4"/>
      <c r="W323" s="4"/>
      <c r="X323" s="67"/>
      <c r="Y323" s="4"/>
      <c r="Z323" s="4"/>
      <c r="AA323" s="4"/>
      <c r="AB323" s="386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3"/>
      <c r="M324" s="4"/>
      <c r="N324" s="3"/>
      <c r="O324" s="3"/>
      <c r="P324" s="4"/>
      <c r="Q324" s="4"/>
      <c r="R324" s="3"/>
      <c r="S324" s="4"/>
      <c r="T324" s="5"/>
      <c r="U324" s="4"/>
      <c r="V324" s="4"/>
      <c r="W324" s="4"/>
      <c r="X324" s="67"/>
      <c r="Y324" s="4"/>
      <c r="Z324" s="4"/>
      <c r="AA324" s="4"/>
      <c r="AB324" s="386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3"/>
      <c r="M325" s="4"/>
      <c r="N325" s="3"/>
      <c r="O325" s="3"/>
      <c r="P325" s="4"/>
      <c r="Q325" s="4"/>
      <c r="R325" s="3"/>
      <c r="S325" s="4"/>
      <c r="T325" s="5"/>
      <c r="U325" s="4"/>
      <c r="V325" s="4"/>
      <c r="W325" s="4"/>
      <c r="X325" s="67"/>
      <c r="Y325" s="4"/>
      <c r="Z325" s="4"/>
      <c r="AA325" s="4"/>
      <c r="AB325" s="386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4"/>
      <c r="N326" s="3"/>
      <c r="O326" s="3"/>
      <c r="P326" s="4"/>
      <c r="Q326" s="4"/>
      <c r="R326" s="3"/>
      <c r="S326" s="4"/>
      <c r="T326" s="5"/>
      <c r="U326" s="4"/>
      <c r="V326" s="4"/>
      <c r="W326" s="4"/>
      <c r="X326" s="67"/>
      <c r="Y326" s="4"/>
      <c r="Z326" s="4"/>
      <c r="AA326" s="4"/>
      <c r="AB326" s="386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4"/>
      <c r="N327" s="3"/>
      <c r="O327" s="3"/>
      <c r="P327" s="4"/>
      <c r="Q327" s="4"/>
      <c r="R327" s="3"/>
      <c r="S327" s="4"/>
      <c r="T327" s="5"/>
      <c r="U327" s="4"/>
      <c r="V327" s="4"/>
      <c r="W327" s="4"/>
      <c r="X327" s="67"/>
      <c r="Y327" s="4"/>
      <c r="Z327" s="4"/>
      <c r="AA327" s="4"/>
      <c r="AB327" s="386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4"/>
      <c r="N328" s="3"/>
      <c r="O328" s="3"/>
      <c r="P328" s="4"/>
      <c r="Q328" s="4"/>
      <c r="R328" s="3"/>
      <c r="S328" s="4"/>
      <c r="T328" s="5"/>
      <c r="U328" s="4"/>
      <c r="V328" s="4"/>
      <c r="W328" s="4"/>
      <c r="X328" s="67"/>
      <c r="Y328" s="4"/>
      <c r="Z328" s="4"/>
      <c r="AA328" s="4"/>
      <c r="AB328" s="386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4"/>
      <c r="N329" s="3"/>
      <c r="O329" s="3"/>
      <c r="P329" s="4"/>
      <c r="Q329" s="4"/>
      <c r="R329" s="3"/>
      <c r="S329" s="4"/>
      <c r="T329" s="5"/>
      <c r="U329" s="4"/>
      <c r="V329" s="4"/>
      <c r="W329" s="4"/>
      <c r="X329" s="67"/>
      <c r="Y329" s="4"/>
      <c r="Z329" s="4"/>
      <c r="AA329" s="4"/>
      <c r="AB329" s="386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4"/>
      <c r="N330" s="3"/>
      <c r="O330" s="3"/>
      <c r="P330" s="4"/>
      <c r="Q330" s="4"/>
      <c r="R330" s="3"/>
      <c r="S330" s="4"/>
      <c r="T330" s="5"/>
      <c r="U330" s="4"/>
      <c r="V330" s="4"/>
      <c r="W330" s="4"/>
      <c r="X330" s="67"/>
      <c r="Y330" s="4"/>
      <c r="Z330" s="4"/>
      <c r="AA330" s="4"/>
      <c r="AB330" s="386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4"/>
      <c r="N331" s="3"/>
      <c r="O331" s="3"/>
      <c r="P331" s="4"/>
      <c r="Q331" s="4"/>
      <c r="R331" s="3"/>
      <c r="S331" s="4"/>
      <c r="T331" s="5"/>
      <c r="U331" s="4"/>
      <c r="V331" s="4"/>
      <c r="W331" s="4"/>
      <c r="X331" s="67"/>
      <c r="Y331" s="4"/>
      <c r="Z331" s="4"/>
      <c r="AA331" s="4"/>
      <c r="AB331" s="386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4"/>
      <c r="N332" s="3"/>
      <c r="O332" s="3"/>
      <c r="P332" s="4"/>
      <c r="Q332" s="4"/>
      <c r="R332" s="3"/>
      <c r="S332" s="4"/>
      <c r="T332" s="5"/>
      <c r="U332" s="4"/>
      <c r="V332" s="4"/>
      <c r="W332" s="4"/>
      <c r="X332" s="67"/>
      <c r="Y332" s="4"/>
      <c r="Z332" s="4"/>
      <c r="AA332" s="4"/>
      <c r="AB332" s="386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4"/>
      <c r="N333" s="3"/>
      <c r="O333" s="3"/>
      <c r="P333" s="4"/>
      <c r="Q333" s="4"/>
      <c r="R333" s="3"/>
      <c r="S333" s="4"/>
      <c r="T333" s="5"/>
      <c r="U333" s="4"/>
      <c r="V333" s="4"/>
      <c r="W333" s="4"/>
      <c r="X333" s="67"/>
      <c r="Y333" s="4"/>
      <c r="Z333" s="4"/>
      <c r="AA333" s="4"/>
      <c r="AB333" s="386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4"/>
      <c r="N334" s="3"/>
      <c r="O334" s="3"/>
      <c r="P334" s="4"/>
      <c r="Q334" s="4"/>
      <c r="R334" s="3"/>
      <c r="S334" s="4"/>
      <c r="T334" s="5"/>
      <c r="U334" s="4"/>
      <c r="V334" s="4"/>
      <c r="W334" s="4"/>
      <c r="X334" s="67"/>
      <c r="Y334" s="4"/>
      <c r="Z334" s="4"/>
      <c r="AA334" s="4"/>
      <c r="AB334" s="386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4"/>
      <c r="N335" s="3"/>
      <c r="O335" s="3"/>
      <c r="P335" s="4"/>
      <c r="Q335" s="4"/>
      <c r="R335" s="3"/>
      <c r="S335" s="4"/>
      <c r="T335" s="5"/>
      <c r="U335" s="4"/>
      <c r="V335" s="4"/>
      <c r="W335" s="4"/>
      <c r="X335" s="67"/>
      <c r="Y335" s="4"/>
      <c r="Z335" s="4"/>
      <c r="AA335" s="4"/>
      <c r="AB335" s="386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4"/>
      <c r="N336" s="3"/>
      <c r="O336" s="3"/>
      <c r="P336" s="4"/>
      <c r="Q336" s="4"/>
      <c r="R336" s="3"/>
      <c r="S336" s="4"/>
      <c r="T336" s="5"/>
      <c r="U336" s="4"/>
      <c r="V336" s="4"/>
      <c r="W336" s="4"/>
      <c r="X336" s="67"/>
      <c r="Y336" s="4"/>
      <c r="Z336" s="4"/>
      <c r="AA336" s="4"/>
      <c r="AB336" s="386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4"/>
      <c r="N337" s="3"/>
      <c r="O337" s="3"/>
      <c r="P337" s="4"/>
      <c r="Q337" s="4"/>
      <c r="R337" s="3"/>
      <c r="S337" s="4"/>
      <c r="T337" s="5"/>
      <c r="U337" s="4"/>
      <c r="V337" s="4"/>
      <c r="W337" s="4"/>
      <c r="X337" s="67"/>
      <c r="Y337" s="4"/>
      <c r="Z337" s="4"/>
      <c r="AA337" s="4"/>
      <c r="AB337" s="386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4"/>
      <c r="N338" s="3"/>
      <c r="O338" s="3"/>
      <c r="P338" s="4"/>
      <c r="Q338" s="4"/>
      <c r="R338" s="3"/>
      <c r="S338" s="4"/>
      <c r="T338" s="5"/>
      <c r="U338" s="4"/>
      <c r="V338" s="4"/>
      <c r="W338" s="4"/>
      <c r="X338" s="67"/>
      <c r="Y338" s="4"/>
      <c r="Z338" s="4"/>
      <c r="AA338" s="4"/>
      <c r="AB338" s="386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4"/>
      <c r="N339" s="3"/>
      <c r="O339" s="3"/>
      <c r="P339" s="4"/>
      <c r="Q339" s="4"/>
      <c r="R339" s="3"/>
      <c r="S339" s="4"/>
      <c r="T339" s="5"/>
      <c r="U339" s="4"/>
      <c r="V339" s="4"/>
      <c r="W339" s="4"/>
      <c r="X339" s="67"/>
      <c r="Y339" s="4"/>
      <c r="Z339" s="4"/>
      <c r="AA339" s="4"/>
      <c r="AB339" s="386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3"/>
      <c r="M340" s="4"/>
      <c r="N340" s="3"/>
      <c r="O340" s="3"/>
      <c r="P340" s="4"/>
      <c r="Q340" s="4"/>
      <c r="R340" s="3"/>
      <c r="S340" s="4"/>
      <c r="T340" s="5"/>
      <c r="U340" s="4"/>
      <c r="V340" s="4"/>
      <c r="W340" s="4"/>
      <c r="X340" s="67"/>
      <c r="Y340" s="4"/>
      <c r="Z340" s="4"/>
      <c r="AA340" s="4"/>
      <c r="AB340" s="386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4"/>
      <c r="N341" s="3"/>
      <c r="O341" s="3"/>
      <c r="P341" s="4"/>
      <c r="Q341" s="4"/>
      <c r="R341" s="3"/>
      <c r="S341" s="4"/>
      <c r="T341" s="5"/>
      <c r="U341" s="4"/>
      <c r="V341" s="4"/>
      <c r="W341" s="4"/>
      <c r="X341" s="67"/>
      <c r="Y341" s="4"/>
      <c r="Z341" s="4"/>
      <c r="AA341" s="4"/>
      <c r="AB341" s="386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  <c r="M342" s="4"/>
      <c r="N342" s="3"/>
      <c r="O342" s="3"/>
      <c r="P342" s="4"/>
      <c r="Q342" s="4"/>
      <c r="R342" s="3"/>
      <c r="S342" s="4"/>
      <c r="T342" s="5"/>
      <c r="U342" s="4"/>
      <c r="V342" s="4"/>
      <c r="W342" s="4"/>
      <c r="X342" s="67"/>
      <c r="Y342" s="4"/>
      <c r="Z342" s="4"/>
      <c r="AA342" s="4"/>
      <c r="AB342" s="386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4"/>
      <c r="N343" s="3"/>
      <c r="O343" s="3"/>
      <c r="P343" s="4"/>
      <c r="Q343" s="4"/>
      <c r="R343" s="3"/>
      <c r="S343" s="4"/>
      <c r="T343" s="5"/>
      <c r="U343" s="4"/>
      <c r="V343" s="4"/>
      <c r="W343" s="4"/>
      <c r="X343" s="67"/>
      <c r="Y343" s="4"/>
      <c r="Z343" s="4"/>
      <c r="AA343" s="4"/>
      <c r="AB343" s="386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  <c r="M344" s="4"/>
      <c r="N344" s="3"/>
      <c r="O344" s="3"/>
      <c r="P344" s="4"/>
      <c r="Q344" s="4"/>
      <c r="R344" s="3"/>
      <c r="S344" s="4"/>
      <c r="T344" s="5"/>
      <c r="U344" s="4"/>
      <c r="V344" s="4"/>
      <c r="W344" s="4"/>
      <c r="X344" s="67"/>
      <c r="Y344" s="4"/>
      <c r="Z344" s="4"/>
      <c r="AA344" s="4"/>
      <c r="AB344" s="386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  <c r="M345" s="4"/>
      <c r="N345" s="3"/>
      <c r="O345" s="3"/>
      <c r="P345" s="4"/>
      <c r="Q345" s="4"/>
      <c r="R345" s="3"/>
      <c r="S345" s="4"/>
      <c r="T345" s="5"/>
      <c r="U345" s="4"/>
      <c r="V345" s="4"/>
      <c r="W345" s="4"/>
      <c r="X345" s="67"/>
      <c r="Y345" s="4"/>
      <c r="Z345" s="4"/>
      <c r="AA345" s="4"/>
      <c r="AB345" s="386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  <c r="M346" s="4"/>
      <c r="N346" s="3"/>
      <c r="O346" s="3"/>
      <c r="P346" s="4"/>
      <c r="Q346" s="4"/>
      <c r="R346" s="3"/>
      <c r="S346" s="4"/>
      <c r="T346" s="5"/>
      <c r="U346" s="4"/>
      <c r="V346" s="4"/>
      <c r="W346" s="4"/>
      <c r="X346" s="67"/>
      <c r="Y346" s="4"/>
      <c r="Z346" s="4"/>
      <c r="AA346" s="4"/>
      <c r="AB346" s="386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4"/>
      <c r="N347" s="3"/>
      <c r="O347" s="3"/>
      <c r="P347" s="4"/>
      <c r="Q347" s="4"/>
      <c r="R347" s="3"/>
      <c r="S347" s="4"/>
      <c r="T347" s="5"/>
      <c r="U347" s="4"/>
      <c r="V347" s="4"/>
      <c r="W347" s="4"/>
      <c r="X347" s="67"/>
      <c r="Y347" s="4"/>
      <c r="Z347" s="4"/>
      <c r="AA347" s="4"/>
      <c r="AB347" s="386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  <c r="M348" s="4"/>
      <c r="N348" s="3"/>
      <c r="O348" s="3"/>
      <c r="P348" s="4"/>
      <c r="Q348" s="4"/>
      <c r="R348" s="3"/>
      <c r="S348" s="4"/>
      <c r="T348" s="5"/>
      <c r="U348" s="4"/>
      <c r="V348" s="4"/>
      <c r="W348" s="4"/>
      <c r="X348" s="67"/>
      <c r="Y348" s="4"/>
      <c r="Z348" s="4"/>
      <c r="AA348" s="4"/>
      <c r="AB348" s="386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4"/>
      <c r="N349" s="3"/>
      <c r="O349" s="3"/>
      <c r="P349" s="4"/>
      <c r="Q349" s="4"/>
      <c r="R349" s="3"/>
      <c r="S349" s="4"/>
      <c r="T349" s="5"/>
      <c r="U349" s="4"/>
      <c r="V349" s="4"/>
      <c r="W349" s="4"/>
      <c r="X349" s="67"/>
      <c r="Y349" s="4"/>
      <c r="Z349" s="4"/>
      <c r="AA349" s="4"/>
      <c r="AB349" s="386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  <c r="M350" s="4"/>
      <c r="N350" s="3"/>
      <c r="O350" s="3"/>
      <c r="P350" s="4"/>
      <c r="Q350" s="4"/>
      <c r="R350" s="3"/>
      <c r="S350" s="4"/>
      <c r="T350" s="5"/>
      <c r="U350" s="4"/>
      <c r="V350" s="4"/>
      <c r="W350" s="4"/>
      <c r="X350" s="67"/>
      <c r="Y350" s="4"/>
      <c r="Z350" s="4"/>
      <c r="AA350" s="4"/>
      <c r="AB350" s="386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  <c r="M351" s="4"/>
      <c r="N351" s="3"/>
      <c r="O351" s="3"/>
      <c r="P351" s="4"/>
      <c r="Q351" s="4"/>
      <c r="R351" s="3"/>
      <c r="S351" s="4"/>
      <c r="T351" s="5"/>
      <c r="U351" s="4"/>
      <c r="V351" s="4"/>
      <c r="W351" s="4"/>
      <c r="X351" s="67"/>
      <c r="Y351" s="4"/>
      <c r="Z351" s="4"/>
      <c r="AA351" s="4"/>
      <c r="AB351" s="386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4"/>
      <c r="N352" s="3"/>
      <c r="O352" s="3"/>
      <c r="P352" s="4"/>
      <c r="Q352" s="4"/>
      <c r="R352" s="3"/>
      <c r="S352" s="4"/>
      <c r="T352" s="5"/>
      <c r="U352" s="4"/>
      <c r="V352" s="4"/>
      <c r="W352" s="4"/>
      <c r="X352" s="67"/>
      <c r="Y352" s="4"/>
      <c r="Z352" s="4"/>
      <c r="AA352" s="4"/>
      <c r="AB352" s="386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  <c r="M353" s="4"/>
      <c r="N353" s="3"/>
      <c r="O353" s="3"/>
      <c r="P353" s="4"/>
      <c r="Q353" s="4"/>
      <c r="R353" s="3"/>
      <c r="S353" s="4"/>
      <c r="T353" s="5"/>
      <c r="U353" s="4"/>
      <c r="V353" s="4"/>
      <c r="W353" s="4"/>
      <c r="X353" s="67"/>
      <c r="Y353" s="4"/>
      <c r="Z353" s="4"/>
      <c r="AA353" s="4"/>
      <c r="AB353" s="386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  <c r="M354" s="4"/>
      <c r="N354" s="3"/>
      <c r="O354" s="3"/>
      <c r="P354" s="4"/>
      <c r="Q354" s="4"/>
      <c r="R354" s="3"/>
      <c r="S354" s="4"/>
      <c r="T354" s="5"/>
      <c r="U354" s="4"/>
      <c r="V354" s="4"/>
      <c r="W354" s="4"/>
      <c r="X354" s="67"/>
      <c r="Y354" s="4"/>
      <c r="Z354" s="4"/>
      <c r="AA354" s="4"/>
      <c r="AB354" s="386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  <c r="M355" s="4"/>
      <c r="N355" s="3"/>
      <c r="O355" s="3"/>
      <c r="P355" s="4"/>
      <c r="Q355" s="4"/>
      <c r="R355" s="3"/>
      <c r="S355" s="4"/>
      <c r="T355" s="5"/>
      <c r="U355" s="4"/>
      <c r="V355" s="4"/>
      <c r="W355" s="4"/>
      <c r="X355" s="67"/>
      <c r="Y355" s="4"/>
      <c r="Z355" s="4"/>
      <c r="AA355" s="4"/>
      <c r="AB355" s="386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  <c r="M356" s="4"/>
      <c r="N356" s="3"/>
      <c r="O356" s="3"/>
      <c r="P356" s="4"/>
      <c r="Q356" s="4"/>
      <c r="R356" s="3"/>
      <c r="S356" s="4"/>
      <c r="T356" s="5"/>
      <c r="U356" s="4"/>
      <c r="V356" s="4"/>
      <c r="W356" s="4"/>
      <c r="X356" s="67"/>
      <c r="Y356" s="4"/>
      <c r="Z356" s="4"/>
      <c r="AA356" s="4"/>
      <c r="AB356" s="386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  <c r="M357" s="4"/>
      <c r="N357" s="3"/>
      <c r="O357" s="3"/>
      <c r="P357" s="4"/>
      <c r="Q357" s="4"/>
      <c r="R357" s="3"/>
      <c r="S357" s="4"/>
      <c r="T357" s="5"/>
      <c r="U357" s="4"/>
      <c r="V357" s="4"/>
      <c r="W357" s="4"/>
      <c r="X357" s="67"/>
      <c r="Y357" s="4"/>
      <c r="Z357" s="4"/>
      <c r="AA357" s="4"/>
      <c r="AB357" s="386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  <c r="M358" s="4"/>
      <c r="N358" s="3"/>
      <c r="O358" s="3"/>
      <c r="P358" s="4"/>
      <c r="Q358" s="4"/>
      <c r="R358" s="3"/>
      <c r="S358" s="4"/>
      <c r="T358" s="5"/>
      <c r="U358" s="4"/>
      <c r="V358" s="4"/>
      <c r="W358" s="4"/>
      <c r="X358" s="67"/>
      <c r="Y358" s="4"/>
      <c r="Z358" s="4"/>
      <c r="AA358" s="4"/>
      <c r="AB358" s="386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4"/>
      <c r="N359" s="3"/>
      <c r="O359" s="3"/>
      <c r="P359" s="4"/>
      <c r="Q359" s="4"/>
      <c r="R359" s="3"/>
      <c r="S359" s="4"/>
      <c r="T359" s="5"/>
      <c r="U359" s="4"/>
      <c r="V359" s="4"/>
      <c r="W359" s="4"/>
      <c r="X359" s="67"/>
      <c r="Y359" s="4"/>
      <c r="Z359" s="4"/>
      <c r="AA359" s="4"/>
      <c r="AB359" s="386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4"/>
      <c r="N360" s="3"/>
      <c r="O360" s="3"/>
      <c r="P360" s="4"/>
      <c r="Q360" s="4"/>
      <c r="R360" s="3"/>
      <c r="S360" s="4"/>
      <c r="T360" s="5"/>
      <c r="U360" s="4"/>
      <c r="V360" s="4"/>
      <c r="W360" s="4"/>
      <c r="X360" s="67"/>
      <c r="Y360" s="4"/>
      <c r="Z360" s="4"/>
      <c r="AA360" s="4"/>
      <c r="AB360" s="386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  <c r="M361" s="4"/>
      <c r="N361" s="3"/>
      <c r="O361" s="3"/>
      <c r="P361" s="4"/>
      <c r="Q361" s="4"/>
      <c r="R361" s="3"/>
      <c r="S361" s="4"/>
      <c r="T361" s="5"/>
      <c r="U361" s="4"/>
      <c r="V361" s="4"/>
      <c r="W361" s="4"/>
      <c r="X361" s="67"/>
      <c r="Y361" s="4"/>
      <c r="Z361" s="4"/>
      <c r="AA361" s="4"/>
      <c r="AB361" s="386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  <c r="M362" s="4"/>
      <c r="N362" s="3"/>
      <c r="O362" s="3"/>
      <c r="P362" s="4"/>
      <c r="Q362" s="4"/>
      <c r="R362" s="3"/>
      <c r="S362" s="4"/>
      <c r="T362" s="5"/>
      <c r="U362" s="4"/>
      <c r="V362" s="4"/>
      <c r="W362" s="4"/>
      <c r="X362" s="67"/>
      <c r="Y362" s="4"/>
      <c r="Z362" s="4"/>
      <c r="AA362" s="4"/>
      <c r="AB362" s="386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  <c r="M363" s="4"/>
      <c r="N363" s="3"/>
      <c r="O363" s="3"/>
      <c r="P363" s="4"/>
      <c r="Q363" s="4"/>
      <c r="R363" s="3"/>
      <c r="S363" s="4"/>
      <c r="T363" s="5"/>
      <c r="U363" s="4"/>
      <c r="V363" s="4"/>
      <c r="W363" s="4"/>
      <c r="X363" s="67"/>
      <c r="Y363" s="4"/>
      <c r="Z363" s="4"/>
      <c r="AA363" s="4"/>
      <c r="AB363" s="386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  <c r="M364" s="4"/>
      <c r="N364" s="3"/>
      <c r="O364" s="3"/>
      <c r="P364" s="4"/>
      <c r="Q364" s="4"/>
      <c r="R364" s="3"/>
      <c r="S364" s="4"/>
      <c r="T364" s="5"/>
      <c r="U364" s="4"/>
      <c r="V364" s="4"/>
      <c r="W364" s="4"/>
      <c r="X364" s="67"/>
      <c r="Y364" s="4"/>
      <c r="Z364" s="4"/>
      <c r="AA364" s="4"/>
      <c r="AB364" s="386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4"/>
      <c r="N365" s="3"/>
      <c r="O365" s="3"/>
      <c r="P365" s="4"/>
      <c r="Q365" s="4"/>
      <c r="R365" s="3"/>
      <c r="S365" s="4"/>
      <c r="T365" s="5"/>
      <c r="U365" s="4"/>
      <c r="V365" s="4"/>
      <c r="W365" s="4"/>
      <c r="X365" s="67"/>
      <c r="Y365" s="4"/>
      <c r="Z365" s="4"/>
      <c r="AA365" s="4"/>
      <c r="AB365" s="386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3"/>
      <c r="M366" s="4"/>
      <c r="N366" s="3"/>
      <c r="O366" s="3"/>
      <c r="P366" s="4"/>
      <c r="Q366" s="4"/>
      <c r="R366" s="3"/>
      <c r="S366" s="4"/>
      <c r="T366" s="5"/>
      <c r="U366" s="4"/>
      <c r="V366" s="4"/>
      <c r="W366" s="4"/>
      <c r="X366" s="67"/>
      <c r="Y366" s="4"/>
      <c r="Z366" s="4"/>
      <c r="AA366" s="4"/>
      <c r="AB366" s="386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3"/>
      <c r="M367" s="4"/>
      <c r="N367" s="3"/>
      <c r="O367" s="3"/>
      <c r="P367" s="4"/>
      <c r="Q367" s="4"/>
      <c r="R367" s="3"/>
      <c r="S367" s="4"/>
      <c r="T367" s="5"/>
      <c r="U367" s="4"/>
      <c r="V367" s="4"/>
      <c r="W367" s="4"/>
      <c r="X367" s="67"/>
      <c r="Y367" s="4"/>
      <c r="Z367" s="4"/>
      <c r="AA367" s="4"/>
      <c r="AB367" s="386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3"/>
      <c r="M368" s="4"/>
      <c r="N368" s="3"/>
      <c r="O368" s="3"/>
      <c r="P368" s="4"/>
      <c r="Q368" s="4"/>
      <c r="R368" s="3"/>
      <c r="S368" s="4"/>
      <c r="T368" s="5"/>
      <c r="U368" s="4"/>
      <c r="V368" s="4"/>
      <c r="W368" s="4"/>
      <c r="X368" s="67"/>
      <c r="Y368" s="4"/>
      <c r="Z368" s="4"/>
      <c r="AA368" s="4"/>
      <c r="AB368" s="386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3"/>
      <c r="M369" s="4"/>
      <c r="N369" s="3"/>
      <c r="O369" s="3"/>
      <c r="P369" s="4"/>
      <c r="Q369" s="4"/>
      <c r="R369" s="3"/>
      <c r="S369" s="4"/>
      <c r="T369" s="5"/>
      <c r="U369" s="4"/>
      <c r="V369" s="4"/>
      <c r="W369" s="4"/>
      <c r="X369" s="67"/>
      <c r="Y369" s="4"/>
      <c r="Z369" s="4"/>
      <c r="AA369" s="4"/>
      <c r="AB369" s="386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3"/>
      <c r="M370" s="4"/>
      <c r="N370" s="3"/>
      <c r="O370" s="3"/>
      <c r="P370" s="4"/>
      <c r="Q370" s="4"/>
      <c r="R370" s="3"/>
      <c r="S370" s="4"/>
      <c r="T370" s="5"/>
      <c r="U370" s="4"/>
      <c r="V370" s="4"/>
      <c r="W370" s="4"/>
      <c r="X370" s="67"/>
      <c r="Y370" s="4"/>
      <c r="Z370" s="4"/>
      <c r="AA370" s="4"/>
      <c r="AB370" s="386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3"/>
      <c r="M371" s="4"/>
      <c r="N371" s="3"/>
      <c r="O371" s="3"/>
      <c r="P371" s="4"/>
      <c r="Q371" s="4"/>
      <c r="R371" s="3"/>
      <c r="S371" s="4"/>
      <c r="T371" s="5"/>
      <c r="U371" s="4"/>
      <c r="V371" s="4"/>
      <c r="W371" s="4"/>
      <c r="X371" s="67"/>
      <c r="Y371" s="4"/>
      <c r="Z371" s="4"/>
      <c r="AA371" s="4"/>
      <c r="AB371" s="386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3"/>
      <c r="M372" s="4"/>
      <c r="N372" s="3"/>
      <c r="O372" s="3"/>
      <c r="P372" s="4"/>
      <c r="Q372" s="4"/>
      <c r="R372" s="3"/>
      <c r="S372" s="4"/>
      <c r="T372" s="5"/>
      <c r="U372" s="4"/>
      <c r="V372" s="4"/>
      <c r="W372" s="4"/>
      <c r="X372" s="67"/>
      <c r="Y372" s="4"/>
      <c r="Z372" s="4"/>
      <c r="AA372" s="4"/>
      <c r="AB372" s="386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3"/>
      <c r="M373" s="4"/>
      <c r="N373" s="3"/>
      <c r="O373" s="3"/>
      <c r="P373" s="4"/>
      <c r="Q373" s="4"/>
      <c r="R373" s="3"/>
      <c r="S373" s="4"/>
      <c r="T373" s="5"/>
      <c r="U373" s="4"/>
      <c r="V373" s="4"/>
      <c r="W373" s="4"/>
      <c r="X373" s="67"/>
      <c r="Y373" s="4"/>
      <c r="Z373" s="4"/>
      <c r="AA373" s="4"/>
      <c r="AB373" s="386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3"/>
      <c r="M374" s="4"/>
      <c r="N374" s="3"/>
      <c r="O374" s="3"/>
      <c r="P374" s="4"/>
      <c r="Q374" s="4"/>
      <c r="R374" s="3"/>
      <c r="S374" s="4"/>
      <c r="T374" s="5"/>
      <c r="U374" s="4"/>
      <c r="V374" s="4"/>
      <c r="W374" s="4"/>
      <c r="X374" s="67"/>
      <c r="Y374" s="4"/>
      <c r="Z374" s="4"/>
      <c r="AA374" s="4"/>
      <c r="AB374" s="386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3"/>
      <c r="M375" s="4"/>
      <c r="N375" s="3"/>
      <c r="O375" s="3"/>
      <c r="P375" s="4"/>
      <c r="Q375" s="4"/>
      <c r="R375" s="3"/>
      <c r="S375" s="4"/>
      <c r="T375" s="5"/>
      <c r="U375" s="4"/>
      <c r="V375" s="4"/>
      <c r="W375" s="4"/>
      <c r="X375" s="67"/>
      <c r="Y375" s="4"/>
      <c r="Z375" s="4"/>
      <c r="AA375" s="4"/>
      <c r="AB375" s="386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3"/>
      <c r="M376" s="4"/>
      <c r="N376" s="3"/>
      <c r="O376" s="3"/>
      <c r="P376" s="4"/>
      <c r="Q376" s="4"/>
      <c r="R376" s="3"/>
      <c r="S376" s="4"/>
      <c r="T376" s="5"/>
      <c r="U376" s="4"/>
      <c r="V376" s="4"/>
      <c r="W376" s="4"/>
      <c r="X376" s="67"/>
      <c r="Y376" s="4"/>
      <c r="Z376" s="4"/>
      <c r="AA376" s="4"/>
      <c r="AB376" s="386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3"/>
      <c r="M377" s="4"/>
      <c r="N377" s="3"/>
      <c r="O377" s="3"/>
      <c r="P377" s="4"/>
      <c r="Q377" s="4"/>
      <c r="R377" s="3"/>
      <c r="S377" s="4"/>
      <c r="T377" s="5"/>
      <c r="U377" s="4"/>
      <c r="V377" s="4"/>
      <c r="W377" s="4"/>
      <c r="X377" s="67"/>
      <c r="Y377" s="4"/>
      <c r="Z377" s="4"/>
      <c r="AA377" s="4"/>
      <c r="AB377" s="386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3"/>
      <c r="M378" s="4"/>
      <c r="N378" s="3"/>
      <c r="O378" s="3"/>
      <c r="P378" s="4"/>
      <c r="Q378" s="4"/>
      <c r="R378" s="3"/>
      <c r="S378" s="4"/>
      <c r="T378" s="5"/>
      <c r="U378" s="4"/>
      <c r="V378" s="4"/>
      <c r="W378" s="4"/>
      <c r="X378" s="67"/>
      <c r="Y378" s="4"/>
      <c r="Z378" s="4"/>
      <c r="AA378" s="4"/>
      <c r="AB378" s="386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3"/>
      <c r="M379" s="4"/>
      <c r="N379" s="3"/>
      <c r="O379" s="3"/>
      <c r="P379" s="4"/>
      <c r="Q379" s="4"/>
      <c r="R379" s="3"/>
      <c r="S379" s="4"/>
      <c r="T379" s="5"/>
      <c r="U379" s="4"/>
      <c r="V379" s="4"/>
      <c r="W379" s="4"/>
      <c r="X379" s="67"/>
      <c r="Y379" s="4"/>
      <c r="Z379" s="4"/>
      <c r="AA379" s="4"/>
      <c r="AB379" s="386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3"/>
      <c r="M380" s="4"/>
      <c r="N380" s="3"/>
      <c r="O380" s="3"/>
      <c r="P380" s="4"/>
      <c r="Q380" s="4"/>
      <c r="R380" s="3"/>
      <c r="S380" s="4"/>
      <c r="T380" s="5"/>
      <c r="U380" s="4"/>
      <c r="V380" s="4"/>
      <c r="W380" s="4"/>
      <c r="X380" s="67"/>
      <c r="Y380" s="4"/>
      <c r="Z380" s="4"/>
      <c r="AA380" s="4"/>
      <c r="AB380" s="386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3"/>
      <c r="M381" s="4"/>
      <c r="N381" s="3"/>
      <c r="O381" s="3"/>
      <c r="P381" s="4"/>
      <c r="Q381" s="4"/>
      <c r="R381" s="3"/>
      <c r="S381" s="4"/>
      <c r="T381" s="5"/>
      <c r="U381" s="4"/>
      <c r="V381" s="4"/>
      <c r="W381" s="4"/>
      <c r="X381" s="67"/>
      <c r="Y381" s="4"/>
      <c r="Z381" s="4"/>
      <c r="AA381" s="4"/>
      <c r="AB381" s="386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3"/>
      <c r="M382" s="4"/>
      <c r="N382" s="3"/>
      <c r="O382" s="3"/>
      <c r="P382" s="4"/>
      <c r="Q382" s="4"/>
      <c r="R382" s="3"/>
      <c r="S382" s="4"/>
      <c r="T382" s="5"/>
      <c r="U382" s="4"/>
      <c r="V382" s="4"/>
      <c r="W382" s="4"/>
      <c r="X382" s="67"/>
      <c r="Y382" s="4"/>
      <c r="Z382" s="4"/>
      <c r="AA382" s="4"/>
      <c r="AB382" s="386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3"/>
      <c r="M383" s="4"/>
      <c r="N383" s="3"/>
      <c r="O383" s="3"/>
      <c r="P383" s="4"/>
      <c r="Q383" s="4"/>
      <c r="R383" s="3"/>
      <c r="S383" s="4"/>
      <c r="T383" s="5"/>
      <c r="U383" s="4"/>
      <c r="V383" s="4"/>
      <c r="W383" s="4"/>
      <c r="X383" s="67"/>
      <c r="Y383" s="4"/>
      <c r="Z383" s="4"/>
      <c r="AA383" s="4"/>
      <c r="AB383" s="386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3"/>
      <c r="M384" s="4"/>
      <c r="N384" s="3"/>
      <c r="O384" s="3"/>
      <c r="P384" s="4"/>
      <c r="Q384" s="4"/>
      <c r="R384" s="3"/>
      <c r="S384" s="4"/>
      <c r="T384" s="5"/>
      <c r="U384" s="4"/>
      <c r="V384" s="4"/>
      <c r="W384" s="4"/>
      <c r="X384" s="67"/>
      <c r="Y384" s="4"/>
      <c r="Z384" s="4"/>
      <c r="AA384" s="4"/>
      <c r="AB384" s="386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3"/>
      <c r="M385" s="4"/>
      <c r="N385" s="3"/>
      <c r="O385" s="3"/>
      <c r="P385" s="4"/>
      <c r="Q385" s="4"/>
      <c r="R385" s="3"/>
      <c r="S385" s="4"/>
      <c r="T385" s="5"/>
      <c r="U385" s="4"/>
      <c r="V385" s="4"/>
      <c r="W385" s="4"/>
      <c r="X385" s="67"/>
      <c r="Y385" s="4"/>
      <c r="Z385" s="4"/>
      <c r="AA385" s="4"/>
      <c r="AB385" s="386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3"/>
      <c r="M386" s="4"/>
      <c r="N386" s="3"/>
      <c r="O386" s="3"/>
      <c r="P386" s="4"/>
      <c r="Q386" s="4"/>
      <c r="R386" s="3"/>
      <c r="S386" s="4"/>
      <c r="T386" s="5"/>
      <c r="U386" s="4"/>
      <c r="V386" s="4"/>
      <c r="W386" s="4"/>
      <c r="X386" s="67"/>
      <c r="Y386" s="4"/>
      <c r="Z386" s="4"/>
      <c r="AA386" s="4"/>
      <c r="AB386" s="386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3"/>
      <c r="M387" s="4"/>
      <c r="N387" s="3"/>
      <c r="O387" s="3"/>
      <c r="P387" s="4"/>
      <c r="Q387" s="4"/>
      <c r="R387" s="3"/>
      <c r="S387" s="4"/>
      <c r="T387" s="5"/>
      <c r="U387" s="4"/>
      <c r="V387" s="4"/>
      <c r="W387" s="4"/>
      <c r="X387" s="67"/>
      <c r="Y387" s="4"/>
      <c r="Z387" s="4"/>
      <c r="AA387" s="4"/>
      <c r="AB387" s="386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3"/>
      <c r="M388" s="4"/>
      <c r="N388" s="3"/>
      <c r="O388" s="3"/>
      <c r="P388" s="4"/>
      <c r="Q388" s="4"/>
      <c r="R388" s="3"/>
      <c r="S388" s="4"/>
      <c r="T388" s="5"/>
      <c r="U388" s="4"/>
      <c r="V388" s="4"/>
      <c r="W388" s="4"/>
      <c r="X388" s="67"/>
      <c r="Y388" s="4"/>
      <c r="Z388" s="4"/>
      <c r="AA388" s="4"/>
      <c r="AB388" s="386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3"/>
      <c r="M389" s="4"/>
      <c r="N389" s="3"/>
      <c r="O389" s="3"/>
      <c r="P389" s="4"/>
      <c r="Q389" s="4"/>
      <c r="R389" s="3"/>
      <c r="S389" s="4"/>
      <c r="T389" s="5"/>
      <c r="U389" s="4"/>
      <c r="V389" s="4"/>
      <c r="W389" s="4"/>
      <c r="X389" s="67"/>
      <c r="Y389" s="4"/>
      <c r="Z389" s="4"/>
      <c r="AA389" s="4"/>
      <c r="AB389" s="386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3"/>
      <c r="M390" s="4"/>
      <c r="N390" s="3"/>
      <c r="O390" s="3"/>
      <c r="P390" s="4"/>
      <c r="Q390" s="4"/>
      <c r="R390" s="3"/>
      <c r="S390" s="4"/>
      <c r="T390" s="5"/>
      <c r="U390" s="4"/>
      <c r="V390" s="4"/>
      <c r="W390" s="4"/>
      <c r="X390" s="67"/>
      <c r="Y390" s="4"/>
      <c r="Z390" s="4"/>
      <c r="AA390" s="4"/>
      <c r="AB390" s="386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3"/>
      <c r="M391" s="4"/>
      <c r="N391" s="3"/>
      <c r="O391" s="3"/>
      <c r="P391" s="4"/>
      <c r="Q391" s="4"/>
      <c r="R391" s="3"/>
      <c r="S391" s="4"/>
      <c r="T391" s="5"/>
      <c r="U391" s="4"/>
      <c r="V391" s="4"/>
      <c r="W391" s="4"/>
      <c r="X391" s="67"/>
      <c r="Y391" s="4"/>
      <c r="Z391" s="4"/>
      <c r="AA391" s="4"/>
      <c r="AB391" s="386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3"/>
      <c r="M392" s="4"/>
      <c r="N392" s="3"/>
      <c r="O392" s="3"/>
      <c r="P392" s="4"/>
      <c r="Q392" s="4"/>
      <c r="R392" s="3"/>
      <c r="S392" s="4"/>
      <c r="T392" s="5"/>
      <c r="U392" s="4"/>
      <c r="V392" s="4"/>
      <c r="W392" s="4"/>
      <c r="X392" s="67"/>
      <c r="Y392" s="4"/>
      <c r="Z392" s="4"/>
      <c r="AA392" s="4"/>
      <c r="AB392" s="386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3"/>
      <c r="M393" s="4"/>
      <c r="N393" s="3"/>
      <c r="O393" s="3"/>
      <c r="P393" s="4"/>
      <c r="Q393" s="4"/>
      <c r="R393" s="3"/>
      <c r="S393" s="4"/>
      <c r="T393" s="5"/>
      <c r="U393" s="4"/>
      <c r="V393" s="4"/>
      <c r="W393" s="4"/>
      <c r="X393" s="67"/>
      <c r="Y393" s="4"/>
      <c r="Z393" s="4"/>
      <c r="AA393" s="4"/>
      <c r="AB393" s="386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3"/>
      <c r="M394" s="4"/>
      <c r="N394" s="3"/>
      <c r="O394" s="3"/>
      <c r="P394" s="4"/>
      <c r="Q394" s="4"/>
      <c r="R394" s="3"/>
      <c r="S394" s="4"/>
      <c r="T394" s="5"/>
      <c r="U394" s="4"/>
      <c r="V394" s="4"/>
      <c r="W394" s="4"/>
      <c r="X394" s="67"/>
      <c r="Y394" s="4"/>
      <c r="Z394" s="4"/>
      <c r="AA394" s="4"/>
      <c r="AB394" s="386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3"/>
      <c r="M395" s="4"/>
      <c r="N395" s="3"/>
      <c r="O395" s="3"/>
      <c r="P395" s="4"/>
      <c r="Q395" s="4"/>
      <c r="R395" s="3"/>
      <c r="S395" s="4"/>
      <c r="T395" s="5"/>
      <c r="U395" s="4"/>
      <c r="V395" s="4"/>
      <c r="W395" s="4"/>
      <c r="X395" s="67"/>
      <c r="Y395" s="4"/>
      <c r="Z395" s="4"/>
      <c r="AA395" s="4"/>
      <c r="AB395" s="386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3"/>
      <c r="M396" s="4"/>
      <c r="N396" s="3"/>
      <c r="O396" s="3"/>
      <c r="P396" s="4"/>
      <c r="Q396" s="4"/>
      <c r="R396" s="3"/>
      <c r="S396" s="4"/>
      <c r="T396" s="5"/>
      <c r="U396" s="4"/>
      <c r="V396" s="4"/>
      <c r="W396" s="4"/>
      <c r="X396" s="67"/>
      <c r="Y396" s="4"/>
      <c r="Z396" s="4"/>
      <c r="AA396" s="4"/>
      <c r="AB396" s="386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3"/>
      <c r="M397" s="4"/>
      <c r="N397" s="3"/>
      <c r="O397" s="3"/>
      <c r="P397" s="4"/>
      <c r="Q397" s="4"/>
      <c r="R397" s="3"/>
      <c r="S397" s="4"/>
      <c r="T397" s="5"/>
      <c r="U397" s="4"/>
      <c r="V397" s="4"/>
      <c r="W397" s="4"/>
      <c r="X397" s="67"/>
      <c r="Y397" s="4"/>
      <c r="Z397" s="4"/>
      <c r="AA397" s="4"/>
      <c r="AB397" s="386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3"/>
      <c r="M398" s="4"/>
      <c r="N398" s="3"/>
      <c r="O398" s="3"/>
      <c r="P398" s="4"/>
      <c r="Q398" s="4"/>
      <c r="R398" s="3"/>
      <c r="S398" s="4"/>
      <c r="T398" s="5"/>
      <c r="U398" s="4"/>
      <c r="V398" s="4"/>
      <c r="W398" s="4"/>
      <c r="X398" s="67"/>
      <c r="Y398" s="4"/>
      <c r="Z398" s="4"/>
      <c r="AA398" s="4"/>
      <c r="AB398" s="386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3"/>
      <c r="M399" s="4"/>
      <c r="N399" s="3"/>
      <c r="O399" s="3"/>
      <c r="P399" s="4"/>
      <c r="Q399" s="4"/>
      <c r="R399" s="3"/>
      <c r="S399" s="4"/>
      <c r="T399" s="5"/>
      <c r="U399" s="4"/>
      <c r="V399" s="4"/>
      <c r="W399" s="4"/>
      <c r="X399" s="67"/>
      <c r="Y399" s="4"/>
      <c r="Z399" s="4"/>
      <c r="AA399" s="4"/>
      <c r="AB399" s="386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3"/>
      <c r="M400" s="4"/>
      <c r="N400" s="3"/>
      <c r="O400" s="3"/>
      <c r="P400" s="4"/>
      <c r="Q400" s="4"/>
      <c r="R400" s="3"/>
      <c r="S400" s="4"/>
      <c r="T400" s="5"/>
      <c r="U400" s="4"/>
      <c r="V400" s="4"/>
      <c r="W400" s="4"/>
      <c r="X400" s="67"/>
      <c r="Y400" s="4"/>
      <c r="Z400" s="4"/>
      <c r="AA400" s="4"/>
      <c r="AB400" s="386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3"/>
      <c r="M401" s="4"/>
      <c r="N401" s="3"/>
      <c r="O401" s="3"/>
      <c r="P401" s="4"/>
      <c r="Q401" s="4"/>
      <c r="R401" s="3"/>
      <c r="S401" s="4"/>
      <c r="T401" s="5"/>
      <c r="U401" s="4"/>
      <c r="V401" s="4"/>
      <c r="W401" s="4"/>
      <c r="X401" s="67"/>
      <c r="Y401" s="4"/>
      <c r="Z401" s="4"/>
      <c r="AA401" s="4"/>
      <c r="AB401" s="386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3"/>
      <c r="M402" s="4"/>
      <c r="N402" s="3"/>
      <c r="O402" s="3"/>
      <c r="P402" s="4"/>
      <c r="Q402" s="4"/>
      <c r="R402" s="3"/>
      <c r="S402" s="4"/>
      <c r="T402" s="5"/>
      <c r="U402" s="4"/>
      <c r="V402" s="4"/>
      <c r="W402" s="4"/>
      <c r="X402" s="67"/>
      <c r="Y402" s="4"/>
      <c r="Z402" s="4"/>
      <c r="AA402" s="4"/>
      <c r="AB402" s="386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3"/>
      <c r="M403" s="4"/>
      <c r="N403" s="3"/>
      <c r="O403" s="3"/>
      <c r="P403" s="4"/>
      <c r="Q403" s="4"/>
      <c r="R403" s="3"/>
      <c r="S403" s="4"/>
      <c r="T403" s="5"/>
      <c r="U403" s="4"/>
      <c r="V403" s="4"/>
      <c r="W403" s="4"/>
      <c r="X403" s="67"/>
      <c r="Y403" s="4"/>
      <c r="Z403" s="4"/>
      <c r="AA403" s="4"/>
      <c r="AB403" s="386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3"/>
      <c r="M404" s="4"/>
      <c r="N404" s="3"/>
      <c r="O404" s="3"/>
      <c r="P404" s="4"/>
      <c r="Q404" s="4"/>
      <c r="R404" s="3"/>
      <c r="S404" s="4"/>
      <c r="T404" s="5"/>
      <c r="U404" s="4"/>
      <c r="V404" s="4"/>
      <c r="W404" s="4"/>
      <c r="X404" s="67"/>
      <c r="Y404" s="4"/>
      <c r="Z404" s="4"/>
      <c r="AA404" s="4"/>
      <c r="AB404" s="386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3"/>
      <c r="M405" s="4"/>
      <c r="N405" s="3"/>
      <c r="O405" s="3"/>
      <c r="P405" s="4"/>
      <c r="Q405" s="4"/>
      <c r="R405" s="3"/>
      <c r="S405" s="4"/>
      <c r="T405" s="5"/>
      <c r="U405" s="4"/>
      <c r="V405" s="4"/>
      <c r="W405" s="4"/>
      <c r="X405" s="67"/>
      <c r="Y405" s="4"/>
      <c r="Z405" s="4"/>
      <c r="AA405" s="4"/>
      <c r="AB405" s="386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3"/>
      <c r="M406" s="4"/>
      <c r="N406" s="3"/>
      <c r="O406" s="3"/>
      <c r="P406" s="4"/>
      <c r="Q406" s="4"/>
      <c r="R406" s="3"/>
      <c r="S406" s="4"/>
      <c r="T406" s="5"/>
      <c r="U406" s="4"/>
      <c r="V406" s="4"/>
      <c r="W406" s="4"/>
      <c r="X406" s="67"/>
      <c r="Y406" s="4"/>
      <c r="Z406" s="4"/>
      <c r="AA406" s="4"/>
      <c r="AB406" s="386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3"/>
      <c r="M407" s="4"/>
      <c r="N407" s="3"/>
      <c r="O407" s="3"/>
      <c r="P407" s="4"/>
      <c r="Q407" s="4"/>
      <c r="R407" s="3"/>
      <c r="S407" s="4"/>
      <c r="T407" s="5"/>
      <c r="U407" s="4"/>
      <c r="V407" s="4"/>
      <c r="W407" s="4"/>
      <c r="X407" s="67"/>
      <c r="Y407" s="4"/>
      <c r="Z407" s="4"/>
      <c r="AA407" s="4"/>
      <c r="AB407" s="386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3"/>
      <c r="M408" s="4"/>
      <c r="N408" s="3"/>
      <c r="O408" s="3"/>
      <c r="P408" s="4"/>
      <c r="Q408" s="4"/>
      <c r="R408" s="3"/>
      <c r="S408" s="4"/>
      <c r="T408" s="5"/>
      <c r="U408" s="4"/>
      <c r="V408" s="4"/>
      <c r="W408" s="4"/>
      <c r="X408" s="67"/>
      <c r="Y408" s="4"/>
      <c r="Z408" s="4"/>
      <c r="AA408" s="4"/>
      <c r="AB408" s="386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/>
      <c r="M409" s="4"/>
      <c r="N409" s="3"/>
      <c r="O409" s="3"/>
      <c r="P409" s="4"/>
      <c r="Q409" s="4"/>
      <c r="R409" s="3"/>
      <c r="S409" s="4"/>
      <c r="T409" s="5"/>
      <c r="U409" s="4"/>
      <c r="V409" s="4"/>
      <c r="W409" s="4"/>
      <c r="X409" s="67"/>
      <c r="Y409" s="4"/>
      <c r="Z409" s="4"/>
      <c r="AA409" s="4"/>
      <c r="AB409" s="386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3"/>
      <c r="M410" s="4"/>
      <c r="N410" s="3"/>
      <c r="O410" s="3"/>
      <c r="P410" s="4"/>
      <c r="Q410" s="4"/>
      <c r="R410" s="3"/>
      <c r="S410" s="4"/>
      <c r="T410" s="5"/>
      <c r="U410" s="4"/>
      <c r="V410" s="4"/>
      <c r="W410" s="4"/>
      <c r="X410" s="67"/>
      <c r="Y410" s="4"/>
      <c r="Z410" s="4"/>
      <c r="AA410" s="4"/>
      <c r="AB410" s="386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3"/>
      <c r="M411" s="4"/>
      <c r="N411" s="3"/>
      <c r="O411" s="3"/>
      <c r="P411" s="4"/>
      <c r="Q411" s="4"/>
      <c r="R411" s="3"/>
      <c r="S411" s="4"/>
      <c r="T411" s="5"/>
      <c r="U411" s="4"/>
      <c r="V411" s="4"/>
      <c r="W411" s="4"/>
      <c r="X411" s="67"/>
      <c r="Y411" s="4"/>
      <c r="Z411" s="4"/>
      <c r="AA411" s="4"/>
      <c r="AB411" s="386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3"/>
      <c r="M412" s="4"/>
      <c r="N412" s="3"/>
      <c r="O412" s="3"/>
      <c r="P412" s="4"/>
      <c r="Q412" s="4"/>
      <c r="R412" s="3"/>
      <c r="S412" s="4"/>
      <c r="T412" s="5"/>
      <c r="U412" s="4"/>
      <c r="V412" s="4"/>
      <c r="W412" s="4"/>
      <c r="X412" s="67"/>
      <c r="Y412" s="4"/>
      <c r="Z412" s="4"/>
      <c r="AA412" s="4"/>
      <c r="AB412" s="386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3"/>
      <c r="M413" s="4"/>
      <c r="N413" s="3"/>
      <c r="O413" s="3"/>
      <c r="P413" s="4"/>
      <c r="Q413" s="4"/>
      <c r="R413" s="3"/>
      <c r="S413" s="4"/>
      <c r="T413" s="5"/>
      <c r="U413" s="4"/>
      <c r="V413" s="4"/>
      <c r="W413" s="4"/>
      <c r="X413" s="67"/>
      <c r="Y413" s="4"/>
      <c r="Z413" s="4"/>
      <c r="AA413" s="4"/>
      <c r="AB413" s="386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3"/>
      <c r="M414" s="4"/>
      <c r="N414" s="3"/>
      <c r="O414" s="3"/>
      <c r="P414" s="4"/>
      <c r="Q414" s="4"/>
      <c r="R414" s="3"/>
      <c r="S414" s="4"/>
      <c r="T414" s="5"/>
      <c r="U414" s="4"/>
      <c r="V414" s="4"/>
      <c r="W414" s="4"/>
      <c r="X414" s="67"/>
      <c r="Y414" s="4"/>
      <c r="Z414" s="4"/>
      <c r="AA414" s="4"/>
      <c r="AB414" s="386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3"/>
      <c r="M415" s="4"/>
      <c r="N415" s="3"/>
      <c r="O415" s="3"/>
      <c r="P415" s="4"/>
      <c r="Q415" s="4"/>
      <c r="R415" s="3"/>
      <c r="S415" s="4"/>
      <c r="T415" s="5"/>
      <c r="U415" s="4"/>
      <c r="V415" s="4"/>
      <c r="W415" s="4"/>
      <c r="X415" s="67"/>
      <c r="Y415" s="4"/>
      <c r="Z415" s="4"/>
      <c r="AA415" s="4"/>
      <c r="AB415" s="386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3"/>
      <c r="M416" s="4"/>
      <c r="N416" s="3"/>
      <c r="O416" s="3"/>
      <c r="P416" s="4"/>
      <c r="Q416" s="4"/>
      <c r="R416" s="3"/>
      <c r="S416" s="4"/>
      <c r="T416" s="5"/>
      <c r="U416" s="4"/>
      <c r="V416" s="4"/>
      <c r="W416" s="4"/>
      <c r="X416" s="67"/>
      <c r="Y416" s="4"/>
      <c r="Z416" s="4"/>
      <c r="AA416" s="4"/>
      <c r="AB416" s="386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3"/>
      <c r="M417" s="4"/>
      <c r="N417" s="3"/>
      <c r="O417" s="3"/>
      <c r="P417" s="4"/>
      <c r="Q417" s="4"/>
      <c r="R417" s="3"/>
      <c r="S417" s="4"/>
      <c r="T417" s="5"/>
      <c r="U417" s="4"/>
      <c r="V417" s="4"/>
      <c r="W417" s="4"/>
      <c r="X417" s="67"/>
      <c r="Y417" s="4"/>
      <c r="Z417" s="4"/>
      <c r="AA417" s="4"/>
      <c r="AB417" s="386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3"/>
      <c r="M418" s="4"/>
      <c r="N418" s="3"/>
      <c r="O418" s="3"/>
      <c r="P418" s="4"/>
      <c r="Q418" s="4"/>
      <c r="R418" s="3"/>
      <c r="S418" s="4"/>
      <c r="T418" s="5"/>
      <c r="U418" s="4"/>
      <c r="V418" s="4"/>
      <c r="W418" s="4"/>
      <c r="X418" s="67"/>
      <c r="Y418" s="4"/>
      <c r="Z418" s="4"/>
      <c r="AA418" s="4"/>
      <c r="AB418" s="386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3"/>
      <c r="M419" s="4"/>
      <c r="N419" s="3"/>
      <c r="O419" s="3"/>
      <c r="P419" s="4"/>
      <c r="Q419" s="4"/>
      <c r="R419" s="3"/>
      <c r="S419" s="4"/>
      <c r="T419" s="5"/>
      <c r="U419" s="4"/>
      <c r="V419" s="4"/>
      <c r="W419" s="4"/>
      <c r="X419" s="67"/>
      <c r="Y419" s="4"/>
      <c r="Z419" s="4"/>
      <c r="AA419" s="4"/>
      <c r="AB419" s="386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/>
      <c r="M420" s="4"/>
      <c r="N420" s="3"/>
      <c r="O420" s="3"/>
      <c r="P420" s="4"/>
      <c r="Q420" s="4"/>
      <c r="R420" s="3"/>
      <c r="S420" s="4"/>
      <c r="T420" s="5"/>
      <c r="U420" s="4"/>
      <c r="V420" s="4"/>
      <c r="W420" s="4"/>
      <c r="X420" s="67"/>
      <c r="Y420" s="4"/>
      <c r="Z420" s="4"/>
      <c r="AA420" s="4"/>
      <c r="AB420" s="386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3"/>
      <c r="M421" s="4"/>
      <c r="N421" s="3"/>
      <c r="O421" s="3"/>
      <c r="P421" s="4"/>
      <c r="Q421" s="4"/>
      <c r="R421" s="3"/>
      <c r="S421" s="4"/>
      <c r="T421" s="5"/>
      <c r="U421" s="4"/>
      <c r="V421" s="4"/>
      <c r="W421" s="4"/>
      <c r="X421" s="67"/>
      <c r="Y421" s="4"/>
      <c r="Z421" s="4"/>
      <c r="AA421" s="4"/>
      <c r="AB421" s="386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3"/>
      <c r="M422" s="4"/>
      <c r="N422" s="3"/>
      <c r="O422" s="3"/>
      <c r="P422" s="4"/>
      <c r="Q422" s="4"/>
      <c r="R422" s="3"/>
      <c r="S422" s="4"/>
      <c r="T422" s="5"/>
      <c r="U422" s="4"/>
      <c r="V422" s="4"/>
      <c r="W422" s="4"/>
      <c r="X422" s="67"/>
      <c r="Y422" s="4"/>
      <c r="Z422" s="4"/>
      <c r="AA422" s="4"/>
      <c r="AB422" s="386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3"/>
      <c r="M423" s="4"/>
      <c r="N423" s="3"/>
      <c r="O423" s="3"/>
      <c r="P423" s="4"/>
      <c r="Q423" s="4"/>
      <c r="R423" s="3"/>
      <c r="S423" s="4"/>
      <c r="T423" s="5"/>
      <c r="U423" s="4"/>
      <c r="V423" s="4"/>
      <c r="W423" s="4"/>
      <c r="X423" s="67"/>
      <c r="Y423" s="4"/>
      <c r="Z423" s="4"/>
      <c r="AA423" s="4"/>
      <c r="AB423" s="386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3"/>
      <c r="M424" s="4"/>
      <c r="N424" s="3"/>
      <c r="O424" s="3"/>
      <c r="P424" s="4"/>
      <c r="Q424" s="4"/>
      <c r="R424" s="3"/>
      <c r="S424" s="4"/>
      <c r="T424" s="5"/>
      <c r="U424" s="4"/>
      <c r="V424" s="4"/>
      <c r="W424" s="4"/>
      <c r="X424" s="67"/>
      <c r="Y424" s="4"/>
      <c r="Z424" s="4"/>
      <c r="AA424" s="4"/>
      <c r="AB424" s="386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3"/>
      <c r="M425" s="4"/>
      <c r="N425" s="3"/>
      <c r="O425" s="3"/>
      <c r="P425" s="4"/>
      <c r="Q425" s="4"/>
      <c r="R425" s="3"/>
      <c r="S425" s="4"/>
      <c r="T425" s="5"/>
      <c r="U425" s="4"/>
      <c r="V425" s="4"/>
      <c r="W425" s="4"/>
      <c r="X425" s="67"/>
      <c r="Y425" s="4"/>
      <c r="Z425" s="4"/>
      <c r="AA425" s="4"/>
      <c r="AB425" s="386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3"/>
      <c r="M426" s="4"/>
      <c r="N426" s="3"/>
      <c r="O426" s="3"/>
      <c r="P426" s="4"/>
      <c r="Q426" s="4"/>
      <c r="R426" s="3"/>
      <c r="S426" s="4"/>
      <c r="T426" s="5"/>
      <c r="U426" s="4"/>
      <c r="V426" s="4"/>
      <c r="W426" s="4"/>
      <c r="X426" s="67"/>
      <c r="Y426" s="4"/>
      <c r="Z426" s="4"/>
      <c r="AA426" s="4"/>
      <c r="AB426" s="386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3"/>
      <c r="M427" s="4"/>
      <c r="N427" s="3"/>
      <c r="O427" s="3"/>
      <c r="P427" s="4"/>
      <c r="Q427" s="4"/>
      <c r="R427" s="3"/>
      <c r="S427" s="4"/>
      <c r="T427" s="5"/>
      <c r="U427" s="4"/>
      <c r="V427" s="4"/>
      <c r="W427" s="4"/>
      <c r="X427" s="67"/>
      <c r="Y427" s="4"/>
      <c r="Z427" s="4"/>
      <c r="AA427" s="4"/>
      <c r="AB427" s="386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3"/>
      <c r="M428" s="4"/>
      <c r="N428" s="3"/>
      <c r="O428" s="3"/>
      <c r="P428" s="4"/>
      <c r="Q428" s="4"/>
      <c r="R428" s="3"/>
      <c r="S428" s="4"/>
      <c r="T428" s="5"/>
      <c r="U428" s="4"/>
      <c r="V428" s="4"/>
      <c r="W428" s="4"/>
      <c r="X428" s="67"/>
      <c r="Y428" s="4"/>
      <c r="Z428" s="4"/>
      <c r="AA428" s="4"/>
      <c r="AB428" s="386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3"/>
      <c r="M429" s="4"/>
      <c r="N429" s="3"/>
      <c r="O429" s="3"/>
      <c r="P429" s="4"/>
      <c r="Q429" s="4"/>
      <c r="R429" s="3"/>
      <c r="S429" s="4"/>
      <c r="T429" s="5"/>
      <c r="U429" s="4"/>
      <c r="V429" s="4"/>
      <c r="W429" s="4"/>
      <c r="X429" s="67"/>
      <c r="Y429" s="4"/>
      <c r="Z429" s="4"/>
      <c r="AA429" s="4"/>
      <c r="AB429" s="386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3"/>
      <c r="M430" s="4"/>
      <c r="N430" s="3"/>
      <c r="O430" s="3"/>
      <c r="P430" s="4"/>
      <c r="Q430" s="4"/>
      <c r="R430" s="3"/>
      <c r="S430" s="4"/>
      <c r="T430" s="5"/>
      <c r="U430" s="4"/>
      <c r="V430" s="4"/>
      <c r="W430" s="4"/>
      <c r="X430" s="67"/>
      <c r="Y430" s="4"/>
      <c r="Z430" s="4"/>
      <c r="AA430" s="4"/>
      <c r="AB430" s="386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3"/>
      <c r="M431" s="4"/>
      <c r="N431" s="3"/>
      <c r="O431" s="3"/>
      <c r="P431" s="4"/>
      <c r="Q431" s="4"/>
      <c r="R431" s="3"/>
      <c r="S431" s="4"/>
      <c r="T431" s="5"/>
      <c r="U431" s="4"/>
      <c r="V431" s="4"/>
      <c r="W431" s="4"/>
      <c r="X431" s="67"/>
      <c r="Y431" s="4"/>
      <c r="Z431" s="4"/>
      <c r="AA431" s="4"/>
      <c r="AB431" s="386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3"/>
      <c r="M432" s="4"/>
      <c r="N432" s="3"/>
      <c r="O432" s="3"/>
      <c r="P432" s="4"/>
      <c r="Q432" s="4"/>
      <c r="R432" s="3"/>
      <c r="S432" s="4"/>
      <c r="T432" s="5"/>
      <c r="U432" s="4"/>
      <c r="V432" s="4"/>
      <c r="W432" s="4"/>
      <c r="X432" s="67"/>
      <c r="Y432" s="4"/>
      <c r="Z432" s="4"/>
      <c r="AA432" s="4"/>
      <c r="AB432" s="386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3"/>
      <c r="M433" s="4"/>
      <c r="N433" s="3"/>
      <c r="O433" s="3"/>
      <c r="P433" s="4"/>
      <c r="Q433" s="4"/>
      <c r="R433" s="3"/>
      <c r="S433" s="4"/>
      <c r="T433" s="5"/>
      <c r="U433" s="4"/>
      <c r="V433" s="4"/>
      <c r="W433" s="4"/>
      <c r="X433" s="67"/>
      <c r="Y433" s="4"/>
      <c r="Z433" s="4"/>
      <c r="AA433" s="4"/>
      <c r="AB433" s="386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3"/>
      <c r="M434" s="4"/>
      <c r="N434" s="3"/>
      <c r="O434" s="3"/>
      <c r="P434" s="4"/>
      <c r="Q434" s="4"/>
      <c r="R434" s="3"/>
      <c r="S434" s="4"/>
      <c r="T434" s="5"/>
      <c r="U434" s="4"/>
      <c r="V434" s="4"/>
      <c r="W434" s="4"/>
      <c r="X434" s="67"/>
      <c r="Y434" s="4"/>
      <c r="Z434" s="4"/>
      <c r="AA434" s="4"/>
      <c r="AB434" s="386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3"/>
      <c r="M435" s="4"/>
      <c r="N435" s="3"/>
      <c r="O435" s="3"/>
      <c r="P435" s="4"/>
      <c r="Q435" s="4"/>
      <c r="R435" s="3"/>
      <c r="S435" s="4"/>
      <c r="T435" s="5"/>
      <c r="U435" s="4"/>
      <c r="V435" s="4"/>
      <c r="W435" s="4"/>
      <c r="X435" s="67"/>
      <c r="Y435" s="4"/>
      <c r="Z435" s="4"/>
      <c r="AA435" s="4"/>
      <c r="AB435" s="386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3"/>
      <c r="M436" s="4"/>
      <c r="N436" s="3"/>
      <c r="O436" s="3"/>
      <c r="P436" s="4"/>
      <c r="Q436" s="4"/>
      <c r="R436" s="3"/>
      <c r="S436" s="4"/>
      <c r="T436" s="5"/>
      <c r="U436" s="4"/>
      <c r="V436" s="4"/>
      <c r="W436" s="4"/>
      <c r="X436" s="67"/>
      <c r="Y436" s="4"/>
      <c r="Z436" s="4"/>
      <c r="AA436" s="4"/>
      <c r="AB436" s="386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3"/>
      <c r="M437" s="4"/>
      <c r="N437" s="3"/>
      <c r="O437" s="3"/>
      <c r="P437" s="4"/>
      <c r="Q437" s="4"/>
      <c r="R437" s="3"/>
      <c r="S437" s="4"/>
      <c r="T437" s="5"/>
      <c r="U437" s="4"/>
      <c r="V437" s="4"/>
      <c r="W437" s="4"/>
      <c r="X437" s="67"/>
      <c r="Y437" s="4"/>
      <c r="Z437" s="4"/>
      <c r="AA437" s="4"/>
      <c r="AB437" s="386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3"/>
      <c r="M438" s="4"/>
      <c r="N438" s="3"/>
      <c r="O438" s="3"/>
      <c r="P438" s="4"/>
      <c r="Q438" s="4"/>
      <c r="R438" s="3"/>
      <c r="S438" s="4"/>
      <c r="T438" s="5"/>
      <c r="U438" s="4"/>
      <c r="V438" s="4"/>
      <c r="W438" s="4"/>
      <c r="X438" s="67"/>
      <c r="Y438" s="4"/>
      <c r="Z438" s="4"/>
      <c r="AA438" s="4"/>
      <c r="AB438" s="386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3"/>
      <c r="M439" s="4"/>
      <c r="N439" s="3"/>
      <c r="O439" s="3"/>
      <c r="P439" s="4"/>
      <c r="Q439" s="4"/>
      <c r="R439" s="3"/>
      <c r="S439" s="4"/>
      <c r="T439" s="5"/>
      <c r="U439" s="4"/>
      <c r="V439" s="4"/>
      <c r="W439" s="4"/>
      <c r="X439" s="67"/>
      <c r="Y439" s="4"/>
      <c r="Z439" s="4"/>
      <c r="AA439" s="4"/>
      <c r="AB439" s="386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3"/>
      <c r="M440" s="4"/>
      <c r="N440" s="3"/>
      <c r="O440" s="3"/>
      <c r="P440" s="4"/>
      <c r="Q440" s="4"/>
      <c r="R440" s="3"/>
      <c r="S440" s="4"/>
      <c r="T440" s="5"/>
      <c r="U440" s="4"/>
      <c r="V440" s="4"/>
      <c r="W440" s="4"/>
      <c r="X440" s="67"/>
      <c r="Y440" s="4"/>
      <c r="Z440" s="4"/>
      <c r="AA440" s="4"/>
      <c r="AB440" s="386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3"/>
      <c r="M441" s="4"/>
      <c r="N441" s="3"/>
      <c r="O441" s="3"/>
      <c r="P441" s="4"/>
      <c r="Q441" s="4"/>
      <c r="R441" s="3"/>
      <c r="S441" s="4"/>
      <c r="T441" s="5"/>
      <c r="U441" s="4"/>
      <c r="V441" s="4"/>
      <c r="W441" s="4"/>
      <c r="X441" s="67"/>
      <c r="Y441" s="4"/>
      <c r="Z441" s="4"/>
      <c r="AA441" s="4"/>
      <c r="AB441" s="386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3"/>
      <c r="M442" s="4"/>
      <c r="N442" s="3"/>
      <c r="O442" s="3"/>
      <c r="P442" s="4"/>
      <c r="Q442" s="4"/>
      <c r="R442" s="3"/>
      <c r="S442" s="4"/>
      <c r="T442" s="5"/>
      <c r="U442" s="4"/>
      <c r="V442" s="4"/>
      <c r="W442" s="4"/>
      <c r="X442" s="67"/>
      <c r="Y442" s="4"/>
      <c r="Z442" s="4"/>
      <c r="AA442" s="4"/>
      <c r="AB442" s="386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3"/>
      <c r="M443" s="4"/>
      <c r="N443" s="3"/>
      <c r="O443" s="3"/>
      <c r="P443" s="4"/>
      <c r="Q443" s="4"/>
      <c r="R443" s="3"/>
      <c r="S443" s="4"/>
      <c r="T443" s="5"/>
      <c r="U443" s="4"/>
      <c r="V443" s="4"/>
      <c r="W443" s="4"/>
      <c r="X443" s="67"/>
      <c r="Y443" s="4"/>
      <c r="Z443" s="4"/>
      <c r="AA443" s="4"/>
      <c r="AB443" s="386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3"/>
      <c r="M444" s="4"/>
      <c r="N444" s="3"/>
      <c r="O444" s="3"/>
      <c r="P444" s="4"/>
      <c r="Q444" s="4"/>
      <c r="R444" s="3"/>
      <c r="S444" s="4"/>
      <c r="T444" s="5"/>
      <c r="U444" s="4"/>
      <c r="V444" s="4"/>
      <c r="W444" s="4"/>
      <c r="X444" s="67"/>
      <c r="Y444" s="4"/>
      <c r="Z444" s="4"/>
      <c r="AA444" s="4"/>
      <c r="AB444" s="386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3"/>
      <c r="M445" s="4"/>
      <c r="N445" s="3"/>
      <c r="O445" s="3"/>
      <c r="P445" s="4"/>
      <c r="Q445" s="4"/>
      <c r="R445" s="3"/>
      <c r="S445" s="4"/>
      <c r="T445" s="5"/>
      <c r="U445" s="4"/>
      <c r="V445" s="4"/>
      <c r="W445" s="4"/>
      <c r="X445" s="67"/>
      <c r="Y445" s="4"/>
      <c r="Z445" s="4"/>
      <c r="AA445" s="4"/>
      <c r="AB445" s="386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3"/>
      <c r="M446" s="4"/>
      <c r="N446" s="3"/>
      <c r="O446" s="3"/>
      <c r="P446" s="4"/>
      <c r="Q446" s="4"/>
      <c r="R446" s="3"/>
      <c r="S446" s="4"/>
      <c r="T446" s="5"/>
      <c r="U446" s="4"/>
      <c r="V446" s="4"/>
      <c r="W446" s="4"/>
      <c r="X446" s="67"/>
      <c r="Y446" s="4"/>
      <c r="Z446" s="4"/>
      <c r="AA446" s="4"/>
      <c r="AB446" s="386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3"/>
      <c r="M447" s="4"/>
      <c r="N447" s="3"/>
      <c r="O447" s="3"/>
      <c r="P447" s="4"/>
      <c r="Q447" s="4"/>
      <c r="R447" s="3"/>
      <c r="S447" s="4"/>
      <c r="T447" s="5"/>
      <c r="U447" s="4"/>
      <c r="V447" s="4"/>
      <c r="W447" s="4"/>
      <c r="X447" s="67"/>
      <c r="Y447" s="4"/>
      <c r="Z447" s="4"/>
      <c r="AA447" s="4"/>
      <c r="AB447" s="386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3"/>
      <c r="M448" s="4"/>
      <c r="N448" s="3"/>
      <c r="O448" s="3"/>
      <c r="P448" s="4"/>
      <c r="Q448" s="4"/>
      <c r="R448" s="3"/>
      <c r="S448" s="4"/>
      <c r="T448" s="5"/>
      <c r="U448" s="4"/>
      <c r="V448" s="4"/>
      <c r="W448" s="4"/>
      <c r="X448" s="67"/>
      <c r="Y448" s="4"/>
      <c r="Z448" s="4"/>
      <c r="AA448" s="4"/>
      <c r="AB448" s="386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3"/>
      <c r="M449" s="4"/>
      <c r="N449" s="3"/>
      <c r="O449" s="3"/>
      <c r="P449" s="4"/>
      <c r="Q449" s="4"/>
      <c r="R449" s="3"/>
      <c r="S449" s="4"/>
      <c r="T449" s="5"/>
      <c r="U449" s="4"/>
      <c r="V449" s="4"/>
      <c r="W449" s="4"/>
      <c r="X449" s="67"/>
      <c r="Y449" s="4"/>
      <c r="Z449" s="4"/>
      <c r="AA449" s="4"/>
      <c r="AB449" s="386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3"/>
      <c r="M450" s="4"/>
      <c r="N450" s="3"/>
      <c r="O450" s="3"/>
      <c r="P450" s="4"/>
      <c r="Q450" s="4"/>
      <c r="R450" s="3"/>
      <c r="S450" s="4"/>
      <c r="T450" s="5"/>
      <c r="U450" s="4"/>
      <c r="V450" s="4"/>
      <c r="W450" s="4"/>
      <c r="X450" s="67"/>
      <c r="Y450" s="4"/>
      <c r="Z450" s="4"/>
      <c r="AA450" s="4"/>
      <c r="AB450" s="386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3"/>
      <c r="M451" s="4"/>
      <c r="N451" s="3"/>
      <c r="O451" s="3"/>
      <c r="P451" s="4"/>
      <c r="Q451" s="4"/>
      <c r="R451" s="3"/>
      <c r="S451" s="4"/>
      <c r="T451" s="5"/>
      <c r="U451" s="4"/>
      <c r="V451" s="4"/>
      <c r="W451" s="4"/>
      <c r="X451" s="67"/>
      <c r="Y451" s="4"/>
      <c r="Z451" s="4"/>
      <c r="AA451" s="4"/>
      <c r="AB451" s="386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3"/>
      <c r="M452" s="4"/>
      <c r="N452" s="3"/>
      <c r="O452" s="3"/>
      <c r="P452" s="4"/>
      <c r="Q452" s="4"/>
      <c r="R452" s="3"/>
      <c r="S452" s="4"/>
      <c r="T452" s="5"/>
      <c r="U452" s="4"/>
      <c r="V452" s="4"/>
      <c r="W452" s="4"/>
      <c r="X452" s="67"/>
      <c r="Y452" s="4"/>
      <c r="Z452" s="4"/>
      <c r="AA452" s="4"/>
      <c r="AB452" s="386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3"/>
      <c r="M453" s="4"/>
      <c r="N453" s="3"/>
      <c r="O453" s="3"/>
      <c r="P453" s="4"/>
      <c r="Q453" s="4"/>
      <c r="R453" s="3"/>
      <c r="S453" s="4"/>
      <c r="T453" s="5"/>
      <c r="U453" s="4"/>
      <c r="V453" s="4"/>
      <c r="W453" s="4"/>
      <c r="X453" s="67"/>
      <c r="Y453" s="4"/>
      <c r="Z453" s="4"/>
      <c r="AA453" s="4"/>
      <c r="AB453" s="386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3"/>
      <c r="M454" s="4"/>
      <c r="N454" s="3"/>
      <c r="O454" s="3"/>
      <c r="P454" s="4"/>
      <c r="Q454" s="4"/>
      <c r="R454" s="3"/>
      <c r="S454" s="4"/>
      <c r="T454" s="5"/>
      <c r="U454" s="4"/>
      <c r="V454" s="4"/>
      <c r="W454" s="4"/>
      <c r="X454" s="67"/>
      <c r="Y454" s="4"/>
      <c r="Z454" s="4"/>
      <c r="AA454" s="4"/>
      <c r="AB454" s="386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3"/>
      <c r="M455" s="4"/>
      <c r="N455" s="3"/>
      <c r="O455" s="3"/>
      <c r="P455" s="4"/>
      <c r="Q455" s="4"/>
      <c r="R455" s="3"/>
      <c r="S455" s="4"/>
      <c r="T455" s="5"/>
      <c r="U455" s="4"/>
      <c r="V455" s="4"/>
      <c r="W455" s="4"/>
      <c r="X455" s="67"/>
      <c r="Y455" s="4"/>
      <c r="Z455" s="4"/>
      <c r="AA455" s="4"/>
      <c r="AB455" s="386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3"/>
      <c r="M456" s="4"/>
      <c r="N456" s="3"/>
      <c r="O456" s="3"/>
      <c r="P456" s="4"/>
      <c r="Q456" s="4"/>
      <c r="R456" s="3"/>
      <c r="S456" s="4"/>
      <c r="T456" s="5"/>
      <c r="U456" s="4"/>
      <c r="V456" s="4"/>
      <c r="W456" s="4"/>
      <c r="X456" s="67"/>
      <c r="Y456" s="4"/>
      <c r="Z456" s="4"/>
      <c r="AA456" s="4"/>
      <c r="AB456" s="386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3"/>
      <c r="M457" s="4"/>
      <c r="N457" s="3"/>
      <c r="O457" s="3"/>
      <c r="P457" s="4"/>
      <c r="Q457" s="4"/>
      <c r="R457" s="3"/>
      <c r="S457" s="4"/>
      <c r="T457" s="5"/>
      <c r="U457" s="4"/>
      <c r="V457" s="4"/>
      <c r="W457" s="4"/>
      <c r="X457" s="67"/>
      <c r="Y457" s="4"/>
      <c r="Z457" s="4"/>
      <c r="AA457" s="4"/>
      <c r="AB457" s="386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3"/>
      <c r="M458" s="4"/>
      <c r="N458" s="3"/>
      <c r="O458" s="3"/>
      <c r="P458" s="4"/>
      <c r="Q458" s="4"/>
      <c r="R458" s="3"/>
      <c r="S458" s="4"/>
      <c r="T458" s="5"/>
      <c r="U458" s="4"/>
      <c r="V458" s="4"/>
      <c r="W458" s="4"/>
      <c r="X458" s="67"/>
      <c r="Y458" s="4"/>
      <c r="Z458" s="4"/>
      <c r="AA458" s="4"/>
      <c r="AB458" s="386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3"/>
      <c r="M459" s="4"/>
      <c r="N459" s="3"/>
      <c r="O459" s="3"/>
      <c r="P459" s="4"/>
      <c r="Q459" s="4"/>
      <c r="R459" s="3"/>
      <c r="S459" s="4"/>
      <c r="T459" s="5"/>
      <c r="U459" s="4"/>
      <c r="V459" s="4"/>
      <c r="W459" s="4"/>
      <c r="X459" s="67"/>
      <c r="Y459" s="4"/>
      <c r="Z459" s="4"/>
      <c r="AA459" s="4"/>
      <c r="AB459" s="386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3"/>
      <c r="M460" s="4"/>
      <c r="N460" s="3"/>
      <c r="O460" s="3"/>
      <c r="P460" s="4"/>
      <c r="Q460" s="4"/>
      <c r="R460" s="3"/>
      <c r="S460" s="4"/>
      <c r="T460" s="5"/>
      <c r="U460" s="4"/>
      <c r="V460" s="4"/>
      <c r="W460" s="4"/>
      <c r="X460" s="67"/>
      <c r="Y460" s="4"/>
      <c r="Z460" s="4"/>
      <c r="AA460" s="4"/>
      <c r="AB460" s="386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3"/>
      <c r="M461" s="4"/>
      <c r="N461" s="3"/>
      <c r="O461" s="3"/>
      <c r="P461" s="4"/>
      <c r="Q461" s="4"/>
      <c r="R461" s="3"/>
      <c r="S461" s="4"/>
      <c r="T461" s="5"/>
      <c r="U461" s="4"/>
      <c r="V461" s="4"/>
      <c r="W461" s="4"/>
      <c r="X461" s="67"/>
      <c r="Y461" s="4"/>
      <c r="Z461" s="4"/>
      <c r="AA461" s="4"/>
      <c r="AB461" s="386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3"/>
      <c r="M462" s="4"/>
      <c r="N462" s="3"/>
      <c r="O462" s="3"/>
      <c r="P462" s="4"/>
      <c r="Q462" s="4"/>
      <c r="R462" s="3"/>
      <c r="S462" s="4"/>
      <c r="T462" s="5"/>
      <c r="U462" s="4"/>
      <c r="V462" s="4"/>
      <c r="W462" s="4"/>
      <c r="X462" s="67"/>
      <c r="Y462" s="4"/>
      <c r="Z462" s="4"/>
      <c r="AA462" s="4"/>
      <c r="AB462" s="386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3"/>
      <c r="M463" s="4"/>
      <c r="N463" s="3"/>
      <c r="O463" s="3"/>
      <c r="P463" s="4"/>
      <c r="Q463" s="4"/>
      <c r="R463" s="3"/>
      <c r="S463" s="4"/>
      <c r="T463" s="5"/>
      <c r="U463" s="4"/>
      <c r="V463" s="4"/>
      <c r="W463" s="4"/>
      <c r="X463" s="67"/>
      <c r="Y463" s="4"/>
      <c r="Z463" s="4"/>
      <c r="AA463" s="4"/>
      <c r="AB463" s="386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3"/>
      <c r="M464" s="4"/>
      <c r="N464" s="3"/>
      <c r="O464" s="3"/>
      <c r="P464" s="4"/>
      <c r="Q464" s="4"/>
      <c r="R464" s="3"/>
      <c r="S464" s="4"/>
      <c r="T464" s="5"/>
      <c r="U464" s="4"/>
      <c r="V464" s="4"/>
      <c r="W464" s="4"/>
      <c r="X464" s="67"/>
      <c r="Y464" s="4"/>
      <c r="Z464" s="4"/>
      <c r="AA464" s="4"/>
      <c r="AB464" s="386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3"/>
      <c r="M465" s="4"/>
      <c r="N465" s="3"/>
      <c r="O465" s="3"/>
      <c r="P465" s="4"/>
      <c r="Q465" s="4"/>
      <c r="R465" s="3"/>
      <c r="S465" s="4"/>
      <c r="T465" s="5"/>
      <c r="U465" s="4"/>
      <c r="V465" s="4"/>
      <c r="W465" s="4"/>
      <c r="X465" s="67"/>
      <c r="Y465" s="4"/>
      <c r="Z465" s="4"/>
      <c r="AA465" s="4"/>
      <c r="AB465" s="386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3"/>
      <c r="M466" s="4"/>
      <c r="N466" s="3"/>
      <c r="O466" s="3"/>
      <c r="P466" s="4"/>
      <c r="Q466" s="4"/>
      <c r="R466" s="3"/>
      <c r="S466" s="4"/>
      <c r="T466" s="5"/>
      <c r="U466" s="4"/>
      <c r="V466" s="4"/>
      <c r="W466" s="4"/>
      <c r="X466" s="67"/>
      <c r="Y466" s="4"/>
      <c r="Z466" s="4"/>
      <c r="AA466" s="4"/>
      <c r="AB466" s="386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3"/>
      <c r="M467" s="4"/>
      <c r="N467" s="3"/>
      <c r="O467" s="3"/>
      <c r="P467" s="4"/>
      <c r="Q467" s="4"/>
      <c r="R467" s="3"/>
      <c r="S467" s="4"/>
      <c r="T467" s="5"/>
      <c r="U467" s="4"/>
      <c r="V467" s="4"/>
      <c r="W467" s="4"/>
      <c r="X467" s="67"/>
      <c r="Y467" s="4"/>
      <c r="Z467" s="4"/>
      <c r="AA467" s="4"/>
      <c r="AB467" s="386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3"/>
      <c r="M468" s="4"/>
      <c r="N468" s="3"/>
      <c r="O468" s="3"/>
      <c r="P468" s="4"/>
      <c r="Q468" s="4"/>
      <c r="R468" s="3"/>
      <c r="S468" s="4"/>
      <c r="T468" s="5"/>
      <c r="U468" s="4"/>
      <c r="V468" s="4"/>
      <c r="W468" s="4"/>
      <c r="X468" s="67"/>
      <c r="Y468" s="4"/>
      <c r="Z468" s="4"/>
      <c r="AA468" s="4"/>
      <c r="AB468" s="386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3"/>
      <c r="M469" s="4"/>
      <c r="N469" s="3"/>
      <c r="O469" s="3"/>
      <c r="P469" s="4"/>
      <c r="Q469" s="4"/>
      <c r="R469" s="3"/>
      <c r="S469" s="4"/>
      <c r="T469" s="5"/>
      <c r="U469" s="4"/>
      <c r="V469" s="4"/>
      <c r="W469" s="4"/>
      <c r="X469" s="67"/>
      <c r="Y469" s="4"/>
      <c r="Z469" s="4"/>
      <c r="AA469" s="4"/>
      <c r="AB469" s="386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3"/>
      <c r="M470" s="4"/>
      <c r="N470" s="3"/>
      <c r="O470" s="3"/>
      <c r="P470" s="4"/>
      <c r="Q470" s="4"/>
      <c r="R470" s="3"/>
      <c r="S470" s="4"/>
      <c r="T470" s="5"/>
      <c r="U470" s="4"/>
      <c r="V470" s="4"/>
      <c r="W470" s="4"/>
      <c r="X470" s="67"/>
      <c r="Y470" s="4"/>
      <c r="Z470" s="4"/>
      <c r="AA470" s="4"/>
      <c r="AB470" s="386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3"/>
      <c r="M471" s="4"/>
      <c r="N471" s="3"/>
      <c r="O471" s="3"/>
      <c r="P471" s="4"/>
      <c r="Q471" s="4"/>
      <c r="R471" s="3"/>
      <c r="S471" s="4"/>
      <c r="T471" s="5"/>
      <c r="U471" s="4"/>
      <c r="V471" s="4"/>
      <c r="W471" s="4"/>
      <c r="X471" s="67"/>
      <c r="Y471" s="4"/>
      <c r="Z471" s="4"/>
      <c r="AA471" s="4"/>
      <c r="AB471" s="386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3"/>
      <c r="M472" s="4"/>
      <c r="N472" s="3"/>
      <c r="O472" s="3"/>
      <c r="P472" s="4"/>
      <c r="Q472" s="4"/>
      <c r="R472" s="3"/>
      <c r="S472" s="4"/>
      <c r="T472" s="5"/>
      <c r="U472" s="4"/>
      <c r="V472" s="4"/>
      <c r="W472" s="4"/>
      <c r="X472" s="67"/>
      <c r="Y472" s="4"/>
      <c r="Z472" s="4"/>
      <c r="AA472" s="4"/>
      <c r="AB472" s="386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3"/>
      <c r="M473" s="4"/>
      <c r="N473" s="3"/>
      <c r="O473" s="3"/>
      <c r="P473" s="4"/>
      <c r="Q473" s="4"/>
      <c r="R473" s="3"/>
      <c r="S473" s="4"/>
      <c r="T473" s="5"/>
      <c r="U473" s="4"/>
      <c r="V473" s="4"/>
      <c r="W473" s="4"/>
      <c r="X473" s="67"/>
      <c r="Y473" s="4"/>
      <c r="Z473" s="4"/>
      <c r="AA473" s="4"/>
      <c r="AB473" s="386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3"/>
      <c r="M474" s="4"/>
      <c r="N474" s="3"/>
      <c r="O474" s="3"/>
      <c r="P474" s="4"/>
      <c r="Q474" s="4"/>
      <c r="R474" s="3"/>
      <c r="S474" s="4"/>
      <c r="T474" s="5"/>
      <c r="U474" s="4"/>
      <c r="V474" s="4"/>
      <c r="W474" s="4"/>
      <c r="X474" s="67"/>
      <c r="Y474" s="4"/>
      <c r="Z474" s="4"/>
      <c r="AA474" s="4"/>
      <c r="AB474" s="386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3"/>
      <c r="M475" s="4"/>
      <c r="N475" s="3"/>
      <c r="O475" s="3"/>
      <c r="P475" s="4"/>
      <c r="Q475" s="4"/>
      <c r="R475" s="3"/>
      <c r="S475" s="4"/>
      <c r="T475" s="5"/>
      <c r="U475" s="4"/>
      <c r="V475" s="4"/>
      <c r="W475" s="4"/>
      <c r="X475" s="67"/>
      <c r="Y475" s="4"/>
      <c r="Z475" s="4"/>
      <c r="AA475" s="4"/>
      <c r="AB475" s="386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3"/>
      <c r="M476" s="4"/>
      <c r="N476" s="3"/>
      <c r="O476" s="3"/>
      <c r="P476" s="4"/>
      <c r="Q476" s="4"/>
      <c r="R476" s="3"/>
      <c r="S476" s="4"/>
      <c r="T476" s="5"/>
      <c r="U476" s="4"/>
      <c r="V476" s="4"/>
      <c r="W476" s="4"/>
      <c r="X476" s="67"/>
      <c r="Y476" s="4"/>
      <c r="Z476" s="4"/>
      <c r="AA476" s="4"/>
      <c r="AB476" s="386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3"/>
      <c r="M477" s="4"/>
      <c r="N477" s="3"/>
      <c r="O477" s="3"/>
      <c r="P477" s="4"/>
      <c r="Q477" s="4"/>
      <c r="R477" s="3"/>
      <c r="S477" s="4"/>
      <c r="T477" s="5"/>
      <c r="U477" s="4"/>
      <c r="V477" s="4"/>
      <c r="W477" s="4"/>
      <c r="X477" s="67"/>
      <c r="Y477" s="4"/>
      <c r="Z477" s="4"/>
      <c r="AA477" s="4"/>
      <c r="AB477" s="386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3"/>
      <c r="M478" s="4"/>
      <c r="N478" s="3"/>
      <c r="O478" s="3"/>
      <c r="P478" s="4"/>
      <c r="Q478" s="4"/>
      <c r="R478" s="3"/>
      <c r="S478" s="4"/>
      <c r="T478" s="5"/>
      <c r="U478" s="4"/>
      <c r="V478" s="4"/>
      <c r="W478" s="4"/>
      <c r="X478" s="67"/>
      <c r="Y478" s="4"/>
      <c r="Z478" s="4"/>
      <c r="AA478" s="4"/>
      <c r="AB478" s="386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/>
      <c r="M479" s="4"/>
      <c r="N479" s="3"/>
      <c r="O479" s="3"/>
      <c r="P479" s="4"/>
      <c r="Q479" s="4"/>
      <c r="R479" s="3"/>
      <c r="S479" s="4"/>
      <c r="T479" s="5"/>
      <c r="U479" s="4"/>
      <c r="V479" s="4"/>
      <c r="W479" s="4"/>
      <c r="X479" s="67"/>
      <c r="Y479" s="4"/>
      <c r="Z479" s="4"/>
      <c r="AA479" s="4"/>
      <c r="AB479" s="386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3"/>
      <c r="M480" s="4"/>
      <c r="N480" s="3"/>
      <c r="O480" s="3"/>
      <c r="P480" s="4"/>
      <c r="Q480" s="4"/>
      <c r="R480" s="3"/>
      <c r="S480" s="4"/>
      <c r="T480" s="5"/>
      <c r="U480" s="4"/>
      <c r="V480" s="4"/>
      <c r="W480" s="4"/>
      <c r="X480" s="67"/>
      <c r="Y480" s="4"/>
      <c r="Z480" s="4"/>
      <c r="AA480" s="4"/>
      <c r="AB480" s="386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3"/>
      <c r="M481" s="4"/>
      <c r="N481" s="3"/>
      <c r="O481" s="3"/>
      <c r="P481" s="4"/>
      <c r="Q481" s="4"/>
      <c r="R481" s="3"/>
      <c r="S481" s="4"/>
      <c r="T481" s="5"/>
      <c r="U481" s="4"/>
      <c r="V481" s="4"/>
      <c r="W481" s="4"/>
      <c r="X481" s="67"/>
      <c r="Y481" s="4"/>
      <c r="Z481" s="4"/>
      <c r="AA481" s="4"/>
      <c r="AB481" s="386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3"/>
      <c r="M482" s="4"/>
      <c r="N482" s="3"/>
      <c r="O482" s="3"/>
      <c r="P482" s="4"/>
      <c r="Q482" s="4"/>
      <c r="R482" s="3"/>
      <c r="S482" s="4"/>
      <c r="T482" s="5"/>
      <c r="U482" s="4"/>
      <c r="V482" s="4"/>
      <c r="W482" s="4"/>
      <c r="X482" s="67"/>
      <c r="Y482" s="4"/>
      <c r="Z482" s="4"/>
      <c r="AA482" s="4"/>
      <c r="AB482" s="386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3"/>
      <c r="M483" s="4"/>
      <c r="N483" s="3"/>
      <c r="O483" s="3"/>
      <c r="P483" s="4"/>
      <c r="Q483" s="4"/>
      <c r="R483" s="3"/>
      <c r="S483" s="4"/>
      <c r="T483" s="5"/>
      <c r="U483" s="4"/>
      <c r="V483" s="4"/>
      <c r="W483" s="4"/>
      <c r="X483" s="67"/>
      <c r="Y483" s="4"/>
      <c r="Z483" s="4"/>
      <c r="AA483" s="4"/>
      <c r="AB483" s="386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3"/>
      <c r="M484" s="4"/>
      <c r="N484" s="3"/>
      <c r="O484" s="3"/>
      <c r="P484" s="4"/>
      <c r="Q484" s="4"/>
      <c r="R484" s="3"/>
      <c r="S484" s="4"/>
      <c r="T484" s="5"/>
      <c r="U484" s="4"/>
      <c r="V484" s="4"/>
      <c r="W484" s="4"/>
      <c r="X484" s="67"/>
      <c r="Y484" s="4"/>
      <c r="Z484" s="4"/>
      <c r="AA484" s="4"/>
      <c r="AB484" s="386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3"/>
      <c r="M485" s="4"/>
      <c r="N485" s="3"/>
      <c r="O485" s="3"/>
      <c r="P485" s="4"/>
      <c r="Q485" s="4"/>
      <c r="R485" s="3"/>
      <c r="S485" s="4"/>
      <c r="T485" s="5"/>
      <c r="U485" s="4"/>
      <c r="V485" s="4"/>
      <c r="W485" s="4"/>
      <c r="X485" s="67"/>
      <c r="Y485" s="4"/>
      <c r="Z485" s="4"/>
      <c r="AA485" s="4"/>
      <c r="AB485" s="386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3"/>
      <c r="M486" s="4"/>
      <c r="N486" s="3"/>
      <c r="O486" s="3"/>
      <c r="P486" s="4"/>
      <c r="Q486" s="4"/>
      <c r="R486" s="3"/>
      <c r="S486" s="4"/>
      <c r="T486" s="5"/>
      <c r="U486" s="4"/>
      <c r="V486" s="4"/>
      <c r="W486" s="4"/>
      <c r="X486" s="67"/>
      <c r="Y486" s="4"/>
      <c r="Z486" s="4"/>
      <c r="AA486" s="4"/>
      <c r="AB486" s="386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3"/>
      <c r="M487" s="4"/>
      <c r="N487" s="3"/>
      <c r="O487" s="3"/>
      <c r="P487" s="4"/>
      <c r="Q487" s="4"/>
      <c r="R487" s="3"/>
      <c r="S487" s="4"/>
      <c r="T487" s="5"/>
      <c r="U487" s="4"/>
      <c r="V487" s="4"/>
      <c r="W487" s="4"/>
      <c r="X487" s="67"/>
      <c r="Y487" s="4"/>
      <c r="Z487" s="4"/>
      <c r="AA487" s="4"/>
      <c r="AB487" s="386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3"/>
      <c r="M488" s="4"/>
      <c r="N488" s="3"/>
      <c r="O488" s="3"/>
      <c r="P488" s="4"/>
      <c r="Q488" s="4"/>
      <c r="R488" s="3"/>
      <c r="S488" s="4"/>
      <c r="T488" s="5"/>
      <c r="U488" s="4"/>
      <c r="V488" s="4"/>
      <c r="W488" s="4"/>
      <c r="X488" s="67"/>
      <c r="Y488" s="4"/>
      <c r="Z488" s="4"/>
      <c r="AA488" s="4"/>
      <c r="AB488" s="386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/>
      <c r="M489" s="4"/>
      <c r="N489" s="3"/>
      <c r="O489" s="3"/>
      <c r="P489" s="4"/>
      <c r="Q489" s="4"/>
      <c r="R489" s="3"/>
      <c r="S489" s="4"/>
      <c r="T489" s="5"/>
      <c r="U489" s="4"/>
      <c r="V489" s="4"/>
      <c r="W489" s="4"/>
      <c r="X489" s="67"/>
      <c r="Y489" s="4"/>
      <c r="Z489" s="4"/>
      <c r="AA489" s="4"/>
      <c r="AB489" s="386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3"/>
      <c r="M490" s="4"/>
      <c r="N490" s="3"/>
      <c r="O490" s="3"/>
      <c r="P490" s="4"/>
      <c r="Q490" s="4"/>
      <c r="R490" s="3"/>
      <c r="S490" s="4"/>
      <c r="T490" s="5"/>
      <c r="U490" s="4"/>
      <c r="V490" s="4"/>
      <c r="W490" s="4"/>
      <c r="X490" s="67"/>
      <c r="Y490" s="4"/>
      <c r="Z490" s="4"/>
      <c r="AA490" s="4"/>
      <c r="AB490" s="386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3"/>
      <c r="M491" s="4"/>
      <c r="N491" s="3"/>
      <c r="O491" s="3"/>
      <c r="P491" s="4"/>
      <c r="Q491" s="4"/>
      <c r="R491" s="3"/>
      <c r="S491" s="4"/>
      <c r="T491" s="5"/>
      <c r="U491" s="4"/>
      <c r="V491" s="4"/>
      <c r="W491" s="4"/>
      <c r="X491" s="67"/>
      <c r="Y491" s="4"/>
      <c r="Z491" s="4"/>
      <c r="AA491" s="4"/>
      <c r="AB491" s="386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3"/>
      <c r="M492" s="4"/>
      <c r="N492" s="3"/>
      <c r="O492" s="3"/>
      <c r="P492" s="4"/>
      <c r="Q492" s="4"/>
      <c r="R492" s="3"/>
      <c r="S492" s="4"/>
      <c r="T492" s="5"/>
      <c r="U492" s="4"/>
      <c r="V492" s="4"/>
      <c r="W492" s="4"/>
      <c r="X492" s="67"/>
      <c r="Y492" s="4"/>
      <c r="Z492" s="4"/>
      <c r="AA492" s="4"/>
      <c r="AB492" s="386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3"/>
      <c r="M493" s="4"/>
      <c r="N493" s="3"/>
      <c r="O493" s="3"/>
      <c r="P493" s="4"/>
      <c r="Q493" s="4"/>
      <c r="R493" s="3"/>
      <c r="S493" s="4"/>
      <c r="T493" s="5"/>
      <c r="U493" s="4"/>
      <c r="V493" s="4"/>
      <c r="W493" s="4"/>
      <c r="X493" s="67"/>
      <c r="Y493" s="4"/>
      <c r="Z493" s="4"/>
      <c r="AA493" s="4"/>
      <c r="AB493" s="386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3"/>
      <c r="M494" s="4"/>
      <c r="N494" s="3"/>
      <c r="O494" s="3"/>
      <c r="P494" s="4"/>
      <c r="Q494" s="4"/>
      <c r="R494" s="3"/>
      <c r="S494" s="4"/>
      <c r="T494" s="5"/>
      <c r="U494" s="4"/>
      <c r="V494" s="4"/>
      <c r="W494" s="4"/>
      <c r="X494" s="67"/>
      <c r="Y494" s="4"/>
      <c r="Z494" s="4"/>
      <c r="AA494" s="4"/>
      <c r="AB494" s="386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3"/>
      <c r="M495" s="4"/>
      <c r="N495" s="3"/>
      <c r="O495" s="3"/>
      <c r="P495" s="4"/>
      <c r="Q495" s="4"/>
      <c r="R495" s="3"/>
      <c r="S495" s="4"/>
      <c r="T495" s="5"/>
      <c r="U495" s="4"/>
      <c r="V495" s="4"/>
      <c r="W495" s="4"/>
      <c r="X495" s="67"/>
      <c r="Y495" s="4"/>
      <c r="Z495" s="4"/>
      <c r="AA495" s="4"/>
      <c r="AB495" s="386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3"/>
      <c r="M496" s="4"/>
      <c r="N496" s="3"/>
      <c r="O496" s="3"/>
      <c r="P496" s="4"/>
      <c r="Q496" s="4"/>
      <c r="R496" s="3"/>
      <c r="S496" s="4"/>
      <c r="T496" s="5"/>
      <c r="U496" s="4"/>
      <c r="V496" s="4"/>
      <c r="W496" s="4"/>
      <c r="X496" s="67"/>
      <c r="Y496" s="4"/>
      <c r="Z496" s="4"/>
      <c r="AA496" s="4"/>
      <c r="AB496" s="386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3"/>
      <c r="M497" s="4"/>
      <c r="N497" s="3"/>
      <c r="O497" s="3"/>
      <c r="P497" s="4"/>
      <c r="Q497" s="4"/>
      <c r="R497" s="3"/>
      <c r="S497" s="4"/>
      <c r="T497" s="5"/>
      <c r="U497" s="4"/>
      <c r="V497" s="4"/>
      <c r="W497" s="4"/>
      <c r="X497" s="67"/>
      <c r="Y497" s="4"/>
      <c r="Z497" s="4"/>
      <c r="AA497" s="4"/>
      <c r="AB497" s="386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3"/>
      <c r="M498" s="4"/>
      <c r="N498" s="3"/>
      <c r="O498" s="3"/>
      <c r="P498" s="4"/>
      <c r="Q498" s="4"/>
      <c r="R498" s="3"/>
      <c r="S498" s="4"/>
      <c r="T498" s="5"/>
      <c r="U498" s="4"/>
      <c r="V498" s="4"/>
      <c r="W498" s="4"/>
      <c r="X498" s="67"/>
      <c r="Y498" s="4"/>
      <c r="Z498" s="4"/>
      <c r="AA498" s="4"/>
      <c r="AB498" s="386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3"/>
      <c r="M499" s="4"/>
      <c r="N499" s="3"/>
      <c r="O499" s="3"/>
      <c r="P499" s="4"/>
      <c r="Q499" s="4"/>
      <c r="R499" s="3"/>
      <c r="S499" s="4"/>
      <c r="T499" s="5"/>
      <c r="U499" s="4"/>
      <c r="V499" s="4"/>
      <c r="W499" s="4"/>
      <c r="X499" s="67"/>
      <c r="Y499" s="4"/>
      <c r="Z499" s="4"/>
      <c r="AA499" s="4"/>
      <c r="AB499" s="386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3"/>
      <c r="M500" s="4"/>
      <c r="N500" s="3"/>
      <c r="O500" s="3"/>
      <c r="P500" s="4"/>
      <c r="Q500" s="4"/>
      <c r="R500" s="3"/>
      <c r="S500" s="4"/>
      <c r="T500" s="5"/>
      <c r="U500" s="4"/>
      <c r="V500" s="4"/>
      <c r="W500" s="4"/>
      <c r="X500" s="67"/>
      <c r="Y500" s="4"/>
      <c r="Z500" s="4"/>
      <c r="AA500" s="4"/>
      <c r="AB500" s="386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3"/>
      <c r="M501" s="4"/>
      <c r="N501" s="3"/>
      <c r="O501" s="3"/>
      <c r="P501" s="4"/>
      <c r="Q501" s="4"/>
      <c r="R501" s="3"/>
      <c r="S501" s="4"/>
      <c r="T501" s="5"/>
      <c r="U501" s="4"/>
      <c r="V501" s="4"/>
      <c r="W501" s="4"/>
      <c r="X501" s="67"/>
      <c r="Y501" s="4"/>
      <c r="Z501" s="4"/>
      <c r="AA501" s="4"/>
      <c r="AB501" s="386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3"/>
      <c r="M502" s="4"/>
      <c r="N502" s="3"/>
      <c r="O502" s="3"/>
      <c r="P502" s="4"/>
      <c r="Q502" s="4"/>
      <c r="R502" s="3"/>
      <c r="S502" s="4"/>
      <c r="T502" s="5"/>
      <c r="U502" s="4"/>
      <c r="V502" s="4"/>
      <c r="W502" s="4"/>
      <c r="X502" s="67"/>
      <c r="Y502" s="4"/>
      <c r="Z502" s="4"/>
      <c r="AA502" s="4"/>
      <c r="AB502" s="386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3"/>
      <c r="M503" s="4"/>
      <c r="N503" s="3"/>
      <c r="O503" s="3"/>
      <c r="P503" s="4"/>
      <c r="Q503" s="4"/>
      <c r="R503" s="3"/>
      <c r="S503" s="4"/>
      <c r="T503" s="5"/>
      <c r="U503" s="4"/>
      <c r="V503" s="4"/>
      <c r="W503" s="4"/>
      <c r="X503" s="67"/>
      <c r="Y503" s="4"/>
      <c r="Z503" s="4"/>
      <c r="AA503" s="4"/>
      <c r="AB503" s="386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3"/>
      <c r="M504" s="4"/>
      <c r="N504" s="3"/>
      <c r="O504" s="3"/>
      <c r="P504" s="4"/>
      <c r="Q504" s="4"/>
      <c r="R504" s="3"/>
      <c r="S504" s="4"/>
      <c r="T504" s="5"/>
      <c r="U504" s="4"/>
      <c r="V504" s="4"/>
      <c r="W504" s="4"/>
      <c r="X504" s="67"/>
      <c r="Y504" s="4"/>
      <c r="Z504" s="4"/>
      <c r="AA504" s="4"/>
      <c r="AB504" s="386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3"/>
      <c r="M505" s="4"/>
      <c r="N505" s="3"/>
      <c r="O505" s="3"/>
      <c r="P505" s="4"/>
      <c r="Q505" s="4"/>
      <c r="R505" s="3"/>
      <c r="S505" s="4"/>
      <c r="T505" s="5"/>
      <c r="U505" s="4"/>
      <c r="V505" s="4"/>
      <c r="W505" s="4"/>
      <c r="X505" s="67"/>
      <c r="Y505" s="4"/>
      <c r="Z505" s="4"/>
      <c r="AA505" s="4"/>
      <c r="AB505" s="386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3"/>
      <c r="M506" s="4"/>
      <c r="N506" s="3"/>
      <c r="O506" s="3"/>
      <c r="P506" s="4"/>
      <c r="Q506" s="4"/>
      <c r="R506" s="3"/>
      <c r="S506" s="4"/>
      <c r="T506" s="5"/>
      <c r="U506" s="4"/>
      <c r="V506" s="4"/>
      <c r="W506" s="4"/>
      <c r="X506" s="67"/>
      <c r="Y506" s="4"/>
      <c r="Z506" s="4"/>
      <c r="AA506" s="4"/>
      <c r="AB506" s="386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3"/>
      <c r="M507" s="4"/>
      <c r="N507" s="3"/>
      <c r="O507" s="3"/>
      <c r="P507" s="4"/>
      <c r="Q507" s="4"/>
      <c r="R507" s="3"/>
      <c r="S507" s="4"/>
      <c r="T507" s="5"/>
      <c r="U507" s="4"/>
      <c r="V507" s="4"/>
      <c r="W507" s="4"/>
      <c r="X507" s="67"/>
      <c r="Y507" s="4"/>
      <c r="Z507" s="4"/>
      <c r="AA507" s="4"/>
      <c r="AB507" s="386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3"/>
      <c r="M508" s="4"/>
      <c r="N508" s="3"/>
      <c r="O508" s="3"/>
      <c r="P508" s="4"/>
      <c r="Q508" s="4"/>
      <c r="R508" s="3"/>
      <c r="S508" s="4"/>
      <c r="T508" s="5"/>
      <c r="U508" s="4"/>
      <c r="V508" s="4"/>
      <c r="W508" s="4"/>
      <c r="X508" s="67"/>
      <c r="Y508" s="4"/>
      <c r="Z508" s="4"/>
      <c r="AA508" s="4"/>
      <c r="AB508" s="386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3"/>
      <c r="M509" s="4"/>
      <c r="N509" s="3"/>
      <c r="O509" s="3"/>
      <c r="P509" s="4"/>
      <c r="Q509" s="4"/>
      <c r="R509" s="3"/>
      <c r="S509" s="4"/>
      <c r="T509" s="5"/>
      <c r="U509" s="4"/>
      <c r="V509" s="4"/>
      <c r="W509" s="4"/>
      <c r="X509" s="67"/>
      <c r="Y509" s="4"/>
      <c r="Z509" s="4"/>
      <c r="AA509" s="4"/>
      <c r="AB509" s="386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3"/>
      <c r="M510" s="4"/>
      <c r="N510" s="3"/>
      <c r="O510" s="3"/>
      <c r="P510" s="4"/>
      <c r="Q510" s="4"/>
      <c r="R510" s="3"/>
      <c r="S510" s="4"/>
      <c r="T510" s="5"/>
      <c r="U510" s="4"/>
      <c r="V510" s="4"/>
      <c r="W510" s="4"/>
      <c r="X510" s="67"/>
      <c r="Y510" s="4"/>
      <c r="Z510" s="4"/>
      <c r="AA510" s="4"/>
      <c r="AB510" s="386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3"/>
      <c r="M511" s="4"/>
      <c r="N511" s="3"/>
      <c r="O511" s="3"/>
      <c r="P511" s="4"/>
      <c r="Q511" s="4"/>
      <c r="R511" s="3"/>
      <c r="S511" s="4"/>
      <c r="T511" s="5"/>
      <c r="U511" s="4"/>
      <c r="V511" s="4"/>
      <c r="W511" s="4"/>
      <c r="X511" s="67"/>
      <c r="Y511" s="4"/>
      <c r="Z511" s="4"/>
      <c r="AA511" s="4"/>
      <c r="AB511" s="386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3"/>
      <c r="M512" s="4"/>
      <c r="N512" s="3"/>
      <c r="O512" s="3"/>
      <c r="P512" s="4"/>
      <c r="Q512" s="4"/>
      <c r="R512" s="3"/>
      <c r="S512" s="4"/>
      <c r="T512" s="5"/>
      <c r="U512" s="4"/>
      <c r="V512" s="4"/>
      <c r="W512" s="4"/>
      <c r="X512" s="67"/>
      <c r="Y512" s="4"/>
      <c r="Z512" s="4"/>
      <c r="AA512" s="4"/>
      <c r="AB512" s="386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3"/>
      <c r="M513" s="4"/>
      <c r="N513" s="3"/>
      <c r="O513" s="3"/>
      <c r="P513" s="4"/>
      <c r="Q513" s="4"/>
      <c r="R513" s="3"/>
      <c r="S513" s="4"/>
      <c r="T513" s="5"/>
      <c r="U513" s="4"/>
      <c r="V513" s="4"/>
      <c r="W513" s="4"/>
      <c r="X513" s="67"/>
      <c r="Y513" s="4"/>
      <c r="Z513" s="4"/>
      <c r="AA513" s="4"/>
      <c r="AB513" s="386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3"/>
      <c r="M514" s="4"/>
      <c r="N514" s="3"/>
      <c r="O514" s="3"/>
      <c r="P514" s="4"/>
      <c r="Q514" s="4"/>
      <c r="R514" s="3"/>
      <c r="S514" s="4"/>
      <c r="T514" s="5"/>
      <c r="U514" s="4"/>
      <c r="V514" s="4"/>
      <c r="W514" s="4"/>
      <c r="X514" s="67"/>
      <c r="Y514" s="4"/>
      <c r="Z514" s="4"/>
      <c r="AA514" s="4"/>
      <c r="AB514" s="386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3"/>
      <c r="M515" s="4"/>
      <c r="N515" s="3"/>
      <c r="O515" s="3"/>
      <c r="P515" s="4"/>
      <c r="Q515" s="4"/>
      <c r="R515" s="3"/>
      <c r="S515" s="4"/>
      <c r="T515" s="5"/>
      <c r="U515" s="4"/>
      <c r="V515" s="4"/>
      <c r="W515" s="4"/>
      <c r="X515" s="67"/>
      <c r="Y515" s="4"/>
      <c r="Z515" s="4"/>
      <c r="AA515" s="4"/>
      <c r="AB515" s="386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3"/>
      <c r="M516" s="4"/>
      <c r="N516" s="3"/>
      <c r="O516" s="3"/>
      <c r="P516" s="4"/>
      <c r="Q516" s="4"/>
      <c r="R516" s="3"/>
      <c r="S516" s="4"/>
      <c r="T516" s="5"/>
      <c r="U516" s="4"/>
      <c r="V516" s="4"/>
      <c r="W516" s="4"/>
      <c r="X516" s="67"/>
      <c r="Y516" s="4"/>
      <c r="Z516" s="4"/>
      <c r="AA516" s="4"/>
      <c r="AB516" s="386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3"/>
      <c r="M517" s="4"/>
      <c r="N517" s="3"/>
      <c r="O517" s="3"/>
      <c r="P517" s="4"/>
      <c r="Q517" s="4"/>
      <c r="R517" s="3"/>
      <c r="S517" s="4"/>
      <c r="T517" s="5"/>
      <c r="U517" s="4"/>
      <c r="V517" s="4"/>
      <c r="W517" s="4"/>
      <c r="X517" s="67"/>
      <c r="Y517" s="4"/>
      <c r="Z517" s="4"/>
      <c r="AA517" s="4"/>
      <c r="AB517" s="386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3"/>
      <c r="M518" s="4"/>
      <c r="N518" s="3"/>
      <c r="O518" s="3"/>
      <c r="P518" s="4"/>
      <c r="Q518" s="4"/>
      <c r="R518" s="3"/>
      <c r="S518" s="4"/>
      <c r="T518" s="5"/>
      <c r="U518" s="4"/>
      <c r="V518" s="4"/>
      <c r="W518" s="4"/>
      <c r="X518" s="67"/>
      <c r="Y518" s="4"/>
      <c r="Z518" s="4"/>
      <c r="AA518" s="4"/>
      <c r="AB518" s="386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3"/>
      <c r="M519" s="4"/>
      <c r="N519" s="3"/>
      <c r="O519" s="3"/>
      <c r="P519" s="4"/>
      <c r="Q519" s="4"/>
      <c r="R519" s="3"/>
      <c r="S519" s="4"/>
      <c r="T519" s="5"/>
      <c r="U519" s="4"/>
      <c r="V519" s="4"/>
      <c r="W519" s="4"/>
      <c r="X519" s="67"/>
      <c r="Y519" s="4"/>
      <c r="Z519" s="4"/>
      <c r="AA519" s="4"/>
      <c r="AB519" s="386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3"/>
      <c r="M520" s="4"/>
      <c r="N520" s="3"/>
      <c r="O520" s="3"/>
      <c r="P520" s="4"/>
      <c r="Q520" s="4"/>
      <c r="R520" s="3"/>
      <c r="S520" s="4"/>
      <c r="T520" s="5"/>
      <c r="U520" s="4"/>
      <c r="V520" s="4"/>
      <c r="W520" s="4"/>
      <c r="X520" s="67"/>
      <c r="Y520" s="4"/>
      <c r="Z520" s="4"/>
      <c r="AA520" s="4"/>
      <c r="AB520" s="386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3"/>
      <c r="M521" s="4"/>
      <c r="N521" s="3"/>
      <c r="O521" s="3"/>
      <c r="P521" s="4"/>
      <c r="Q521" s="4"/>
      <c r="R521" s="3"/>
      <c r="S521" s="4"/>
      <c r="T521" s="5"/>
      <c r="U521" s="4"/>
      <c r="V521" s="4"/>
      <c r="W521" s="4"/>
      <c r="X521" s="67"/>
      <c r="Y521" s="4"/>
      <c r="Z521" s="4"/>
      <c r="AA521" s="4"/>
      <c r="AB521" s="386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3"/>
      <c r="M522" s="4"/>
      <c r="N522" s="3"/>
      <c r="O522" s="3"/>
      <c r="P522" s="4"/>
      <c r="Q522" s="4"/>
      <c r="R522" s="3"/>
      <c r="S522" s="4"/>
      <c r="T522" s="5"/>
      <c r="U522" s="4"/>
      <c r="V522" s="4"/>
      <c r="W522" s="4"/>
      <c r="X522" s="67"/>
      <c r="Y522" s="4"/>
      <c r="Z522" s="4"/>
      <c r="AA522" s="4"/>
      <c r="AB522" s="386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3"/>
      <c r="M523" s="4"/>
      <c r="N523" s="3"/>
      <c r="O523" s="3"/>
      <c r="P523" s="4"/>
      <c r="Q523" s="4"/>
      <c r="R523" s="3"/>
      <c r="S523" s="4"/>
      <c r="T523" s="5"/>
      <c r="U523" s="4"/>
      <c r="V523" s="4"/>
      <c r="W523" s="4"/>
      <c r="X523" s="67"/>
      <c r="Y523" s="4"/>
      <c r="Z523" s="4"/>
      <c r="AA523" s="4"/>
      <c r="AB523" s="386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3"/>
      <c r="M524" s="4"/>
      <c r="N524" s="3"/>
      <c r="O524" s="3"/>
      <c r="P524" s="4"/>
      <c r="Q524" s="4"/>
      <c r="R524" s="3"/>
      <c r="S524" s="4"/>
      <c r="T524" s="5"/>
      <c r="U524" s="4"/>
      <c r="V524" s="4"/>
      <c r="W524" s="4"/>
      <c r="X524" s="67"/>
      <c r="Y524" s="4"/>
      <c r="Z524" s="4"/>
      <c r="AA524" s="4"/>
      <c r="AB524" s="386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3"/>
      <c r="M525" s="4"/>
      <c r="N525" s="3"/>
      <c r="O525" s="3"/>
      <c r="P525" s="4"/>
      <c r="Q525" s="4"/>
      <c r="R525" s="3"/>
      <c r="S525" s="4"/>
      <c r="T525" s="5"/>
      <c r="U525" s="4"/>
      <c r="V525" s="4"/>
      <c r="W525" s="4"/>
      <c r="X525" s="67"/>
      <c r="Y525" s="4"/>
      <c r="Z525" s="4"/>
      <c r="AA525" s="4"/>
      <c r="AB525" s="386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3"/>
      <c r="M526" s="4"/>
      <c r="N526" s="3"/>
      <c r="O526" s="3"/>
      <c r="P526" s="4"/>
      <c r="Q526" s="4"/>
      <c r="R526" s="3"/>
      <c r="S526" s="4"/>
      <c r="T526" s="5"/>
      <c r="U526" s="4"/>
      <c r="V526" s="4"/>
      <c r="W526" s="4"/>
      <c r="X526" s="67"/>
      <c r="Y526" s="4"/>
      <c r="Z526" s="4"/>
      <c r="AA526" s="4"/>
      <c r="AB526" s="386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3"/>
      <c r="M527" s="4"/>
      <c r="N527" s="3"/>
      <c r="O527" s="3"/>
      <c r="P527" s="4"/>
      <c r="Q527" s="4"/>
      <c r="R527" s="3"/>
      <c r="S527" s="4"/>
      <c r="T527" s="5"/>
      <c r="U527" s="4"/>
      <c r="V527" s="4"/>
      <c r="W527" s="4"/>
      <c r="X527" s="67"/>
      <c r="Y527" s="4"/>
      <c r="Z527" s="4"/>
      <c r="AA527" s="4"/>
      <c r="AB527" s="386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3"/>
      <c r="M528" s="4"/>
      <c r="N528" s="3"/>
      <c r="O528" s="3"/>
      <c r="P528" s="4"/>
      <c r="Q528" s="4"/>
      <c r="R528" s="3"/>
      <c r="S528" s="4"/>
      <c r="T528" s="5"/>
      <c r="U528" s="4"/>
      <c r="V528" s="4"/>
      <c r="W528" s="4"/>
      <c r="X528" s="67"/>
      <c r="Y528" s="4"/>
      <c r="Z528" s="4"/>
      <c r="AA528" s="4"/>
      <c r="AB528" s="386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3"/>
      <c r="M529" s="4"/>
      <c r="N529" s="3"/>
      <c r="O529" s="3"/>
      <c r="P529" s="4"/>
      <c r="Q529" s="4"/>
      <c r="R529" s="3"/>
      <c r="S529" s="4"/>
      <c r="T529" s="5"/>
      <c r="U529" s="4"/>
      <c r="V529" s="4"/>
      <c r="W529" s="4"/>
      <c r="X529" s="67"/>
      <c r="Y529" s="4"/>
      <c r="Z529" s="4"/>
      <c r="AA529" s="4"/>
      <c r="AB529" s="386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3"/>
      <c r="M530" s="4"/>
      <c r="N530" s="3"/>
      <c r="O530" s="3"/>
      <c r="P530" s="4"/>
      <c r="Q530" s="4"/>
      <c r="R530" s="3"/>
      <c r="S530" s="4"/>
      <c r="T530" s="5"/>
      <c r="U530" s="4"/>
      <c r="V530" s="4"/>
      <c r="W530" s="4"/>
      <c r="X530" s="67"/>
      <c r="Y530" s="4"/>
      <c r="Z530" s="4"/>
      <c r="AA530" s="4"/>
      <c r="AB530" s="386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3"/>
      <c r="M531" s="4"/>
      <c r="N531" s="3"/>
      <c r="O531" s="3"/>
      <c r="P531" s="4"/>
      <c r="Q531" s="4"/>
      <c r="R531" s="3"/>
      <c r="S531" s="4"/>
      <c r="T531" s="5"/>
      <c r="U531" s="4"/>
      <c r="V531" s="4"/>
      <c r="W531" s="4"/>
      <c r="X531" s="67"/>
      <c r="Y531" s="4"/>
      <c r="Z531" s="4"/>
      <c r="AA531" s="4"/>
      <c r="AB531" s="386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3"/>
      <c r="M532" s="4"/>
      <c r="N532" s="3"/>
      <c r="O532" s="3"/>
      <c r="P532" s="4"/>
      <c r="Q532" s="4"/>
      <c r="R532" s="3"/>
      <c r="S532" s="4"/>
      <c r="T532" s="5"/>
      <c r="U532" s="4"/>
      <c r="V532" s="4"/>
      <c r="W532" s="4"/>
      <c r="X532" s="67"/>
      <c r="Y532" s="4"/>
      <c r="Z532" s="4"/>
      <c r="AA532" s="4"/>
      <c r="AB532" s="386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3"/>
      <c r="M533" s="4"/>
      <c r="N533" s="3"/>
      <c r="O533" s="3"/>
      <c r="P533" s="4"/>
      <c r="Q533" s="4"/>
      <c r="R533" s="3"/>
      <c r="S533" s="4"/>
      <c r="T533" s="5"/>
      <c r="U533" s="4"/>
      <c r="V533" s="4"/>
      <c r="W533" s="4"/>
      <c r="X533" s="67"/>
      <c r="Y533" s="4"/>
      <c r="Z533" s="4"/>
      <c r="AA533" s="4"/>
      <c r="AB533" s="386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3"/>
      <c r="M534" s="4"/>
      <c r="N534" s="3"/>
      <c r="O534" s="3"/>
      <c r="P534" s="4"/>
      <c r="Q534" s="4"/>
      <c r="R534" s="3"/>
      <c r="S534" s="4"/>
      <c r="T534" s="5"/>
      <c r="U534" s="4"/>
      <c r="V534" s="4"/>
      <c r="W534" s="4"/>
      <c r="X534" s="67"/>
      <c r="Y534" s="4"/>
      <c r="Z534" s="4"/>
      <c r="AA534" s="4"/>
      <c r="AB534" s="386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3"/>
      <c r="M535" s="4"/>
      <c r="N535" s="3"/>
      <c r="O535" s="3"/>
      <c r="P535" s="4"/>
      <c r="Q535" s="4"/>
      <c r="R535" s="3"/>
      <c r="S535" s="4"/>
      <c r="T535" s="5"/>
      <c r="U535" s="4"/>
      <c r="V535" s="4"/>
      <c r="W535" s="4"/>
      <c r="X535" s="67"/>
      <c r="Y535" s="4"/>
      <c r="Z535" s="4"/>
      <c r="AA535" s="4"/>
      <c r="AB535" s="386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3"/>
      <c r="M536" s="4"/>
      <c r="N536" s="3"/>
      <c r="O536" s="3"/>
      <c r="P536" s="4"/>
      <c r="Q536" s="4"/>
      <c r="R536" s="3"/>
      <c r="S536" s="4"/>
      <c r="T536" s="5"/>
      <c r="U536" s="4"/>
      <c r="V536" s="4"/>
      <c r="W536" s="4"/>
      <c r="X536" s="67"/>
      <c r="Y536" s="4"/>
      <c r="Z536" s="4"/>
      <c r="AA536" s="4"/>
      <c r="AB536" s="386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3"/>
      <c r="M537" s="4"/>
      <c r="N537" s="3"/>
      <c r="O537" s="3"/>
      <c r="P537" s="4"/>
      <c r="Q537" s="4"/>
      <c r="R537" s="3"/>
      <c r="S537" s="4"/>
      <c r="T537" s="5"/>
      <c r="U537" s="4"/>
      <c r="V537" s="4"/>
      <c r="W537" s="4"/>
      <c r="X537" s="67"/>
      <c r="Y537" s="4"/>
      <c r="Z537" s="4"/>
      <c r="AA537" s="4"/>
      <c r="AB537" s="386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3"/>
      <c r="M538" s="4"/>
      <c r="N538" s="3"/>
      <c r="O538" s="3"/>
      <c r="P538" s="4"/>
      <c r="Q538" s="4"/>
      <c r="R538" s="3"/>
      <c r="S538" s="4"/>
      <c r="T538" s="5"/>
      <c r="U538" s="4"/>
      <c r="V538" s="4"/>
      <c r="W538" s="4"/>
      <c r="X538" s="67"/>
      <c r="Y538" s="4"/>
      <c r="Z538" s="4"/>
      <c r="AA538" s="4"/>
      <c r="AB538" s="386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3"/>
      <c r="M539" s="4"/>
      <c r="N539" s="3"/>
      <c r="O539" s="3"/>
      <c r="P539" s="4"/>
      <c r="Q539" s="4"/>
      <c r="R539" s="3"/>
      <c r="S539" s="4"/>
      <c r="T539" s="5"/>
      <c r="U539" s="4"/>
      <c r="V539" s="4"/>
      <c r="W539" s="4"/>
      <c r="X539" s="67"/>
      <c r="Y539" s="4"/>
      <c r="Z539" s="4"/>
      <c r="AA539" s="4"/>
      <c r="AB539" s="386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3"/>
      <c r="M540" s="4"/>
      <c r="N540" s="3"/>
      <c r="O540" s="3"/>
      <c r="P540" s="4"/>
      <c r="Q540" s="4"/>
      <c r="R540" s="3"/>
      <c r="S540" s="4"/>
      <c r="T540" s="5"/>
      <c r="U540" s="4"/>
      <c r="V540" s="4"/>
      <c r="W540" s="4"/>
      <c r="X540" s="67"/>
      <c r="Y540" s="4"/>
      <c r="Z540" s="4"/>
      <c r="AA540" s="4"/>
      <c r="AB540" s="386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3"/>
      <c r="M541" s="4"/>
      <c r="N541" s="3"/>
      <c r="O541" s="3"/>
      <c r="P541" s="4"/>
      <c r="Q541" s="4"/>
      <c r="R541" s="3"/>
      <c r="S541" s="4"/>
      <c r="T541" s="5"/>
      <c r="U541" s="4"/>
      <c r="V541" s="4"/>
      <c r="W541" s="4"/>
      <c r="X541" s="67"/>
      <c r="Y541" s="4"/>
      <c r="Z541" s="4"/>
      <c r="AA541" s="4"/>
      <c r="AB541" s="386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3"/>
      <c r="M542" s="4"/>
      <c r="N542" s="3"/>
      <c r="O542" s="3"/>
      <c r="P542" s="4"/>
      <c r="Q542" s="4"/>
      <c r="R542" s="3"/>
      <c r="S542" s="4"/>
      <c r="T542" s="5"/>
      <c r="U542" s="4"/>
      <c r="V542" s="4"/>
      <c r="W542" s="4"/>
      <c r="X542" s="67"/>
      <c r="Y542" s="4"/>
      <c r="Z542" s="4"/>
      <c r="AA542" s="4"/>
      <c r="AB542" s="386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/>
      <c r="M543" s="4"/>
      <c r="N543" s="3"/>
      <c r="O543" s="3"/>
      <c r="P543" s="4"/>
      <c r="Q543" s="4"/>
      <c r="R543" s="3"/>
      <c r="S543" s="4"/>
      <c r="T543" s="5"/>
      <c r="U543" s="4"/>
      <c r="V543" s="4"/>
      <c r="W543" s="4"/>
      <c r="X543" s="67"/>
      <c r="Y543" s="4"/>
      <c r="Z543" s="4"/>
      <c r="AA543" s="4"/>
      <c r="AB543" s="386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/>
      <c r="M544" s="4"/>
      <c r="N544" s="3"/>
      <c r="O544" s="3"/>
      <c r="P544" s="4"/>
      <c r="Q544" s="4"/>
      <c r="R544" s="3"/>
      <c r="S544" s="4"/>
      <c r="T544" s="5"/>
      <c r="U544" s="4"/>
      <c r="V544" s="4"/>
      <c r="W544" s="4"/>
      <c r="X544" s="67"/>
      <c r="Y544" s="4"/>
      <c r="Z544" s="4"/>
      <c r="AA544" s="4"/>
      <c r="AB544" s="386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3"/>
      <c r="M545" s="4"/>
      <c r="N545" s="3"/>
      <c r="O545" s="3"/>
      <c r="P545" s="4"/>
      <c r="Q545" s="4"/>
      <c r="R545" s="3"/>
      <c r="S545" s="4"/>
      <c r="T545" s="5"/>
      <c r="U545" s="4"/>
      <c r="V545" s="4"/>
      <c r="W545" s="4"/>
      <c r="X545" s="67"/>
      <c r="Y545" s="4"/>
      <c r="Z545" s="4"/>
      <c r="AA545" s="4"/>
      <c r="AB545" s="386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3"/>
      <c r="M546" s="4"/>
      <c r="N546" s="3"/>
      <c r="O546" s="3"/>
      <c r="P546" s="4"/>
      <c r="Q546" s="4"/>
      <c r="R546" s="3"/>
      <c r="S546" s="4"/>
      <c r="T546" s="5"/>
      <c r="U546" s="4"/>
      <c r="V546" s="4"/>
      <c r="W546" s="4"/>
      <c r="X546" s="67"/>
      <c r="Y546" s="4"/>
      <c r="Z546" s="4"/>
      <c r="AA546" s="4"/>
      <c r="AB546" s="386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3"/>
      <c r="M547" s="4"/>
      <c r="N547" s="3"/>
      <c r="O547" s="3"/>
      <c r="P547" s="4"/>
      <c r="Q547" s="4"/>
      <c r="R547" s="3"/>
      <c r="S547" s="4"/>
      <c r="T547" s="5"/>
      <c r="U547" s="4"/>
      <c r="V547" s="4"/>
      <c r="W547" s="4"/>
      <c r="X547" s="67"/>
      <c r="Y547" s="4"/>
      <c r="Z547" s="4"/>
      <c r="AA547" s="4"/>
      <c r="AB547" s="386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3"/>
      <c r="M548" s="4"/>
      <c r="N548" s="3"/>
      <c r="O548" s="3"/>
      <c r="P548" s="4"/>
      <c r="Q548" s="4"/>
      <c r="R548" s="3"/>
      <c r="S548" s="4"/>
      <c r="T548" s="5"/>
      <c r="U548" s="4"/>
      <c r="V548" s="4"/>
      <c r="W548" s="4"/>
      <c r="X548" s="67"/>
      <c r="Y548" s="4"/>
      <c r="Z548" s="4"/>
      <c r="AA548" s="4"/>
      <c r="AB548" s="386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3"/>
      <c r="M549" s="4"/>
      <c r="N549" s="3"/>
      <c r="O549" s="3"/>
      <c r="P549" s="4"/>
      <c r="Q549" s="4"/>
      <c r="R549" s="3"/>
      <c r="S549" s="4"/>
      <c r="T549" s="5"/>
      <c r="U549" s="4"/>
      <c r="V549" s="4"/>
      <c r="W549" s="4"/>
      <c r="X549" s="67"/>
      <c r="Y549" s="4"/>
      <c r="Z549" s="4"/>
      <c r="AA549" s="4"/>
      <c r="AB549" s="386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/>
      <c r="M550" s="4"/>
      <c r="N550" s="3"/>
      <c r="O550" s="3"/>
      <c r="P550" s="4"/>
      <c r="Q550" s="4"/>
      <c r="R550" s="3"/>
      <c r="S550" s="4"/>
      <c r="T550" s="5"/>
      <c r="U550" s="4"/>
      <c r="V550" s="4"/>
      <c r="W550" s="4"/>
      <c r="X550" s="67"/>
      <c r="Y550" s="4"/>
      <c r="Z550" s="4"/>
      <c r="AA550" s="4"/>
      <c r="AB550" s="386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3"/>
      <c r="M551" s="4"/>
      <c r="N551" s="3"/>
      <c r="O551" s="3"/>
      <c r="P551" s="4"/>
      <c r="Q551" s="4"/>
      <c r="R551" s="3"/>
      <c r="S551" s="4"/>
      <c r="T551" s="5"/>
      <c r="U551" s="4"/>
      <c r="V551" s="4"/>
      <c r="W551" s="4"/>
      <c r="X551" s="67"/>
      <c r="Y551" s="4"/>
      <c r="Z551" s="4"/>
      <c r="AA551" s="4"/>
      <c r="AB551" s="386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/>
      <c r="M552" s="4"/>
      <c r="N552" s="3"/>
      <c r="O552" s="3"/>
      <c r="P552" s="4"/>
      <c r="Q552" s="4"/>
      <c r="R552" s="3"/>
      <c r="S552" s="4"/>
      <c r="T552" s="5"/>
      <c r="U552" s="4"/>
      <c r="V552" s="4"/>
      <c r="W552" s="4"/>
      <c r="X552" s="67"/>
      <c r="Y552" s="4"/>
      <c r="Z552" s="4"/>
      <c r="AA552" s="4"/>
      <c r="AB552" s="386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3"/>
      <c r="M553" s="4"/>
      <c r="N553" s="3"/>
      <c r="O553" s="3"/>
      <c r="P553" s="4"/>
      <c r="Q553" s="4"/>
      <c r="R553" s="3"/>
      <c r="S553" s="4"/>
      <c r="T553" s="5"/>
      <c r="U553" s="4"/>
      <c r="V553" s="4"/>
      <c r="W553" s="4"/>
      <c r="X553" s="67"/>
      <c r="Y553" s="4"/>
      <c r="Z553" s="4"/>
      <c r="AA553" s="4"/>
      <c r="AB553" s="386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/>
      <c r="M554" s="4"/>
      <c r="N554" s="3"/>
      <c r="O554" s="3"/>
      <c r="P554" s="4"/>
      <c r="Q554" s="4"/>
      <c r="R554" s="3"/>
      <c r="S554" s="4"/>
      <c r="T554" s="5"/>
      <c r="U554" s="4"/>
      <c r="V554" s="4"/>
      <c r="W554" s="4"/>
      <c r="X554" s="67"/>
      <c r="Y554" s="4"/>
      <c r="Z554" s="4"/>
      <c r="AA554" s="4"/>
      <c r="AB554" s="386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/>
      <c r="M555" s="4"/>
      <c r="N555" s="3"/>
      <c r="O555" s="3"/>
      <c r="P555" s="4"/>
      <c r="Q555" s="4"/>
      <c r="R555" s="3"/>
      <c r="S555" s="4"/>
      <c r="T555" s="5"/>
      <c r="U555" s="4"/>
      <c r="V555" s="4"/>
      <c r="W555" s="4"/>
      <c r="X555" s="67"/>
      <c r="Y555" s="4"/>
      <c r="Z555" s="4"/>
      <c r="AA555" s="4"/>
      <c r="AB555" s="386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/>
      <c r="M556" s="4"/>
      <c r="N556" s="3"/>
      <c r="O556" s="3"/>
      <c r="P556" s="4"/>
      <c r="Q556" s="4"/>
      <c r="R556" s="3"/>
      <c r="S556" s="4"/>
      <c r="T556" s="5"/>
      <c r="U556" s="4"/>
      <c r="V556" s="4"/>
      <c r="W556" s="4"/>
      <c r="X556" s="67"/>
      <c r="Y556" s="4"/>
      <c r="Z556" s="4"/>
      <c r="AA556" s="4"/>
      <c r="AB556" s="386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3"/>
      <c r="M557" s="4"/>
      <c r="N557" s="3"/>
      <c r="O557" s="3"/>
      <c r="P557" s="4"/>
      <c r="Q557" s="4"/>
      <c r="R557" s="3"/>
      <c r="S557" s="4"/>
      <c r="T557" s="5"/>
      <c r="U557" s="4"/>
      <c r="V557" s="4"/>
      <c r="W557" s="4"/>
      <c r="X557" s="67"/>
      <c r="Y557" s="4"/>
      <c r="Z557" s="4"/>
      <c r="AA557" s="4"/>
      <c r="AB557" s="386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/>
      <c r="M558" s="4"/>
      <c r="N558" s="3"/>
      <c r="O558" s="3"/>
      <c r="P558" s="4"/>
      <c r="Q558" s="4"/>
      <c r="R558" s="3"/>
      <c r="S558" s="4"/>
      <c r="T558" s="5"/>
      <c r="U558" s="4"/>
      <c r="V558" s="4"/>
      <c r="W558" s="4"/>
      <c r="X558" s="67"/>
      <c r="Y558" s="4"/>
      <c r="Z558" s="4"/>
      <c r="AA558" s="4"/>
      <c r="AB558" s="386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3"/>
      <c r="M559" s="4"/>
      <c r="N559" s="3"/>
      <c r="O559" s="3"/>
      <c r="P559" s="4"/>
      <c r="Q559" s="4"/>
      <c r="R559" s="3"/>
      <c r="S559" s="4"/>
      <c r="T559" s="5"/>
      <c r="U559" s="4"/>
      <c r="V559" s="4"/>
      <c r="W559" s="4"/>
      <c r="X559" s="67"/>
      <c r="Y559" s="4"/>
      <c r="Z559" s="4"/>
      <c r="AA559" s="4"/>
      <c r="AB559" s="386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3"/>
      <c r="M560" s="4"/>
      <c r="N560" s="3"/>
      <c r="O560" s="3"/>
      <c r="P560" s="4"/>
      <c r="Q560" s="4"/>
      <c r="R560" s="3"/>
      <c r="S560" s="4"/>
      <c r="T560" s="5"/>
      <c r="U560" s="4"/>
      <c r="V560" s="4"/>
      <c r="W560" s="4"/>
      <c r="X560" s="67"/>
      <c r="Y560" s="4"/>
      <c r="Z560" s="4"/>
      <c r="AA560" s="4"/>
      <c r="AB560" s="386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3"/>
      <c r="M561" s="4"/>
      <c r="N561" s="3"/>
      <c r="O561" s="3"/>
      <c r="P561" s="4"/>
      <c r="Q561" s="4"/>
      <c r="R561" s="3"/>
      <c r="S561" s="4"/>
      <c r="T561" s="5"/>
      <c r="U561" s="4"/>
      <c r="V561" s="4"/>
      <c r="W561" s="4"/>
      <c r="X561" s="67"/>
      <c r="Y561" s="4"/>
      <c r="Z561" s="4"/>
      <c r="AA561" s="4"/>
      <c r="AB561" s="386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3"/>
      <c r="M562" s="4"/>
      <c r="N562" s="3"/>
      <c r="O562" s="3"/>
      <c r="P562" s="4"/>
      <c r="Q562" s="4"/>
      <c r="R562" s="3"/>
      <c r="S562" s="4"/>
      <c r="T562" s="5"/>
      <c r="U562" s="4"/>
      <c r="V562" s="4"/>
      <c r="W562" s="4"/>
      <c r="X562" s="67"/>
      <c r="Y562" s="4"/>
      <c r="Z562" s="4"/>
      <c r="AA562" s="4"/>
      <c r="AB562" s="386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/>
      <c r="M563" s="4"/>
      <c r="N563" s="3"/>
      <c r="O563" s="3"/>
      <c r="P563" s="4"/>
      <c r="Q563" s="4"/>
      <c r="R563" s="3"/>
      <c r="S563" s="4"/>
      <c r="T563" s="5"/>
      <c r="U563" s="4"/>
      <c r="V563" s="4"/>
      <c r="W563" s="4"/>
      <c r="X563" s="67"/>
      <c r="Y563" s="4"/>
      <c r="Z563" s="4"/>
      <c r="AA563" s="4"/>
      <c r="AB563" s="386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3"/>
      <c r="M564" s="4"/>
      <c r="N564" s="3"/>
      <c r="O564" s="3"/>
      <c r="P564" s="4"/>
      <c r="Q564" s="4"/>
      <c r="R564" s="3"/>
      <c r="S564" s="4"/>
      <c r="T564" s="5"/>
      <c r="U564" s="4"/>
      <c r="V564" s="4"/>
      <c r="W564" s="4"/>
      <c r="X564" s="67"/>
      <c r="Y564" s="4"/>
      <c r="Z564" s="4"/>
      <c r="AA564" s="4"/>
      <c r="AB564" s="386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/>
      <c r="M565" s="4"/>
      <c r="N565" s="3"/>
      <c r="O565" s="3"/>
      <c r="P565" s="4"/>
      <c r="Q565" s="4"/>
      <c r="R565" s="3"/>
      <c r="S565" s="4"/>
      <c r="T565" s="5"/>
      <c r="U565" s="4"/>
      <c r="V565" s="4"/>
      <c r="W565" s="4"/>
      <c r="X565" s="67"/>
      <c r="Y565" s="4"/>
      <c r="Z565" s="4"/>
      <c r="AA565" s="4"/>
      <c r="AB565" s="386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3"/>
      <c r="M566" s="4"/>
      <c r="N566" s="3"/>
      <c r="O566" s="3"/>
      <c r="P566" s="4"/>
      <c r="Q566" s="4"/>
      <c r="R566" s="3"/>
      <c r="S566" s="4"/>
      <c r="T566" s="5"/>
      <c r="U566" s="4"/>
      <c r="V566" s="4"/>
      <c r="W566" s="4"/>
      <c r="X566" s="67"/>
      <c r="Y566" s="4"/>
      <c r="Z566" s="4"/>
      <c r="AA566" s="4"/>
      <c r="AB566" s="386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3"/>
      <c r="M567" s="4"/>
      <c r="N567" s="3"/>
      <c r="O567" s="3"/>
      <c r="P567" s="4"/>
      <c r="Q567" s="4"/>
      <c r="R567" s="3"/>
      <c r="S567" s="4"/>
      <c r="T567" s="5"/>
      <c r="U567" s="4"/>
      <c r="V567" s="4"/>
      <c r="W567" s="4"/>
      <c r="X567" s="67"/>
      <c r="Y567" s="4"/>
      <c r="Z567" s="4"/>
      <c r="AA567" s="4"/>
      <c r="AB567" s="386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3"/>
      <c r="M568" s="4"/>
      <c r="N568" s="3"/>
      <c r="O568" s="3"/>
      <c r="P568" s="4"/>
      <c r="Q568" s="4"/>
      <c r="R568" s="3"/>
      <c r="S568" s="4"/>
      <c r="T568" s="5"/>
      <c r="U568" s="4"/>
      <c r="V568" s="4"/>
      <c r="W568" s="4"/>
      <c r="X568" s="67"/>
      <c r="Y568" s="4"/>
      <c r="Z568" s="4"/>
      <c r="AA568" s="4"/>
      <c r="AB568" s="386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3"/>
      <c r="M569" s="4"/>
      <c r="N569" s="3"/>
      <c r="O569" s="3"/>
      <c r="P569" s="4"/>
      <c r="Q569" s="4"/>
      <c r="R569" s="3"/>
      <c r="S569" s="4"/>
      <c r="T569" s="5"/>
      <c r="U569" s="4"/>
      <c r="V569" s="4"/>
      <c r="W569" s="4"/>
      <c r="X569" s="67"/>
      <c r="Y569" s="4"/>
      <c r="Z569" s="4"/>
      <c r="AA569" s="4"/>
      <c r="AB569" s="386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3"/>
      <c r="M570" s="4"/>
      <c r="N570" s="3"/>
      <c r="O570" s="3"/>
      <c r="P570" s="4"/>
      <c r="Q570" s="4"/>
      <c r="R570" s="3"/>
      <c r="S570" s="4"/>
      <c r="T570" s="5"/>
      <c r="U570" s="4"/>
      <c r="V570" s="4"/>
      <c r="W570" s="4"/>
      <c r="X570" s="67"/>
      <c r="Y570" s="4"/>
      <c r="Z570" s="4"/>
      <c r="AA570" s="4"/>
      <c r="AB570" s="386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3"/>
      <c r="M571" s="4"/>
      <c r="N571" s="3"/>
      <c r="O571" s="3"/>
      <c r="P571" s="4"/>
      <c r="Q571" s="4"/>
      <c r="R571" s="3"/>
      <c r="S571" s="4"/>
      <c r="T571" s="5"/>
      <c r="U571" s="4"/>
      <c r="V571" s="4"/>
      <c r="W571" s="4"/>
      <c r="X571" s="67"/>
      <c r="Y571" s="4"/>
      <c r="Z571" s="4"/>
      <c r="AA571" s="4"/>
      <c r="AB571" s="386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3"/>
      <c r="M572" s="4"/>
      <c r="N572" s="3"/>
      <c r="O572" s="3"/>
      <c r="P572" s="4"/>
      <c r="Q572" s="4"/>
      <c r="R572" s="3"/>
      <c r="S572" s="4"/>
      <c r="T572" s="5"/>
      <c r="U572" s="4"/>
      <c r="V572" s="4"/>
      <c r="W572" s="4"/>
      <c r="X572" s="67"/>
      <c r="Y572" s="4"/>
      <c r="Z572" s="4"/>
      <c r="AA572" s="4"/>
      <c r="AB572" s="386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3"/>
      <c r="M573" s="4"/>
      <c r="N573" s="3"/>
      <c r="O573" s="3"/>
      <c r="P573" s="4"/>
      <c r="Q573" s="4"/>
      <c r="R573" s="3"/>
      <c r="S573" s="4"/>
      <c r="T573" s="5"/>
      <c r="U573" s="4"/>
      <c r="V573" s="4"/>
      <c r="W573" s="4"/>
      <c r="X573" s="67"/>
      <c r="Y573" s="4"/>
      <c r="Z573" s="4"/>
      <c r="AA573" s="4"/>
      <c r="AB573" s="386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3"/>
      <c r="M574" s="4"/>
      <c r="N574" s="3"/>
      <c r="O574" s="3"/>
      <c r="P574" s="4"/>
      <c r="Q574" s="4"/>
      <c r="R574" s="3"/>
      <c r="S574" s="4"/>
      <c r="T574" s="5"/>
      <c r="U574" s="4"/>
      <c r="V574" s="4"/>
      <c r="W574" s="4"/>
      <c r="X574" s="67"/>
      <c r="Y574" s="4"/>
      <c r="Z574" s="4"/>
      <c r="AA574" s="4"/>
      <c r="AB574" s="386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3"/>
      <c r="M575" s="4"/>
      <c r="N575" s="3"/>
      <c r="O575" s="3"/>
      <c r="P575" s="4"/>
      <c r="Q575" s="4"/>
      <c r="R575" s="3"/>
      <c r="S575" s="4"/>
      <c r="T575" s="5"/>
      <c r="U575" s="4"/>
      <c r="V575" s="4"/>
      <c r="W575" s="4"/>
      <c r="X575" s="67"/>
      <c r="Y575" s="4"/>
      <c r="Z575" s="4"/>
      <c r="AA575" s="4"/>
      <c r="AB575" s="386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3"/>
      <c r="M576" s="4"/>
      <c r="N576" s="3"/>
      <c r="O576" s="3"/>
      <c r="P576" s="4"/>
      <c r="Q576" s="4"/>
      <c r="R576" s="3"/>
      <c r="S576" s="4"/>
      <c r="T576" s="5"/>
      <c r="U576" s="4"/>
      <c r="V576" s="4"/>
      <c r="W576" s="4"/>
      <c r="X576" s="67"/>
      <c r="Y576" s="4"/>
      <c r="Z576" s="4"/>
      <c r="AA576" s="4"/>
      <c r="AB576" s="386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3"/>
      <c r="M577" s="4"/>
      <c r="N577" s="3"/>
      <c r="O577" s="3"/>
      <c r="P577" s="4"/>
      <c r="Q577" s="4"/>
      <c r="R577" s="3"/>
      <c r="S577" s="4"/>
      <c r="T577" s="5"/>
      <c r="U577" s="4"/>
      <c r="V577" s="4"/>
      <c r="W577" s="4"/>
      <c r="X577" s="67"/>
      <c r="Y577" s="4"/>
      <c r="Z577" s="4"/>
      <c r="AA577" s="4"/>
      <c r="AB577" s="386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3"/>
      <c r="M578" s="4"/>
      <c r="N578" s="3"/>
      <c r="O578" s="3"/>
      <c r="P578" s="4"/>
      <c r="Q578" s="4"/>
      <c r="R578" s="3"/>
      <c r="S578" s="4"/>
      <c r="T578" s="5"/>
      <c r="U578" s="4"/>
      <c r="V578" s="4"/>
      <c r="W578" s="4"/>
      <c r="X578" s="67"/>
      <c r="Y578" s="4"/>
      <c r="Z578" s="4"/>
      <c r="AA578" s="4"/>
      <c r="AB578" s="386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3"/>
      <c r="M579" s="4"/>
      <c r="N579" s="3"/>
      <c r="O579" s="3"/>
      <c r="P579" s="4"/>
      <c r="Q579" s="4"/>
      <c r="R579" s="3"/>
      <c r="S579" s="4"/>
      <c r="T579" s="5"/>
      <c r="U579" s="4"/>
      <c r="V579" s="4"/>
      <c r="W579" s="4"/>
      <c r="X579" s="67"/>
      <c r="Y579" s="4"/>
      <c r="Z579" s="4"/>
      <c r="AA579" s="4"/>
      <c r="AB579" s="386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3"/>
      <c r="M580" s="4"/>
      <c r="N580" s="3"/>
      <c r="O580" s="3"/>
      <c r="P580" s="4"/>
      <c r="Q580" s="4"/>
      <c r="R580" s="3"/>
      <c r="S580" s="4"/>
      <c r="T580" s="5"/>
      <c r="U580" s="4"/>
      <c r="V580" s="4"/>
      <c r="W580" s="4"/>
      <c r="X580" s="67"/>
      <c r="Y580" s="4"/>
      <c r="Z580" s="4"/>
      <c r="AA580" s="4"/>
      <c r="AB580" s="386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3"/>
      <c r="M581" s="4"/>
      <c r="N581" s="3"/>
      <c r="O581" s="3"/>
      <c r="P581" s="4"/>
      <c r="Q581" s="4"/>
      <c r="R581" s="3"/>
      <c r="S581" s="4"/>
      <c r="T581" s="5"/>
      <c r="U581" s="4"/>
      <c r="V581" s="4"/>
      <c r="W581" s="4"/>
      <c r="X581" s="67"/>
      <c r="Y581" s="4"/>
      <c r="Z581" s="4"/>
      <c r="AA581" s="4"/>
      <c r="AB581" s="386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3"/>
      <c r="M582" s="4"/>
      <c r="N582" s="3"/>
      <c r="O582" s="3"/>
      <c r="P582" s="4"/>
      <c r="Q582" s="4"/>
      <c r="R582" s="3"/>
      <c r="S582" s="4"/>
      <c r="T582" s="5"/>
      <c r="U582" s="4"/>
      <c r="V582" s="4"/>
      <c r="W582" s="4"/>
      <c r="X582" s="67"/>
      <c r="Y582" s="4"/>
      <c r="Z582" s="4"/>
      <c r="AA582" s="4"/>
      <c r="AB582" s="386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3"/>
      <c r="M583" s="4"/>
      <c r="N583" s="3"/>
      <c r="O583" s="3"/>
      <c r="P583" s="4"/>
      <c r="Q583" s="4"/>
      <c r="R583" s="3"/>
      <c r="S583" s="4"/>
      <c r="T583" s="5"/>
      <c r="U583" s="4"/>
      <c r="V583" s="4"/>
      <c r="W583" s="4"/>
      <c r="X583" s="67"/>
      <c r="Y583" s="4"/>
      <c r="Z583" s="4"/>
      <c r="AA583" s="4"/>
      <c r="AB583" s="386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3"/>
      <c r="M584" s="4"/>
      <c r="N584" s="3"/>
      <c r="O584" s="3"/>
      <c r="P584" s="4"/>
      <c r="Q584" s="4"/>
      <c r="R584" s="3"/>
      <c r="S584" s="4"/>
      <c r="T584" s="5"/>
      <c r="U584" s="4"/>
      <c r="V584" s="4"/>
      <c r="W584" s="4"/>
      <c r="X584" s="67"/>
      <c r="Y584" s="4"/>
      <c r="Z584" s="4"/>
      <c r="AA584" s="4"/>
      <c r="AB584" s="386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3"/>
      <c r="M585" s="4"/>
      <c r="N585" s="3"/>
      <c r="O585" s="3"/>
      <c r="P585" s="4"/>
      <c r="Q585" s="4"/>
      <c r="R585" s="3"/>
      <c r="S585" s="4"/>
      <c r="T585" s="5"/>
      <c r="U585" s="4"/>
      <c r="V585" s="4"/>
      <c r="W585" s="4"/>
      <c r="X585" s="67"/>
      <c r="Y585" s="4"/>
      <c r="Z585" s="4"/>
      <c r="AA585" s="4"/>
      <c r="AB585" s="386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3"/>
      <c r="M586" s="4"/>
      <c r="N586" s="3"/>
      <c r="O586" s="3"/>
      <c r="P586" s="4"/>
      <c r="Q586" s="4"/>
      <c r="R586" s="3"/>
      <c r="S586" s="4"/>
      <c r="T586" s="5"/>
      <c r="U586" s="4"/>
      <c r="V586" s="4"/>
      <c r="W586" s="4"/>
      <c r="X586" s="67"/>
      <c r="Y586" s="4"/>
      <c r="Z586" s="4"/>
      <c r="AA586" s="4"/>
      <c r="AB586" s="386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3"/>
      <c r="M587" s="4"/>
      <c r="N587" s="3"/>
      <c r="O587" s="3"/>
      <c r="P587" s="4"/>
      <c r="Q587" s="4"/>
      <c r="R587" s="3"/>
      <c r="S587" s="4"/>
      <c r="T587" s="5"/>
      <c r="U587" s="4"/>
      <c r="V587" s="4"/>
      <c r="W587" s="4"/>
      <c r="X587" s="67"/>
      <c r="Y587" s="4"/>
      <c r="Z587" s="4"/>
      <c r="AA587" s="4"/>
      <c r="AB587" s="386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3"/>
      <c r="M588" s="4"/>
      <c r="N588" s="3"/>
      <c r="O588" s="3"/>
      <c r="P588" s="4"/>
      <c r="Q588" s="4"/>
      <c r="R588" s="3"/>
      <c r="S588" s="4"/>
      <c r="T588" s="5"/>
      <c r="U588" s="4"/>
      <c r="V588" s="4"/>
      <c r="W588" s="4"/>
      <c r="X588" s="67"/>
      <c r="Y588" s="4"/>
      <c r="Z588" s="4"/>
      <c r="AA588" s="4"/>
      <c r="AB588" s="386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3"/>
      <c r="M589" s="4"/>
      <c r="N589" s="3"/>
      <c r="O589" s="3"/>
      <c r="P589" s="4"/>
      <c r="Q589" s="4"/>
      <c r="R589" s="3"/>
      <c r="S589" s="4"/>
      <c r="T589" s="5"/>
      <c r="U589" s="4"/>
      <c r="V589" s="4"/>
      <c r="W589" s="4"/>
      <c r="X589" s="67"/>
      <c r="Y589" s="4"/>
      <c r="Z589" s="4"/>
      <c r="AA589" s="4"/>
      <c r="AB589" s="386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3"/>
      <c r="M590" s="4"/>
      <c r="N590" s="3"/>
      <c r="O590" s="3"/>
      <c r="P590" s="4"/>
      <c r="Q590" s="4"/>
      <c r="R590" s="3"/>
      <c r="S590" s="4"/>
      <c r="T590" s="5"/>
      <c r="U590" s="4"/>
      <c r="V590" s="4"/>
      <c r="W590" s="4"/>
      <c r="X590" s="67"/>
      <c r="Y590" s="4"/>
      <c r="Z590" s="4"/>
      <c r="AA590" s="4"/>
      <c r="AB590" s="386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3"/>
      <c r="M591" s="4"/>
      <c r="N591" s="3"/>
      <c r="O591" s="3"/>
      <c r="P591" s="4"/>
      <c r="Q591" s="4"/>
      <c r="R591" s="3"/>
      <c r="S591" s="4"/>
      <c r="T591" s="5"/>
      <c r="U591" s="4"/>
      <c r="V591" s="4"/>
      <c r="W591" s="4"/>
      <c r="X591" s="67"/>
      <c r="Y591" s="4"/>
      <c r="Z591" s="4"/>
      <c r="AA591" s="4"/>
      <c r="AB591" s="386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3"/>
      <c r="M592" s="4"/>
      <c r="N592" s="3"/>
      <c r="O592" s="3"/>
      <c r="P592" s="4"/>
      <c r="Q592" s="4"/>
      <c r="R592" s="3"/>
      <c r="S592" s="4"/>
      <c r="T592" s="5"/>
      <c r="U592" s="4"/>
      <c r="V592" s="4"/>
      <c r="W592" s="4"/>
      <c r="X592" s="67"/>
      <c r="Y592" s="4"/>
      <c r="Z592" s="4"/>
      <c r="AA592" s="4"/>
      <c r="AB592" s="386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3"/>
      <c r="M593" s="4"/>
      <c r="N593" s="3"/>
      <c r="O593" s="3"/>
      <c r="P593" s="4"/>
      <c r="Q593" s="4"/>
      <c r="R593" s="3"/>
      <c r="S593" s="4"/>
      <c r="T593" s="5"/>
      <c r="U593" s="4"/>
      <c r="V593" s="4"/>
      <c r="W593" s="4"/>
      <c r="X593" s="67"/>
      <c r="Y593" s="4"/>
      <c r="Z593" s="4"/>
      <c r="AA593" s="4"/>
      <c r="AB593" s="386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3"/>
      <c r="M594" s="4"/>
      <c r="N594" s="3"/>
      <c r="O594" s="3"/>
      <c r="P594" s="4"/>
      <c r="Q594" s="4"/>
      <c r="R594" s="3"/>
      <c r="S594" s="4"/>
      <c r="T594" s="5"/>
      <c r="U594" s="4"/>
      <c r="V594" s="4"/>
      <c r="W594" s="4"/>
      <c r="X594" s="67"/>
      <c r="Y594" s="4"/>
      <c r="Z594" s="4"/>
      <c r="AA594" s="4"/>
      <c r="AB594" s="386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3"/>
      <c r="M595" s="4"/>
      <c r="N595" s="3"/>
      <c r="O595" s="3"/>
      <c r="P595" s="4"/>
      <c r="Q595" s="4"/>
      <c r="R595" s="3"/>
      <c r="S595" s="4"/>
      <c r="T595" s="5"/>
      <c r="U595" s="4"/>
      <c r="V595" s="4"/>
      <c r="W595" s="4"/>
      <c r="X595" s="67"/>
      <c r="Y595" s="4"/>
      <c r="Z595" s="4"/>
      <c r="AA595" s="4"/>
      <c r="AB595" s="386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3"/>
      <c r="M596" s="4"/>
      <c r="N596" s="3"/>
      <c r="O596" s="3"/>
      <c r="P596" s="4"/>
      <c r="Q596" s="4"/>
      <c r="R596" s="3"/>
      <c r="S596" s="4"/>
      <c r="T596" s="5"/>
      <c r="U596" s="4"/>
      <c r="V596" s="4"/>
      <c r="W596" s="4"/>
      <c r="X596" s="67"/>
      <c r="Y596" s="4"/>
      <c r="Z596" s="4"/>
      <c r="AA596" s="4"/>
      <c r="AB596" s="386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3"/>
      <c r="M597" s="4"/>
      <c r="N597" s="3"/>
      <c r="O597" s="3"/>
      <c r="P597" s="4"/>
      <c r="Q597" s="4"/>
      <c r="R597" s="3"/>
      <c r="S597" s="4"/>
      <c r="T597" s="5"/>
      <c r="U597" s="4"/>
      <c r="V597" s="4"/>
      <c r="W597" s="4"/>
      <c r="X597" s="67"/>
      <c r="Y597" s="4"/>
      <c r="Z597" s="4"/>
      <c r="AA597" s="4"/>
      <c r="AB597" s="386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3"/>
      <c r="M598" s="4"/>
      <c r="N598" s="3"/>
      <c r="O598" s="3"/>
      <c r="P598" s="4"/>
      <c r="Q598" s="4"/>
      <c r="R598" s="3"/>
      <c r="S598" s="4"/>
      <c r="T598" s="5"/>
      <c r="U598" s="4"/>
      <c r="V598" s="4"/>
      <c r="W598" s="4"/>
      <c r="X598" s="67"/>
      <c r="Y598" s="4"/>
      <c r="Z598" s="4"/>
      <c r="AA598" s="4"/>
      <c r="AB598" s="386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3"/>
      <c r="M599" s="4"/>
      <c r="N599" s="3"/>
      <c r="O599" s="3"/>
      <c r="P599" s="4"/>
      <c r="Q599" s="4"/>
      <c r="R599" s="3"/>
      <c r="S599" s="4"/>
      <c r="T599" s="5"/>
      <c r="U599" s="4"/>
      <c r="V599" s="4"/>
      <c r="W599" s="4"/>
      <c r="X599" s="67"/>
      <c r="Y599" s="4"/>
      <c r="Z599" s="4"/>
      <c r="AA599" s="4"/>
      <c r="AB599" s="386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3"/>
      <c r="M600" s="4"/>
      <c r="N600" s="3"/>
      <c r="O600" s="3"/>
      <c r="P600" s="4"/>
      <c r="Q600" s="4"/>
      <c r="R600" s="3"/>
      <c r="S600" s="4"/>
      <c r="T600" s="5"/>
      <c r="U600" s="4"/>
      <c r="V600" s="4"/>
      <c r="W600" s="4"/>
      <c r="X600" s="67"/>
      <c r="Y600" s="4"/>
      <c r="Z600" s="4"/>
      <c r="AA600" s="4"/>
      <c r="AB600" s="386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3"/>
      <c r="M601" s="4"/>
      <c r="N601" s="3"/>
      <c r="O601" s="3"/>
      <c r="P601" s="4"/>
      <c r="Q601" s="4"/>
      <c r="R601" s="3"/>
      <c r="S601" s="4"/>
      <c r="T601" s="5"/>
      <c r="U601" s="4"/>
      <c r="V601" s="4"/>
      <c r="W601" s="4"/>
      <c r="X601" s="67"/>
      <c r="Y601" s="4"/>
      <c r="Z601" s="4"/>
      <c r="AA601" s="4"/>
      <c r="AB601" s="386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3"/>
      <c r="M602" s="4"/>
      <c r="N602" s="3"/>
      <c r="O602" s="3"/>
      <c r="P602" s="4"/>
      <c r="Q602" s="4"/>
      <c r="R602" s="3"/>
      <c r="S602" s="4"/>
      <c r="T602" s="5"/>
      <c r="U602" s="4"/>
      <c r="V602" s="4"/>
      <c r="W602" s="4"/>
      <c r="X602" s="67"/>
      <c r="Y602" s="4"/>
      <c r="Z602" s="4"/>
      <c r="AA602" s="4"/>
      <c r="AB602" s="386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3"/>
      <c r="M603" s="4"/>
      <c r="N603" s="3"/>
      <c r="O603" s="3"/>
      <c r="P603" s="4"/>
      <c r="Q603" s="4"/>
      <c r="R603" s="3"/>
      <c r="S603" s="4"/>
      <c r="T603" s="5"/>
      <c r="U603" s="4"/>
      <c r="V603" s="4"/>
      <c r="W603" s="4"/>
      <c r="X603" s="67"/>
      <c r="Y603" s="4"/>
      <c r="Z603" s="4"/>
      <c r="AA603" s="4"/>
      <c r="AB603" s="386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3"/>
      <c r="M604" s="4"/>
      <c r="N604" s="3"/>
      <c r="O604" s="3"/>
      <c r="P604" s="4"/>
      <c r="Q604" s="4"/>
      <c r="R604" s="3"/>
      <c r="S604" s="4"/>
      <c r="T604" s="5"/>
      <c r="U604" s="4"/>
      <c r="V604" s="4"/>
      <c r="W604" s="4"/>
      <c r="X604" s="67"/>
      <c r="Y604" s="4"/>
      <c r="Z604" s="4"/>
      <c r="AA604" s="4"/>
      <c r="AB604" s="386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3"/>
      <c r="M605" s="4"/>
      <c r="N605" s="3"/>
      <c r="O605" s="3"/>
      <c r="P605" s="4"/>
      <c r="Q605" s="4"/>
      <c r="R605" s="3"/>
      <c r="S605" s="4"/>
      <c r="T605" s="5"/>
      <c r="U605" s="4"/>
      <c r="V605" s="4"/>
      <c r="W605" s="4"/>
      <c r="X605" s="67"/>
      <c r="Y605" s="4"/>
      <c r="Z605" s="4"/>
      <c r="AA605" s="4"/>
      <c r="AB605" s="386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3"/>
      <c r="M606" s="4"/>
      <c r="N606" s="3"/>
      <c r="O606" s="3"/>
      <c r="P606" s="4"/>
      <c r="Q606" s="4"/>
      <c r="R606" s="3"/>
      <c r="S606" s="4"/>
      <c r="T606" s="5"/>
      <c r="U606" s="4"/>
      <c r="V606" s="4"/>
      <c r="W606" s="4"/>
      <c r="X606" s="67"/>
      <c r="Y606" s="4"/>
      <c r="Z606" s="4"/>
      <c r="AA606" s="4"/>
      <c r="AB606" s="386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3"/>
      <c r="M607" s="4"/>
      <c r="N607" s="3"/>
      <c r="O607" s="3"/>
      <c r="P607" s="4"/>
      <c r="Q607" s="4"/>
      <c r="R607" s="3"/>
      <c r="S607" s="4"/>
      <c r="T607" s="5"/>
      <c r="U607" s="4"/>
      <c r="V607" s="4"/>
      <c r="W607" s="4"/>
      <c r="X607" s="67"/>
      <c r="Y607" s="4"/>
      <c r="Z607" s="4"/>
      <c r="AA607" s="4"/>
      <c r="AB607" s="386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3"/>
      <c r="M608" s="4"/>
      <c r="N608" s="3"/>
      <c r="O608" s="3"/>
      <c r="P608" s="4"/>
      <c r="Q608" s="4"/>
      <c r="R608" s="3"/>
      <c r="S608" s="4"/>
      <c r="T608" s="5"/>
      <c r="U608" s="4"/>
      <c r="V608" s="4"/>
      <c r="W608" s="4"/>
      <c r="X608" s="67"/>
      <c r="Y608" s="4"/>
      <c r="Z608" s="4"/>
      <c r="AA608" s="4"/>
      <c r="AB608" s="386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  <c r="M609" s="4"/>
      <c r="N609" s="3"/>
      <c r="O609" s="3"/>
      <c r="P609" s="4"/>
      <c r="Q609" s="4"/>
      <c r="R609" s="3"/>
      <c r="S609" s="4"/>
      <c r="T609" s="5"/>
      <c r="U609" s="4"/>
      <c r="V609" s="4"/>
      <c r="W609" s="4"/>
      <c r="X609" s="67"/>
      <c r="Y609" s="4"/>
      <c r="Z609" s="4"/>
      <c r="AA609" s="4"/>
      <c r="AB609" s="386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  <c r="M610" s="4"/>
      <c r="N610" s="3"/>
      <c r="O610" s="3"/>
      <c r="P610" s="4"/>
      <c r="Q610" s="4"/>
      <c r="R610" s="3"/>
      <c r="S610" s="4"/>
      <c r="T610" s="5"/>
      <c r="U610" s="4"/>
      <c r="V610" s="4"/>
      <c r="W610" s="4"/>
      <c r="X610" s="67"/>
      <c r="Y610" s="4"/>
      <c r="Z610" s="4"/>
      <c r="AA610" s="4"/>
      <c r="AB610" s="386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  <c r="M611" s="4"/>
      <c r="N611" s="3"/>
      <c r="O611" s="3"/>
      <c r="P611" s="4"/>
      <c r="Q611" s="4"/>
      <c r="R611" s="3"/>
      <c r="S611" s="4"/>
      <c r="T611" s="5"/>
      <c r="U611" s="4"/>
      <c r="V611" s="4"/>
      <c r="W611" s="4"/>
      <c r="X611" s="67"/>
      <c r="Y611" s="4"/>
      <c r="Z611" s="4"/>
      <c r="AA611" s="4"/>
      <c r="AB611" s="386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  <c r="M612" s="4"/>
      <c r="N612" s="3"/>
      <c r="O612" s="3"/>
      <c r="P612" s="4"/>
      <c r="Q612" s="4"/>
      <c r="R612" s="3"/>
      <c r="S612" s="4"/>
      <c r="T612" s="5"/>
      <c r="U612" s="4"/>
      <c r="V612" s="4"/>
      <c r="W612" s="4"/>
      <c r="X612" s="67"/>
      <c r="Y612" s="4"/>
      <c r="Z612" s="4"/>
      <c r="AA612" s="4"/>
      <c r="AB612" s="386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  <c r="M613" s="4"/>
      <c r="N613" s="3"/>
      <c r="O613" s="3"/>
      <c r="P613" s="4"/>
      <c r="Q613" s="4"/>
      <c r="R613" s="3"/>
      <c r="S613" s="4"/>
      <c r="T613" s="5"/>
      <c r="U613" s="4"/>
      <c r="V613" s="4"/>
      <c r="W613" s="4"/>
      <c r="X613" s="67"/>
      <c r="Y613" s="4"/>
      <c r="Z613" s="4"/>
      <c r="AA613" s="4"/>
      <c r="AB613" s="386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  <c r="M614" s="4"/>
      <c r="N614" s="3"/>
      <c r="O614" s="3"/>
      <c r="P614" s="4"/>
      <c r="Q614" s="4"/>
      <c r="R614" s="3"/>
      <c r="S614" s="4"/>
      <c r="T614" s="5"/>
      <c r="U614" s="4"/>
      <c r="V614" s="4"/>
      <c r="W614" s="4"/>
      <c r="X614" s="67"/>
      <c r="Y614" s="4"/>
      <c r="Z614" s="4"/>
      <c r="AA614" s="4"/>
      <c r="AB614" s="386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  <c r="M615" s="4"/>
      <c r="N615" s="3"/>
      <c r="O615" s="3"/>
      <c r="P615" s="4"/>
      <c r="Q615" s="4"/>
      <c r="R615" s="3"/>
      <c r="S615" s="4"/>
      <c r="T615" s="5"/>
      <c r="U615" s="4"/>
      <c r="V615" s="4"/>
      <c r="W615" s="4"/>
      <c r="X615" s="67"/>
      <c r="Y615" s="4"/>
      <c r="Z615" s="4"/>
      <c r="AA615" s="4"/>
      <c r="AB615" s="386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  <c r="M616" s="4"/>
      <c r="N616" s="3"/>
      <c r="O616" s="3"/>
      <c r="P616" s="4"/>
      <c r="Q616" s="4"/>
      <c r="R616" s="3"/>
      <c r="S616" s="4"/>
      <c r="T616" s="5"/>
      <c r="U616" s="4"/>
      <c r="V616" s="4"/>
      <c r="W616" s="4"/>
      <c r="X616" s="67"/>
      <c r="Y616" s="4"/>
      <c r="Z616" s="4"/>
      <c r="AA616" s="4"/>
      <c r="AB616" s="386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  <c r="M617" s="4"/>
      <c r="N617" s="3"/>
      <c r="O617" s="3"/>
      <c r="P617" s="4"/>
      <c r="Q617" s="4"/>
      <c r="R617" s="3"/>
      <c r="S617" s="4"/>
      <c r="T617" s="5"/>
      <c r="U617" s="4"/>
      <c r="V617" s="4"/>
      <c r="W617" s="4"/>
      <c r="X617" s="67"/>
      <c r="Y617" s="4"/>
      <c r="Z617" s="4"/>
      <c r="AA617" s="4"/>
      <c r="AB617" s="386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  <c r="M618" s="4"/>
      <c r="N618" s="3"/>
      <c r="O618" s="3"/>
      <c r="P618" s="4"/>
      <c r="Q618" s="4"/>
      <c r="R618" s="3"/>
      <c r="S618" s="4"/>
      <c r="T618" s="5"/>
      <c r="U618" s="4"/>
      <c r="V618" s="4"/>
      <c r="W618" s="4"/>
      <c r="X618" s="67"/>
      <c r="Y618" s="4"/>
      <c r="Z618" s="4"/>
      <c r="AA618" s="4"/>
      <c r="AB618" s="386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  <c r="M619" s="4"/>
      <c r="N619" s="3"/>
      <c r="O619" s="3"/>
      <c r="P619" s="4"/>
      <c r="Q619" s="4"/>
      <c r="R619" s="3"/>
      <c r="S619" s="4"/>
      <c r="T619" s="5"/>
      <c r="U619" s="4"/>
      <c r="V619" s="4"/>
      <c r="W619" s="4"/>
      <c r="X619" s="67"/>
      <c r="Y619" s="4"/>
      <c r="Z619" s="4"/>
      <c r="AA619" s="4"/>
      <c r="AB619" s="386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  <c r="M620" s="4"/>
      <c r="N620" s="3"/>
      <c r="O620" s="3"/>
      <c r="P620" s="4"/>
      <c r="Q620" s="4"/>
      <c r="R620" s="3"/>
      <c r="S620" s="4"/>
      <c r="T620" s="5"/>
      <c r="U620" s="4"/>
      <c r="V620" s="4"/>
      <c r="W620" s="4"/>
      <c r="X620" s="67"/>
      <c r="Y620" s="4"/>
      <c r="Z620" s="4"/>
      <c r="AA620" s="4"/>
      <c r="AB620" s="386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  <c r="M621" s="4"/>
      <c r="N621" s="3"/>
      <c r="O621" s="3"/>
      <c r="P621" s="4"/>
      <c r="Q621" s="4"/>
      <c r="R621" s="3"/>
      <c r="S621" s="4"/>
      <c r="T621" s="5"/>
      <c r="U621" s="4"/>
      <c r="V621" s="4"/>
      <c r="W621" s="4"/>
      <c r="X621" s="67"/>
      <c r="Y621" s="4"/>
      <c r="Z621" s="4"/>
      <c r="AA621" s="4"/>
      <c r="AB621" s="386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  <c r="M622" s="4"/>
      <c r="N622" s="3"/>
      <c r="O622" s="3"/>
      <c r="P622" s="4"/>
      <c r="Q622" s="4"/>
      <c r="R622" s="3"/>
      <c r="S622" s="4"/>
      <c r="T622" s="5"/>
      <c r="U622" s="4"/>
      <c r="V622" s="4"/>
      <c r="W622" s="4"/>
      <c r="X622" s="67"/>
      <c r="Y622" s="4"/>
      <c r="Z622" s="4"/>
      <c r="AA622" s="4"/>
      <c r="AB622" s="386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  <c r="M623" s="4"/>
      <c r="N623" s="3"/>
      <c r="O623" s="3"/>
      <c r="P623" s="4"/>
      <c r="Q623" s="4"/>
      <c r="R623" s="3"/>
      <c r="S623" s="4"/>
      <c r="T623" s="5"/>
      <c r="U623" s="4"/>
      <c r="V623" s="4"/>
      <c r="W623" s="4"/>
      <c r="X623" s="67"/>
      <c r="Y623" s="4"/>
      <c r="Z623" s="4"/>
      <c r="AA623" s="4"/>
      <c r="AB623" s="386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  <c r="M624" s="4"/>
      <c r="N624" s="3"/>
      <c r="O624" s="3"/>
      <c r="P624" s="4"/>
      <c r="Q624" s="4"/>
      <c r="R624" s="3"/>
      <c r="S624" s="4"/>
      <c r="T624" s="5"/>
      <c r="U624" s="4"/>
      <c r="V624" s="4"/>
      <c r="W624" s="4"/>
      <c r="X624" s="67"/>
      <c r="Y624" s="4"/>
      <c r="Z624" s="4"/>
      <c r="AA624" s="4"/>
      <c r="AB624" s="386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  <c r="M625" s="4"/>
      <c r="N625" s="3"/>
      <c r="O625" s="3"/>
      <c r="P625" s="4"/>
      <c r="Q625" s="4"/>
      <c r="R625" s="3"/>
      <c r="S625" s="4"/>
      <c r="T625" s="5"/>
      <c r="U625" s="4"/>
      <c r="V625" s="4"/>
      <c r="W625" s="4"/>
      <c r="X625" s="67"/>
      <c r="Y625" s="4"/>
      <c r="Z625" s="4"/>
      <c r="AA625" s="4"/>
      <c r="AB625" s="386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  <c r="M626" s="4"/>
      <c r="N626" s="3"/>
      <c r="O626" s="3"/>
      <c r="P626" s="4"/>
      <c r="Q626" s="4"/>
      <c r="R626" s="3"/>
      <c r="S626" s="4"/>
      <c r="T626" s="5"/>
      <c r="U626" s="4"/>
      <c r="V626" s="4"/>
      <c r="W626" s="4"/>
      <c r="X626" s="67"/>
      <c r="Y626" s="4"/>
      <c r="Z626" s="4"/>
      <c r="AA626" s="4"/>
      <c r="AB626" s="386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  <c r="M627" s="4"/>
      <c r="N627" s="3"/>
      <c r="O627" s="3"/>
      <c r="P627" s="4"/>
      <c r="Q627" s="4"/>
      <c r="R627" s="3"/>
      <c r="S627" s="4"/>
      <c r="T627" s="5"/>
      <c r="U627" s="4"/>
      <c r="V627" s="4"/>
      <c r="W627" s="4"/>
      <c r="X627" s="67"/>
      <c r="Y627" s="4"/>
      <c r="Z627" s="4"/>
      <c r="AA627" s="4"/>
      <c r="AB627" s="386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  <c r="M628" s="4"/>
      <c r="N628" s="3"/>
      <c r="O628" s="3"/>
      <c r="P628" s="4"/>
      <c r="Q628" s="4"/>
      <c r="R628" s="3"/>
      <c r="S628" s="4"/>
      <c r="T628" s="5"/>
      <c r="U628" s="4"/>
      <c r="V628" s="4"/>
      <c r="W628" s="4"/>
      <c r="X628" s="67"/>
      <c r="Y628" s="4"/>
      <c r="Z628" s="4"/>
      <c r="AA628" s="4"/>
      <c r="AB628" s="386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  <c r="M629" s="4"/>
      <c r="N629" s="3"/>
      <c r="O629" s="3"/>
      <c r="P629" s="4"/>
      <c r="Q629" s="4"/>
      <c r="R629" s="3"/>
      <c r="S629" s="4"/>
      <c r="T629" s="5"/>
      <c r="U629" s="4"/>
      <c r="V629" s="4"/>
      <c r="W629" s="4"/>
      <c r="X629" s="67"/>
      <c r="Y629" s="4"/>
      <c r="Z629" s="4"/>
      <c r="AA629" s="4"/>
      <c r="AB629" s="386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  <c r="M630" s="4"/>
      <c r="N630" s="3"/>
      <c r="O630" s="3"/>
      <c r="P630" s="4"/>
      <c r="Q630" s="4"/>
      <c r="R630" s="3"/>
      <c r="S630" s="4"/>
      <c r="T630" s="5"/>
      <c r="U630" s="4"/>
      <c r="V630" s="4"/>
      <c r="W630" s="4"/>
      <c r="X630" s="67"/>
      <c r="Y630" s="4"/>
      <c r="Z630" s="4"/>
      <c r="AA630" s="4"/>
      <c r="AB630" s="386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  <c r="M631" s="4"/>
      <c r="N631" s="3"/>
      <c r="O631" s="3"/>
      <c r="P631" s="4"/>
      <c r="Q631" s="4"/>
      <c r="R631" s="3"/>
      <c r="S631" s="4"/>
      <c r="T631" s="5"/>
      <c r="U631" s="4"/>
      <c r="V631" s="4"/>
      <c r="W631" s="4"/>
      <c r="X631" s="67"/>
      <c r="Y631" s="4"/>
      <c r="Z631" s="4"/>
      <c r="AA631" s="4"/>
      <c r="AB631" s="386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  <c r="M632" s="4"/>
      <c r="N632" s="3"/>
      <c r="O632" s="3"/>
      <c r="P632" s="4"/>
      <c r="Q632" s="4"/>
      <c r="R632" s="3"/>
      <c r="S632" s="4"/>
      <c r="T632" s="5"/>
      <c r="U632" s="4"/>
      <c r="V632" s="4"/>
      <c r="W632" s="4"/>
      <c r="X632" s="67"/>
      <c r="Y632" s="4"/>
      <c r="Z632" s="4"/>
      <c r="AA632" s="4"/>
      <c r="AB632" s="386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3"/>
      <c r="M633" s="4"/>
      <c r="N633" s="3"/>
      <c r="O633" s="3"/>
      <c r="P633" s="4"/>
      <c r="Q633" s="4"/>
      <c r="R633" s="3"/>
      <c r="S633" s="4"/>
      <c r="T633" s="5"/>
      <c r="U633" s="4"/>
      <c r="V633" s="4"/>
      <c r="W633" s="4"/>
      <c r="X633" s="67"/>
      <c r="Y633" s="4"/>
      <c r="Z633" s="4"/>
      <c r="AA633" s="4"/>
      <c r="AB633" s="386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3"/>
      <c r="M634" s="4"/>
      <c r="N634" s="3"/>
      <c r="O634" s="3"/>
      <c r="P634" s="4"/>
      <c r="Q634" s="4"/>
      <c r="R634" s="3"/>
      <c r="S634" s="4"/>
      <c r="T634" s="5"/>
      <c r="U634" s="4"/>
      <c r="V634" s="4"/>
      <c r="W634" s="4"/>
      <c r="X634" s="67"/>
      <c r="Y634" s="4"/>
      <c r="Z634" s="4"/>
      <c r="AA634" s="4"/>
      <c r="AB634" s="386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3"/>
      <c r="M635" s="4"/>
      <c r="N635" s="3"/>
      <c r="O635" s="3"/>
      <c r="P635" s="4"/>
      <c r="Q635" s="4"/>
      <c r="R635" s="3"/>
      <c r="S635" s="4"/>
      <c r="T635" s="5"/>
      <c r="U635" s="4"/>
      <c r="V635" s="4"/>
      <c r="W635" s="4"/>
      <c r="X635" s="67"/>
      <c r="Y635" s="4"/>
      <c r="Z635" s="4"/>
      <c r="AA635" s="4"/>
      <c r="AB635" s="386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3"/>
      <c r="M636" s="4"/>
      <c r="N636" s="3"/>
      <c r="O636" s="3"/>
      <c r="P636" s="4"/>
      <c r="Q636" s="4"/>
      <c r="R636" s="3"/>
      <c r="S636" s="4"/>
      <c r="T636" s="5"/>
      <c r="U636" s="4"/>
      <c r="V636" s="4"/>
      <c r="W636" s="4"/>
      <c r="X636" s="67"/>
      <c r="Y636" s="4"/>
      <c r="Z636" s="4"/>
      <c r="AA636" s="4"/>
      <c r="AB636" s="386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3"/>
      <c r="M637" s="4"/>
      <c r="N637" s="3"/>
      <c r="O637" s="3"/>
      <c r="P637" s="4"/>
      <c r="Q637" s="4"/>
      <c r="R637" s="3"/>
      <c r="S637" s="4"/>
      <c r="T637" s="5"/>
      <c r="U637" s="4"/>
      <c r="V637" s="4"/>
      <c r="W637" s="4"/>
      <c r="X637" s="67"/>
      <c r="Y637" s="4"/>
      <c r="Z637" s="4"/>
      <c r="AA637" s="4"/>
      <c r="AB637" s="386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3"/>
      <c r="M638" s="4"/>
      <c r="N638" s="3"/>
      <c r="O638" s="3"/>
      <c r="P638" s="4"/>
      <c r="Q638" s="4"/>
      <c r="R638" s="3"/>
      <c r="S638" s="4"/>
      <c r="T638" s="5"/>
      <c r="U638" s="4"/>
      <c r="V638" s="4"/>
      <c r="W638" s="4"/>
      <c r="X638" s="67"/>
      <c r="Y638" s="4"/>
      <c r="Z638" s="4"/>
      <c r="AA638" s="4"/>
      <c r="AB638" s="386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3"/>
      <c r="M639" s="4"/>
      <c r="N639" s="3"/>
      <c r="O639" s="3"/>
      <c r="P639" s="4"/>
      <c r="Q639" s="4"/>
      <c r="R639" s="3"/>
      <c r="S639" s="4"/>
      <c r="T639" s="5"/>
      <c r="U639" s="4"/>
      <c r="V639" s="4"/>
      <c r="W639" s="4"/>
      <c r="X639" s="67"/>
      <c r="Y639" s="4"/>
      <c r="Z639" s="4"/>
      <c r="AA639" s="4"/>
      <c r="AB639" s="386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3"/>
      <c r="M640" s="4"/>
      <c r="N640" s="3"/>
      <c r="O640" s="3"/>
      <c r="P640" s="4"/>
      <c r="Q640" s="4"/>
      <c r="R640" s="3"/>
      <c r="S640" s="4"/>
      <c r="T640" s="5"/>
      <c r="U640" s="4"/>
      <c r="V640" s="4"/>
      <c r="W640" s="4"/>
      <c r="X640" s="67"/>
      <c r="Y640" s="4"/>
      <c r="Z640" s="4"/>
      <c r="AA640" s="4"/>
      <c r="AB640" s="386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3"/>
      <c r="M641" s="4"/>
      <c r="N641" s="3"/>
      <c r="O641" s="3"/>
      <c r="P641" s="4"/>
      <c r="Q641" s="4"/>
      <c r="R641" s="3"/>
      <c r="S641" s="4"/>
      <c r="T641" s="5"/>
      <c r="U641" s="4"/>
      <c r="V641" s="4"/>
      <c r="W641" s="4"/>
      <c r="X641" s="67"/>
      <c r="Y641" s="4"/>
      <c r="Z641" s="4"/>
      <c r="AA641" s="4"/>
      <c r="AB641" s="386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3"/>
      <c r="M642" s="4"/>
      <c r="N642" s="3"/>
      <c r="O642" s="3"/>
      <c r="P642" s="4"/>
      <c r="Q642" s="4"/>
      <c r="R642" s="3"/>
      <c r="S642" s="4"/>
      <c r="T642" s="5"/>
      <c r="U642" s="4"/>
      <c r="V642" s="4"/>
      <c r="W642" s="4"/>
      <c r="X642" s="67"/>
      <c r="Y642" s="4"/>
      <c r="Z642" s="4"/>
      <c r="AA642" s="4"/>
      <c r="AB642" s="386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3"/>
      <c r="M643" s="4"/>
      <c r="N643" s="3"/>
      <c r="O643" s="3"/>
      <c r="P643" s="4"/>
      <c r="Q643" s="4"/>
      <c r="R643" s="3"/>
      <c r="S643" s="4"/>
      <c r="T643" s="5"/>
      <c r="U643" s="4"/>
      <c r="V643" s="4"/>
      <c r="W643" s="4"/>
      <c r="X643" s="67"/>
      <c r="Y643" s="4"/>
      <c r="Z643" s="4"/>
      <c r="AA643" s="4"/>
      <c r="AB643" s="386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3"/>
      <c r="M644" s="4"/>
      <c r="N644" s="3"/>
      <c r="O644" s="3"/>
      <c r="P644" s="4"/>
      <c r="Q644" s="4"/>
      <c r="R644" s="3"/>
      <c r="S644" s="4"/>
      <c r="T644" s="5"/>
      <c r="U644" s="4"/>
      <c r="V644" s="4"/>
      <c r="W644" s="4"/>
      <c r="X644" s="67"/>
      <c r="Y644" s="4"/>
      <c r="Z644" s="4"/>
      <c r="AA644" s="4"/>
      <c r="AB644" s="386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3"/>
      <c r="M645" s="4"/>
      <c r="N645" s="3"/>
      <c r="O645" s="3"/>
      <c r="P645" s="4"/>
      <c r="Q645" s="4"/>
      <c r="R645" s="3"/>
      <c r="S645" s="4"/>
      <c r="T645" s="5"/>
      <c r="U645" s="4"/>
      <c r="V645" s="4"/>
      <c r="W645" s="4"/>
      <c r="X645" s="67"/>
      <c r="Y645" s="4"/>
      <c r="Z645" s="4"/>
      <c r="AA645" s="4"/>
      <c r="AB645" s="386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3"/>
      <c r="M646" s="4"/>
      <c r="N646" s="3"/>
      <c r="O646" s="3"/>
      <c r="P646" s="4"/>
      <c r="Q646" s="4"/>
      <c r="R646" s="3"/>
      <c r="S646" s="4"/>
      <c r="T646" s="5"/>
      <c r="U646" s="4"/>
      <c r="V646" s="4"/>
      <c r="W646" s="4"/>
      <c r="X646" s="67"/>
      <c r="Y646" s="4"/>
      <c r="Z646" s="4"/>
      <c r="AA646" s="4"/>
      <c r="AB646" s="386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3"/>
      <c r="M647" s="4"/>
      <c r="N647" s="3"/>
      <c r="O647" s="3"/>
      <c r="P647" s="4"/>
      <c r="Q647" s="4"/>
      <c r="R647" s="3"/>
      <c r="S647" s="4"/>
      <c r="T647" s="5"/>
      <c r="U647" s="4"/>
      <c r="V647" s="4"/>
      <c r="W647" s="4"/>
      <c r="X647" s="67"/>
      <c r="Y647" s="4"/>
      <c r="Z647" s="4"/>
      <c r="AA647" s="4"/>
      <c r="AB647" s="386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3"/>
      <c r="M648" s="4"/>
      <c r="N648" s="3"/>
      <c r="O648" s="3"/>
      <c r="P648" s="4"/>
      <c r="Q648" s="4"/>
      <c r="R648" s="3"/>
      <c r="S648" s="4"/>
      <c r="T648" s="5"/>
      <c r="U648" s="4"/>
      <c r="V648" s="4"/>
      <c r="W648" s="4"/>
      <c r="X648" s="67"/>
      <c r="Y648" s="4"/>
      <c r="Z648" s="4"/>
      <c r="AA648" s="4"/>
      <c r="AB648" s="386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3"/>
      <c r="M649" s="4"/>
      <c r="N649" s="3"/>
      <c r="O649" s="3"/>
      <c r="P649" s="4"/>
      <c r="Q649" s="4"/>
      <c r="R649" s="3"/>
      <c r="S649" s="4"/>
      <c r="T649" s="5"/>
      <c r="U649" s="4"/>
      <c r="V649" s="4"/>
      <c r="W649" s="4"/>
      <c r="X649" s="67"/>
      <c r="Y649" s="4"/>
      <c r="Z649" s="4"/>
      <c r="AA649" s="4"/>
      <c r="AB649" s="386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3"/>
      <c r="M650" s="4"/>
      <c r="N650" s="3"/>
      <c r="O650" s="3"/>
      <c r="P650" s="4"/>
      <c r="Q650" s="4"/>
      <c r="R650" s="3"/>
      <c r="S650" s="4"/>
      <c r="T650" s="5"/>
      <c r="U650" s="4"/>
      <c r="V650" s="4"/>
      <c r="W650" s="4"/>
      <c r="X650" s="67"/>
      <c r="Y650" s="4"/>
      <c r="Z650" s="4"/>
      <c r="AA650" s="4"/>
      <c r="AB650" s="386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3"/>
      <c r="M651" s="4"/>
      <c r="N651" s="3"/>
      <c r="O651" s="3"/>
      <c r="P651" s="4"/>
      <c r="Q651" s="4"/>
      <c r="R651" s="3"/>
      <c r="S651" s="4"/>
      <c r="T651" s="5"/>
      <c r="U651" s="4"/>
      <c r="V651" s="4"/>
      <c r="W651" s="4"/>
      <c r="X651" s="67"/>
      <c r="Y651" s="4"/>
      <c r="Z651" s="4"/>
      <c r="AA651" s="4"/>
      <c r="AB651" s="386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3"/>
      <c r="M652" s="4"/>
      <c r="N652" s="3"/>
      <c r="O652" s="3"/>
      <c r="P652" s="4"/>
      <c r="Q652" s="4"/>
      <c r="R652" s="3"/>
      <c r="S652" s="4"/>
      <c r="T652" s="5"/>
      <c r="U652" s="4"/>
      <c r="V652" s="4"/>
      <c r="W652" s="4"/>
      <c r="X652" s="67"/>
      <c r="Y652" s="4"/>
      <c r="Z652" s="4"/>
      <c r="AA652" s="4"/>
      <c r="AB652" s="386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3"/>
      <c r="M653" s="4"/>
      <c r="N653" s="3"/>
      <c r="O653" s="3"/>
      <c r="P653" s="4"/>
      <c r="Q653" s="4"/>
      <c r="R653" s="3"/>
      <c r="S653" s="4"/>
      <c r="T653" s="5"/>
      <c r="U653" s="4"/>
      <c r="V653" s="4"/>
      <c r="W653" s="4"/>
      <c r="X653" s="67"/>
      <c r="Y653" s="4"/>
      <c r="Z653" s="4"/>
      <c r="AA653" s="4"/>
      <c r="AB653" s="386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3"/>
      <c r="M654" s="4"/>
      <c r="N654" s="3"/>
      <c r="O654" s="3"/>
      <c r="P654" s="4"/>
      <c r="Q654" s="4"/>
      <c r="R654" s="3"/>
      <c r="S654" s="4"/>
      <c r="T654" s="5"/>
      <c r="U654" s="4"/>
      <c r="V654" s="4"/>
      <c r="W654" s="4"/>
      <c r="X654" s="67"/>
      <c r="Y654" s="4"/>
      <c r="Z654" s="4"/>
      <c r="AA654" s="4"/>
      <c r="AB654" s="386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3"/>
      <c r="M655" s="4"/>
      <c r="N655" s="3"/>
      <c r="O655" s="3"/>
      <c r="P655" s="4"/>
      <c r="Q655" s="4"/>
      <c r="R655" s="3"/>
      <c r="S655" s="4"/>
      <c r="T655" s="5"/>
      <c r="U655" s="4"/>
      <c r="V655" s="4"/>
      <c r="W655" s="4"/>
      <c r="X655" s="67"/>
      <c r="Y655" s="4"/>
      <c r="Z655" s="4"/>
      <c r="AA655" s="4"/>
      <c r="AB655" s="386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3"/>
      <c r="M656" s="4"/>
      <c r="N656" s="3"/>
      <c r="O656" s="3"/>
      <c r="P656" s="4"/>
      <c r="Q656" s="4"/>
      <c r="R656" s="3"/>
      <c r="S656" s="4"/>
      <c r="T656" s="5"/>
      <c r="U656" s="4"/>
      <c r="V656" s="4"/>
      <c r="W656" s="4"/>
      <c r="X656" s="67"/>
      <c r="Y656" s="4"/>
      <c r="Z656" s="4"/>
      <c r="AA656" s="4"/>
      <c r="AB656" s="386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3"/>
      <c r="M657" s="4"/>
      <c r="N657" s="3"/>
      <c r="O657" s="3"/>
      <c r="P657" s="4"/>
      <c r="Q657" s="4"/>
      <c r="R657" s="3"/>
      <c r="S657" s="4"/>
      <c r="T657" s="5"/>
      <c r="U657" s="4"/>
      <c r="V657" s="4"/>
      <c r="W657" s="4"/>
      <c r="X657" s="67"/>
      <c r="Y657" s="4"/>
      <c r="Z657" s="4"/>
      <c r="AA657" s="4"/>
      <c r="AB657" s="386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3"/>
      <c r="M658" s="4"/>
      <c r="N658" s="3"/>
      <c r="O658" s="3"/>
      <c r="P658" s="4"/>
      <c r="Q658" s="4"/>
      <c r="R658" s="3"/>
      <c r="S658" s="4"/>
      <c r="T658" s="5"/>
      <c r="U658" s="4"/>
      <c r="V658" s="4"/>
      <c r="W658" s="4"/>
      <c r="X658" s="67"/>
      <c r="Y658" s="4"/>
      <c r="Z658" s="4"/>
      <c r="AA658" s="4"/>
      <c r="AB658" s="386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3"/>
      <c r="M659" s="4"/>
      <c r="N659" s="3"/>
      <c r="O659" s="3"/>
      <c r="P659" s="4"/>
      <c r="Q659" s="4"/>
      <c r="R659" s="3"/>
      <c r="S659" s="4"/>
      <c r="T659" s="5"/>
      <c r="U659" s="4"/>
      <c r="V659" s="4"/>
      <c r="W659" s="4"/>
      <c r="X659" s="67"/>
      <c r="Y659" s="4"/>
      <c r="Z659" s="4"/>
      <c r="AA659" s="4"/>
      <c r="AB659" s="386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3"/>
      <c r="M660" s="4"/>
      <c r="N660" s="3"/>
      <c r="O660" s="3"/>
      <c r="P660" s="4"/>
      <c r="Q660" s="4"/>
      <c r="R660" s="3"/>
      <c r="S660" s="4"/>
      <c r="T660" s="5"/>
      <c r="U660" s="4"/>
      <c r="V660" s="4"/>
      <c r="W660" s="4"/>
      <c r="X660" s="67"/>
      <c r="Y660" s="4"/>
      <c r="Z660" s="4"/>
      <c r="AA660" s="4"/>
      <c r="AB660" s="386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3"/>
      <c r="M661" s="4"/>
      <c r="N661" s="3"/>
      <c r="O661" s="3"/>
      <c r="P661" s="4"/>
      <c r="Q661" s="4"/>
      <c r="R661" s="3"/>
      <c r="S661" s="4"/>
      <c r="T661" s="5"/>
      <c r="U661" s="4"/>
      <c r="V661" s="4"/>
      <c r="W661" s="4"/>
      <c r="X661" s="67"/>
      <c r="Y661" s="4"/>
      <c r="Z661" s="4"/>
      <c r="AA661" s="4"/>
      <c r="AB661" s="386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3"/>
      <c r="M662" s="4"/>
      <c r="N662" s="3"/>
      <c r="O662" s="3"/>
      <c r="P662" s="4"/>
      <c r="Q662" s="4"/>
      <c r="R662" s="3"/>
      <c r="S662" s="4"/>
      <c r="T662" s="5"/>
      <c r="U662" s="4"/>
      <c r="V662" s="4"/>
      <c r="W662" s="4"/>
      <c r="X662" s="67"/>
      <c r="Y662" s="4"/>
      <c r="Z662" s="4"/>
      <c r="AA662" s="4"/>
      <c r="AB662" s="386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3"/>
      <c r="M663" s="4"/>
      <c r="N663" s="3"/>
      <c r="O663" s="3"/>
      <c r="P663" s="4"/>
      <c r="Q663" s="4"/>
      <c r="R663" s="3"/>
      <c r="S663" s="4"/>
      <c r="T663" s="5"/>
      <c r="U663" s="4"/>
      <c r="V663" s="4"/>
      <c r="W663" s="4"/>
      <c r="X663" s="67"/>
      <c r="Y663" s="4"/>
      <c r="Z663" s="4"/>
      <c r="AA663" s="4"/>
      <c r="AB663" s="386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3"/>
      <c r="M664" s="4"/>
      <c r="N664" s="3"/>
      <c r="O664" s="3"/>
      <c r="P664" s="4"/>
      <c r="Q664" s="4"/>
      <c r="R664" s="3"/>
      <c r="S664" s="4"/>
      <c r="T664" s="5"/>
      <c r="U664" s="4"/>
      <c r="V664" s="4"/>
      <c r="W664" s="4"/>
      <c r="X664" s="67"/>
      <c r="Y664" s="4"/>
      <c r="Z664" s="4"/>
      <c r="AA664" s="4"/>
      <c r="AB664" s="386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3"/>
      <c r="M665" s="4"/>
      <c r="N665" s="3"/>
      <c r="O665" s="3"/>
      <c r="P665" s="4"/>
      <c r="Q665" s="4"/>
      <c r="R665" s="3"/>
      <c r="S665" s="4"/>
      <c r="T665" s="5"/>
      <c r="U665" s="4"/>
      <c r="V665" s="4"/>
      <c r="W665" s="4"/>
      <c r="X665" s="67"/>
      <c r="Y665" s="4"/>
      <c r="Z665" s="4"/>
      <c r="AA665" s="4"/>
      <c r="AB665" s="386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3"/>
      <c r="M666" s="4"/>
      <c r="N666" s="3"/>
      <c r="O666" s="3"/>
      <c r="P666" s="4"/>
      <c r="Q666" s="4"/>
      <c r="R666" s="3"/>
      <c r="S666" s="4"/>
      <c r="T666" s="5"/>
      <c r="U666" s="4"/>
      <c r="V666" s="4"/>
      <c r="W666" s="4"/>
      <c r="X666" s="67"/>
      <c r="Y666" s="4"/>
      <c r="Z666" s="4"/>
      <c r="AA666" s="4"/>
      <c r="AB666" s="386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3"/>
      <c r="M667" s="4"/>
      <c r="N667" s="3"/>
      <c r="O667" s="3"/>
      <c r="P667" s="4"/>
      <c r="Q667" s="4"/>
      <c r="R667" s="3"/>
      <c r="S667" s="4"/>
      <c r="T667" s="5"/>
      <c r="U667" s="4"/>
      <c r="V667" s="4"/>
      <c r="W667" s="4"/>
      <c r="X667" s="67"/>
      <c r="Y667" s="4"/>
      <c r="Z667" s="4"/>
      <c r="AA667" s="4"/>
      <c r="AB667" s="386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3"/>
      <c r="M668" s="4"/>
      <c r="N668" s="3"/>
      <c r="O668" s="3"/>
      <c r="P668" s="4"/>
      <c r="Q668" s="4"/>
      <c r="R668" s="3"/>
      <c r="S668" s="4"/>
      <c r="T668" s="5"/>
      <c r="U668" s="4"/>
      <c r="V668" s="4"/>
      <c r="W668" s="4"/>
      <c r="X668" s="67"/>
      <c r="Y668" s="4"/>
      <c r="Z668" s="4"/>
      <c r="AA668" s="4"/>
      <c r="AB668" s="386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3"/>
      <c r="M669" s="4"/>
      <c r="N669" s="3"/>
      <c r="O669" s="3"/>
      <c r="P669" s="4"/>
      <c r="Q669" s="4"/>
      <c r="R669" s="3"/>
      <c r="S669" s="4"/>
      <c r="T669" s="5"/>
      <c r="U669" s="4"/>
      <c r="V669" s="4"/>
      <c r="W669" s="4"/>
      <c r="X669" s="67"/>
      <c r="Y669" s="4"/>
      <c r="Z669" s="4"/>
      <c r="AA669" s="4"/>
      <c r="AB669" s="386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3"/>
      <c r="M670" s="4"/>
      <c r="N670" s="3"/>
      <c r="O670" s="3"/>
      <c r="P670" s="4"/>
      <c r="Q670" s="4"/>
      <c r="R670" s="3"/>
      <c r="S670" s="4"/>
      <c r="T670" s="5"/>
      <c r="U670" s="4"/>
      <c r="V670" s="4"/>
      <c r="W670" s="4"/>
      <c r="X670" s="67"/>
      <c r="Y670" s="4"/>
      <c r="Z670" s="4"/>
      <c r="AA670" s="4"/>
      <c r="AB670" s="386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3"/>
      <c r="M671" s="4"/>
      <c r="N671" s="3"/>
      <c r="O671" s="3"/>
      <c r="P671" s="4"/>
      <c r="Q671" s="4"/>
      <c r="R671" s="3"/>
      <c r="S671" s="4"/>
      <c r="T671" s="5"/>
      <c r="U671" s="4"/>
      <c r="V671" s="4"/>
      <c r="W671" s="4"/>
      <c r="X671" s="67"/>
      <c r="Y671" s="4"/>
      <c r="Z671" s="4"/>
      <c r="AA671" s="4"/>
      <c r="AB671" s="386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3"/>
      <c r="M672" s="4"/>
      <c r="N672" s="3"/>
      <c r="O672" s="3"/>
      <c r="P672" s="4"/>
      <c r="Q672" s="4"/>
      <c r="R672" s="3"/>
      <c r="S672" s="4"/>
      <c r="T672" s="5"/>
      <c r="U672" s="4"/>
      <c r="V672" s="4"/>
      <c r="W672" s="4"/>
      <c r="X672" s="67"/>
      <c r="Y672" s="4"/>
      <c r="Z672" s="4"/>
      <c r="AA672" s="4"/>
      <c r="AB672" s="386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3"/>
      <c r="M673" s="4"/>
      <c r="N673" s="3"/>
      <c r="O673" s="3"/>
      <c r="P673" s="4"/>
      <c r="Q673" s="4"/>
      <c r="R673" s="3"/>
      <c r="S673" s="4"/>
      <c r="T673" s="5"/>
      <c r="U673" s="4"/>
      <c r="V673" s="4"/>
      <c r="W673" s="4"/>
      <c r="X673" s="67"/>
      <c r="Y673" s="4"/>
      <c r="Z673" s="4"/>
      <c r="AA673" s="4"/>
      <c r="AB673" s="386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3"/>
      <c r="M674" s="4"/>
      <c r="N674" s="3"/>
      <c r="O674" s="3"/>
      <c r="P674" s="4"/>
      <c r="Q674" s="4"/>
      <c r="R674" s="3"/>
      <c r="S674" s="4"/>
      <c r="T674" s="5"/>
      <c r="U674" s="4"/>
      <c r="V674" s="4"/>
      <c r="W674" s="4"/>
      <c r="X674" s="67"/>
      <c r="Y674" s="4"/>
      <c r="Z674" s="4"/>
      <c r="AA674" s="4"/>
      <c r="AB674" s="386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3"/>
      <c r="M675" s="4"/>
      <c r="N675" s="3"/>
      <c r="O675" s="3"/>
      <c r="P675" s="4"/>
      <c r="Q675" s="4"/>
      <c r="R675" s="3"/>
      <c r="S675" s="4"/>
      <c r="T675" s="5"/>
      <c r="U675" s="4"/>
      <c r="V675" s="4"/>
      <c r="W675" s="4"/>
      <c r="X675" s="67"/>
      <c r="Y675" s="4"/>
      <c r="Z675" s="4"/>
      <c r="AA675" s="4"/>
      <c r="AB675" s="386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3"/>
      <c r="M676" s="4"/>
      <c r="N676" s="3"/>
      <c r="O676" s="3"/>
      <c r="P676" s="4"/>
      <c r="Q676" s="4"/>
      <c r="R676" s="3"/>
      <c r="S676" s="4"/>
      <c r="T676" s="5"/>
      <c r="U676" s="4"/>
      <c r="V676" s="4"/>
      <c r="W676" s="4"/>
      <c r="X676" s="67"/>
      <c r="Y676" s="4"/>
      <c r="Z676" s="4"/>
      <c r="AA676" s="4"/>
      <c r="AB676" s="386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3"/>
      <c r="M677" s="4"/>
      <c r="N677" s="3"/>
      <c r="O677" s="3"/>
      <c r="P677" s="4"/>
      <c r="Q677" s="4"/>
      <c r="R677" s="3"/>
      <c r="S677" s="4"/>
      <c r="T677" s="5"/>
      <c r="U677" s="4"/>
      <c r="V677" s="4"/>
      <c r="W677" s="4"/>
      <c r="X677" s="67"/>
      <c r="Y677" s="4"/>
      <c r="Z677" s="4"/>
      <c r="AA677" s="4"/>
      <c r="AB677" s="386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4"/>
      <c r="N678" s="3"/>
      <c r="O678" s="3"/>
      <c r="P678" s="4"/>
      <c r="Q678" s="4"/>
      <c r="R678" s="3"/>
      <c r="S678" s="4"/>
      <c r="T678" s="5"/>
      <c r="U678" s="4"/>
      <c r="V678" s="4"/>
      <c r="W678" s="4"/>
      <c r="X678" s="67"/>
      <c r="Y678" s="4"/>
      <c r="Z678" s="4"/>
      <c r="AA678" s="4"/>
      <c r="AB678" s="386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4"/>
      <c r="N679" s="3"/>
      <c r="O679" s="3"/>
      <c r="P679" s="4"/>
      <c r="Q679" s="4"/>
      <c r="R679" s="3"/>
      <c r="S679" s="4"/>
      <c r="T679" s="5"/>
      <c r="U679" s="4"/>
      <c r="V679" s="4"/>
      <c r="W679" s="4"/>
      <c r="X679" s="67"/>
      <c r="Y679" s="4"/>
      <c r="Z679" s="4"/>
      <c r="AA679" s="4"/>
      <c r="AB679" s="386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4"/>
      <c r="N680" s="3"/>
      <c r="O680" s="3"/>
      <c r="P680" s="4"/>
      <c r="Q680" s="4"/>
      <c r="R680" s="3"/>
      <c r="S680" s="4"/>
      <c r="T680" s="5"/>
      <c r="U680" s="4"/>
      <c r="V680" s="4"/>
      <c r="W680" s="4"/>
      <c r="X680" s="67"/>
      <c r="Y680" s="4"/>
      <c r="Z680" s="4"/>
      <c r="AA680" s="4"/>
      <c r="AB680" s="386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4"/>
      <c r="N681" s="3"/>
      <c r="O681" s="3"/>
      <c r="P681" s="4"/>
      <c r="Q681" s="4"/>
      <c r="R681" s="3"/>
      <c r="S681" s="4"/>
      <c r="T681" s="5"/>
      <c r="U681" s="4"/>
      <c r="V681" s="4"/>
      <c r="W681" s="4"/>
      <c r="X681" s="67"/>
      <c r="Y681" s="4"/>
      <c r="Z681" s="4"/>
      <c r="AA681" s="4"/>
      <c r="AB681" s="386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4"/>
      <c r="N682" s="3"/>
      <c r="O682" s="3"/>
      <c r="P682" s="4"/>
      <c r="Q682" s="4"/>
      <c r="R682" s="3"/>
      <c r="S682" s="4"/>
      <c r="T682" s="5"/>
      <c r="U682" s="4"/>
      <c r="V682" s="4"/>
      <c r="W682" s="4"/>
      <c r="X682" s="67"/>
      <c r="Y682" s="4"/>
      <c r="Z682" s="4"/>
      <c r="AA682" s="4"/>
      <c r="AB682" s="386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4"/>
      <c r="N683" s="3"/>
      <c r="O683" s="3"/>
      <c r="P683" s="4"/>
      <c r="Q683" s="4"/>
      <c r="R683" s="3"/>
      <c r="S683" s="4"/>
      <c r="T683" s="5"/>
      <c r="U683" s="4"/>
      <c r="V683" s="4"/>
      <c r="W683" s="4"/>
      <c r="X683" s="67"/>
      <c r="Y683" s="4"/>
      <c r="Z683" s="4"/>
      <c r="AA683" s="4"/>
      <c r="AB683" s="386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4"/>
      <c r="N684" s="3"/>
      <c r="O684" s="3"/>
      <c r="P684" s="4"/>
      <c r="Q684" s="4"/>
      <c r="R684" s="3"/>
      <c r="S684" s="4"/>
      <c r="T684" s="5"/>
      <c r="U684" s="4"/>
      <c r="V684" s="4"/>
      <c r="W684" s="4"/>
      <c r="X684" s="67"/>
      <c r="Y684" s="4"/>
      <c r="Z684" s="4"/>
      <c r="AA684" s="4"/>
      <c r="AB684" s="386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4"/>
      <c r="N685" s="3"/>
      <c r="O685" s="3"/>
      <c r="P685" s="4"/>
      <c r="Q685" s="4"/>
      <c r="R685" s="3"/>
      <c r="S685" s="4"/>
      <c r="T685" s="5"/>
      <c r="U685" s="4"/>
      <c r="V685" s="4"/>
      <c r="W685" s="4"/>
      <c r="X685" s="67"/>
      <c r="Y685" s="4"/>
      <c r="Z685" s="4"/>
      <c r="AA685" s="4"/>
      <c r="AB685" s="386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4"/>
      <c r="N686" s="3"/>
      <c r="O686" s="3"/>
      <c r="P686" s="4"/>
      <c r="Q686" s="4"/>
      <c r="R686" s="3"/>
      <c r="S686" s="4"/>
      <c r="T686" s="5"/>
      <c r="U686" s="4"/>
      <c r="V686" s="4"/>
      <c r="W686" s="4"/>
      <c r="X686" s="67"/>
      <c r="Y686" s="4"/>
      <c r="Z686" s="4"/>
      <c r="AA686" s="4"/>
      <c r="AB686" s="386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3"/>
      <c r="M687" s="4"/>
      <c r="N687" s="3"/>
      <c r="O687" s="3"/>
      <c r="P687" s="4"/>
      <c r="Q687" s="4"/>
      <c r="R687" s="3"/>
      <c r="S687" s="4"/>
      <c r="T687" s="5"/>
      <c r="U687" s="4"/>
      <c r="V687" s="4"/>
      <c r="W687" s="4"/>
      <c r="X687" s="67"/>
      <c r="Y687" s="4"/>
      <c r="Z687" s="4"/>
      <c r="AA687" s="4"/>
      <c r="AB687" s="386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3"/>
      <c r="M688" s="4"/>
      <c r="N688" s="3"/>
      <c r="O688" s="3"/>
      <c r="P688" s="4"/>
      <c r="Q688" s="4"/>
      <c r="R688" s="3"/>
      <c r="S688" s="4"/>
      <c r="T688" s="5"/>
      <c r="U688" s="4"/>
      <c r="V688" s="4"/>
      <c r="W688" s="4"/>
      <c r="X688" s="67"/>
      <c r="Y688" s="4"/>
      <c r="Z688" s="4"/>
      <c r="AA688" s="4"/>
      <c r="AB688" s="386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3"/>
      <c r="M689" s="4"/>
      <c r="N689" s="3"/>
      <c r="O689" s="3"/>
      <c r="P689" s="4"/>
      <c r="Q689" s="4"/>
      <c r="R689" s="3"/>
      <c r="S689" s="4"/>
      <c r="T689" s="5"/>
      <c r="U689" s="4"/>
      <c r="V689" s="4"/>
      <c r="W689" s="4"/>
      <c r="X689" s="67"/>
      <c r="Y689" s="4"/>
      <c r="Z689" s="4"/>
      <c r="AA689" s="4"/>
      <c r="AB689" s="386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3"/>
      <c r="M690" s="4"/>
      <c r="N690" s="3"/>
      <c r="O690" s="3"/>
      <c r="P690" s="4"/>
      <c r="Q690" s="4"/>
      <c r="R690" s="3"/>
      <c r="S690" s="4"/>
      <c r="T690" s="5"/>
      <c r="U690" s="4"/>
      <c r="V690" s="4"/>
      <c r="W690" s="4"/>
      <c r="X690" s="67"/>
      <c r="Y690" s="4"/>
      <c r="Z690" s="4"/>
      <c r="AA690" s="4"/>
      <c r="AB690" s="386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3"/>
      <c r="M691" s="4"/>
      <c r="N691" s="3"/>
      <c r="O691" s="3"/>
      <c r="P691" s="4"/>
      <c r="Q691" s="4"/>
      <c r="R691" s="3"/>
      <c r="S691" s="4"/>
      <c r="T691" s="5"/>
      <c r="U691" s="4"/>
      <c r="V691" s="4"/>
      <c r="W691" s="4"/>
      <c r="X691" s="67"/>
      <c r="Y691" s="4"/>
      <c r="Z691" s="4"/>
      <c r="AA691" s="4"/>
      <c r="AB691" s="386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3"/>
      <c r="M692" s="4"/>
      <c r="N692" s="3"/>
      <c r="O692" s="3"/>
      <c r="P692" s="4"/>
      <c r="Q692" s="4"/>
      <c r="R692" s="3"/>
      <c r="S692" s="4"/>
      <c r="T692" s="5"/>
      <c r="U692" s="4"/>
      <c r="V692" s="4"/>
      <c r="W692" s="4"/>
      <c r="X692" s="67"/>
      <c r="Y692" s="4"/>
      <c r="Z692" s="4"/>
      <c r="AA692" s="4"/>
      <c r="AB692" s="386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3"/>
      <c r="M693" s="4"/>
      <c r="N693" s="3"/>
      <c r="O693" s="3"/>
      <c r="P693" s="4"/>
      <c r="Q693" s="4"/>
      <c r="R693" s="3"/>
      <c r="S693" s="4"/>
      <c r="T693" s="5"/>
      <c r="U693" s="4"/>
      <c r="V693" s="4"/>
      <c r="W693" s="4"/>
      <c r="X693" s="67"/>
      <c r="Y693" s="4"/>
      <c r="Z693" s="4"/>
      <c r="AA693" s="4"/>
      <c r="AB693" s="386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3"/>
      <c r="M694" s="4"/>
      <c r="N694" s="3"/>
      <c r="O694" s="3"/>
      <c r="P694" s="4"/>
      <c r="Q694" s="4"/>
      <c r="R694" s="3"/>
      <c r="S694" s="4"/>
      <c r="T694" s="5"/>
      <c r="U694" s="4"/>
      <c r="V694" s="4"/>
      <c r="W694" s="4"/>
      <c r="X694" s="67"/>
      <c r="Y694" s="4"/>
      <c r="Z694" s="4"/>
      <c r="AA694" s="4"/>
      <c r="AB694" s="386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3"/>
      <c r="M695" s="4"/>
      <c r="N695" s="3"/>
      <c r="O695" s="3"/>
      <c r="P695" s="4"/>
      <c r="Q695" s="4"/>
      <c r="R695" s="3"/>
      <c r="S695" s="4"/>
      <c r="T695" s="5"/>
      <c r="U695" s="4"/>
      <c r="V695" s="4"/>
      <c r="W695" s="4"/>
      <c r="X695" s="67"/>
      <c r="Y695" s="4"/>
      <c r="Z695" s="4"/>
      <c r="AA695" s="4"/>
      <c r="AB695" s="386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3"/>
      <c r="M696" s="4"/>
      <c r="N696" s="3"/>
      <c r="O696" s="3"/>
      <c r="P696" s="4"/>
      <c r="Q696" s="4"/>
      <c r="R696" s="3"/>
      <c r="S696" s="4"/>
      <c r="T696" s="5"/>
      <c r="U696" s="4"/>
      <c r="V696" s="4"/>
      <c r="W696" s="4"/>
      <c r="X696" s="67"/>
      <c r="Y696" s="4"/>
      <c r="Z696" s="4"/>
      <c r="AA696" s="4"/>
      <c r="AB696" s="386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3"/>
      <c r="M697" s="4"/>
      <c r="N697" s="3"/>
      <c r="O697" s="3"/>
      <c r="P697" s="4"/>
      <c r="Q697" s="4"/>
      <c r="R697" s="3"/>
      <c r="S697" s="4"/>
      <c r="T697" s="5"/>
      <c r="U697" s="4"/>
      <c r="V697" s="4"/>
      <c r="W697" s="4"/>
      <c r="X697" s="67"/>
      <c r="Y697" s="4"/>
      <c r="Z697" s="4"/>
      <c r="AA697" s="4"/>
      <c r="AB697" s="386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3"/>
      <c r="M698" s="4"/>
      <c r="N698" s="3"/>
      <c r="O698" s="3"/>
      <c r="P698" s="4"/>
      <c r="Q698" s="4"/>
      <c r="R698" s="3"/>
      <c r="S698" s="4"/>
      <c r="T698" s="5"/>
      <c r="U698" s="4"/>
      <c r="V698" s="4"/>
      <c r="W698" s="4"/>
      <c r="X698" s="67"/>
      <c r="Y698" s="4"/>
      <c r="Z698" s="4"/>
      <c r="AA698" s="4"/>
      <c r="AB698" s="386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3"/>
      <c r="M699" s="4"/>
      <c r="N699" s="3"/>
      <c r="O699" s="3"/>
      <c r="P699" s="4"/>
      <c r="Q699" s="4"/>
      <c r="R699" s="3"/>
      <c r="S699" s="4"/>
      <c r="T699" s="5"/>
      <c r="U699" s="4"/>
      <c r="V699" s="4"/>
      <c r="W699" s="4"/>
      <c r="X699" s="67"/>
      <c r="Y699" s="4"/>
      <c r="Z699" s="4"/>
      <c r="AA699" s="4"/>
      <c r="AB699" s="386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3"/>
      <c r="M700" s="4"/>
      <c r="N700" s="3"/>
      <c r="O700" s="3"/>
      <c r="P700" s="4"/>
      <c r="Q700" s="4"/>
      <c r="R700" s="3"/>
      <c r="S700" s="4"/>
      <c r="T700" s="5"/>
      <c r="U700" s="4"/>
      <c r="V700" s="4"/>
      <c r="W700" s="4"/>
      <c r="X700" s="67"/>
      <c r="Y700" s="4"/>
      <c r="Z700" s="4"/>
      <c r="AA700" s="4"/>
      <c r="AB700" s="386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3"/>
      <c r="M701" s="4"/>
      <c r="N701" s="3"/>
      <c r="O701" s="3"/>
      <c r="P701" s="4"/>
      <c r="Q701" s="4"/>
      <c r="R701" s="3"/>
      <c r="S701" s="4"/>
      <c r="T701" s="5"/>
      <c r="U701" s="4"/>
      <c r="V701" s="4"/>
      <c r="W701" s="4"/>
      <c r="X701" s="67"/>
      <c r="Y701" s="4"/>
      <c r="Z701" s="4"/>
      <c r="AA701" s="4"/>
      <c r="AB701" s="386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3"/>
      <c r="M702" s="4"/>
      <c r="N702" s="3"/>
      <c r="O702" s="3"/>
      <c r="P702" s="4"/>
      <c r="Q702" s="4"/>
      <c r="R702" s="3"/>
      <c r="S702" s="4"/>
      <c r="T702" s="5"/>
      <c r="U702" s="4"/>
      <c r="V702" s="4"/>
      <c r="W702" s="4"/>
      <c r="X702" s="67"/>
      <c r="Y702" s="4"/>
      <c r="Z702" s="4"/>
      <c r="AA702" s="4"/>
      <c r="AB702" s="386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3"/>
      <c r="M703" s="4"/>
      <c r="N703" s="3"/>
      <c r="O703" s="3"/>
      <c r="P703" s="4"/>
      <c r="Q703" s="4"/>
      <c r="R703" s="3"/>
      <c r="S703" s="4"/>
      <c r="T703" s="5"/>
      <c r="U703" s="4"/>
      <c r="V703" s="4"/>
      <c r="W703" s="4"/>
      <c r="X703" s="67"/>
      <c r="Y703" s="4"/>
      <c r="Z703" s="4"/>
      <c r="AA703" s="4"/>
      <c r="AB703" s="386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3"/>
      <c r="M704" s="4"/>
      <c r="N704" s="3"/>
      <c r="O704" s="3"/>
      <c r="P704" s="4"/>
      <c r="Q704" s="4"/>
      <c r="R704" s="3"/>
      <c r="S704" s="4"/>
      <c r="T704" s="5"/>
      <c r="U704" s="4"/>
      <c r="V704" s="4"/>
      <c r="W704" s="4"/>
      <c r="X704" s="67"/>
      <c r="Y704" s="4"/>
      <c r="Z704" s="4"/>
      <c r="AA704" s="4"/>
      <c r="AB704" s="386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3"/>
      <c r="M705" s="4"/>
      <c r="N705" s="3"/>
      <c r="O705" s="3"/>
      <c r="P705" s="4"/>
      <c r="Q705" s="4"/>
      <c r="R705" s="3"/>
      <c r="S705" s="4"/>
      <c r="T705" s="5"/>
      <c r="U705" s="4"/>
      <c r="V705" s="4"/>
      <c r="W705" s="4"/>
      <c r="X705" s="67"/>
      <c r="Y705" s="4"/>
      <c r="Z705" s="4"/>
      <c r="AA705" s="4"/>
      <c r="AB705" s="386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3"/>
      <c r="M706" s="4"/>
      <c r="N706" s="3"/>
      <c r="O706" s="3"/>
      <c r="P706" s="4"/>
      <c r="Q706" s="4"/>
      <c r="R706" s="3"/>
      <c r="S706" s="4"/>
      <c r="T706" s="5"/>
      <c r="U706" s="4"/>
      <c r="V706" s="4"/>
      <c r="W706" s="4"/>
      <c r="X706" s="67"/>
      <c r="Y706" s="4"/>
      <c r="Z706" s="4"/>
      <c r="AA706" s="4"/>
      <c r="AB706" s="386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3"/>
      <c r="M707" s="4"/>
      <c r="N707" s="3"/>
      <c r="O707" s="3"/>
      <c r="P707" s="4"/>
      <c r="Q707" s="4"/>
      <c r="R707" s="3"/>
      <c r="S707" s="4"/>
      <c r="T707" s="5"/>
      <c r="U707" s="4"/>
      <c r="V707" s="4"/>
      <c r="W707" s="4"/>
      <c r="X707" s="67"/>
      <c r="Y707" s="4"/>
      <c r="Z707" s="4"/>
      <c r="AA707" s="4"/>
      <c r="AB707" s="386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3"/>
      <c r="M708" s="4"/>
      <c r="N708" s="3"/>
      <c r="O708" s="3"/>
      <c r="P708" s="4"/>
      <c r="Q708" s="4"/>
      <c r="R708" s="3"/>
      <c r="S708" s="4"/>
      <c r="T708" s="5"/>
      <c r="U708" s="4"/>
      <c r="V708" s="4"/>
      <c r="W708" s="4"/>
      <c r="X708" s="67"/>
      <c r="Y708" s="4"/>
      <c r="Z708" s="4"/>
      <c r="AA708" s="4"/>
      <c r="AB708" s="386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4"/>
      <c r="N709" s="3"/>
      <c r="O709" s="3"/>
      <c r="P709" s="4"/>
      <c r="Q709" s="4"/>
      <c r="R709" s="3"/>
      <c r="S709" s="4"/>
      <c r="T709" s="5"/>
      <c r="U709" s="4"/>
      <c r="V709" s="4"/>
      <c r="W709" s="4"/>
      <c r="X709" s="67"/>
      <c r="Y709" s="4"/>
      <c r="Z709" s="4"/>
      <c r="AA709" s="4"/>
      <c r="AB709" s="386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4"/>
      <c r="N710" s="3"/>
      <c r="O710" s="3"/>
      <c r="P710" s="4"/>
      <c r="Q710" s="4"/>
      <c r="R710" s="3"/>
      <c r="S710" s="4"/>
      <c r="T710" s="5"/>
      <c r="U710" s="4"/>
      <c r="V710" s="4"/>
      <c r="W710" s="4"/>
      <c r="X710" s="67"/>
      <c r="Y710" s="4"/>
      <c r="Z710" s="4"/>
      <c r="AA710" s="4"/>
      <c r="AB710" s="386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4"/>
      <c r="N711" s="3"/>
      <c r="O711" s="3"/>
      <c r="P711" s="4"/>
      <c r="Q711" s="4"/>
      <c r="R711" s="3"/>
      <c r="S711" s="4"/>
      <c r="T711" s="5"/>
      <c r="U711" s="4"/>
      <c r="V711" s="4"/>
      <c r="W711" s="4"/>
      <c r="X711" s="67"/>
      <c r="Y711" s="4"/>
      <c r="Z711" s="4"/>
      <c r="AA711" s="4"/>
      <c r="AB711" s="386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4"/>
      <c r="N712" s="3"/>
      <c r="O712" s="3"/>
      <c r="P712" s="4"/>
      <c r="Q712" s="4"/>
      <c r="R712" s="3"/>
      <c r="S712" s="4"/>
      <c r="T712" s="5"/>
      <c r="U712" s="4"/>
      <c r="V712" s="4"/>
      <c r="W712" s="4"/>
      <c r="X712" s="67"/>
      <c r="Y712" s="4"/>
      <c r="Z712" s="4"/>
      <c r="AA712" s="4"/>
      <c r="AB712" s="386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3"/>
      <c r="M713" s="4"/>
      <c r="N713" s="3"/>
      <c r="O713" s="3"/>
      <c r="P713" s="4"/>
      <c r="Q713" s="4"/>
      <c r="R713" s="3"/>
      <c r="S713" s="4"/>
      <c r="T713" s="5"/>
      <c r="U713" s="4"/>
      <c r="V713" s="4"/>
      <c r="W713" s="4"/>
      <c r="X713" s="67"/>
      <c r="Y713" s="4"/>
      <c r="Z713" s="4"/>
      <c r="AA713" s="4"/>
      <c r="AB713" s="386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3"/>
      <c r="M714" s="4"/>
      <c r="N714" s="3"/>
      <c r="O714" s="3"/>
      <c r="P714" s="4"/>
      <c r="Q714" s="4"/>
      <c r="R714" s="3"/>
      <c r="S714" s="4"/>
      <c r="T714" s="5"/>
      <c r="U714" s="4"/>
      <c r="V714" s="4"/>
      <c r="W714" s="4"/>
      <c r="X714" s="67"/>
      <c r="Y714" s="4"/>
      <c r="Z714" s="4"/>
      <c r="AA714" s="4"/>
      <c r="AB714" s="386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3"/>
      <c r="M715" s="4"/>
      <c r="N715" s="3"/>
      <c r="O715" s="3"/>
      <c r="P715" s="4"/>
      <c r="Q715" s="4"/>
      <c r="R715" s="3"/>
      <c r="S715" s="4"/>
      <c r="T715" s="5"/>
      <c r="U715" s="4"/>
      <c r="V715" s="4"/>
      <c r="W715" s="4"/>
      <c r="X715" s="67"/>
      <c r="Y715" s="4"/>
      <c r="Z715" s="4"/>
      <c r="AA715" s="4"/>
      <c r="AB715" s="386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4"/>
      <c r="N716" s="3"/>
      <c r="O716" s="3"/>
      <c r="P716" s="4"/>
      <c r="Q716" s="4"/>
      <c r="R716" s="3"/>
      <c r="S716" s="4"/>
      <c r="T716" s="5"/>
      <c r="U716" s="4"/>
      <c r="V716" s="4"/>
      <c r="W716" s="4"/>
      <c r="X716" s="67"/>
      <c r="Y716" s="4"/>
      <c r="Z716" s="4"/>
      <c r="AA716" s="4"/>
      <c r="AB716" s="386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4"/>
      <c r="N717" s="3"/>
      <c r="O717" s="3"/>
      <c r="P717" s="4"/>
      <c r="Q717" s="4"/>
      <c r="R717" s="3"/>
      <c r="S717" s="4"/>
      <c r="T717" s="5"/>
      <c r="U717" s="4"/>
      <c r="V717" s="4"/>
      <c r="W717" s="4"/>
      <c r="X717" s="67"/>
      <c r="Y717" s="4"/>
      <c r="Z717" s="4"/>
      <c r="AA717" s="4"/>
      <c r="AB717" s="386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3"/>
      <c r="M718" s="4"/>
      <c r="N718" s="3"/>
      <c r="O718" s="3"/>
      <c r="P718" s="4"/>
      <c r="Q718" s="4"/>
      <c r="R718" s="3"/>
      <c r="S718" s="4"/>
      <c r="T718" s="5"/>
      <c r="U718" s="4"/>
      <c r="V718" s="4"/>
      <c r="W718" s="4"/>
      <c r="X718" s="67"/>
      <c r="Y718" s="4"/>
      <c r="Z718" s="4"/>
      <c r="AA718" s="4"/>
      <c r="AB718" s="386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3"/>
      <c r="M719" s="4"/>
      <c r="N719" s="3"/>
      <c r="O719" s="3"/>
      <c r="P719" s="4"/>
      <c r="Q719" s="4"/>
      <c r="R719" s="3"/>
      <c r="S719" s="4"/>
      <c r="T719" s="5"/>
      <c r="U719" s="4"/>
      <c r="V719" s="4"/>
      <c r="W719" s="4"/>
      <c r="X719" s="67"/>
      <c r="Y719" s="4"/>
      <c r="Z719" s="4"/>
      <c r="AA719" s="4"/>
      <c r="AB719" s="386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3"/>
      <c r="M720" s="4"/>
      <c r="N720" s="3"/>
      <c r="O720" s="3"/>
      <c r="P720" s="4"/>
      <c r="Q720" s="4"/>
      <c r="R720" s="3"/>
      <c r="S720" s="4"/>
      <c r="T720" s="5"/>
      <c r="U720" s="4"/>
      <c r="V720" s="4"/>
      <c r="W720" s="4"/>
      <c r="X720" s="67"/>
      <c r="Y720" s="4"/>
      <c r="Z720" s="4"/>
      <c r="AA720" s="4"/>
      <c r="AB720" s="386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3"/>
      <c r="M721" s="4"/>
      <c r="N721" s="3"/>
      <c r="O721" s="3"/>
      <c r="P721" s="4"/>
      <c r="Q721" s="4"/>
      <c r="R721" s="3"/>
      <c r="S721" s="4"/>
      <c r="T721" s="5"/>
      <c r="U721" s="4"/>
      <c r="V721" s="4"/>
      <c r="W721" s="4"/>
      <c r="X721" s="67"/>
      <c r="Y721" s="4"/>
      <c r="Z721" s="4"/>
      <c r="AA721" s="4"/>
      <c r="AB721" s="386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3"/>
      <c r="M722" s="4"/>
      <c r="N722" s="3"/>
      <c r="O722" s="3"/>
      <c r="P722" s="4"/>
      <c r="Q722" s="4"/>
      <c r="R722" s="3"/>
      <c r="S722" s="4"/>
      <c r="T722" s="5"/>
      <c r="U722" s="4"/>
      <c r="V722" s="4"/>
      <c r="W722" s="4"/>
      <c r="X722" s="67"/>
      <c r="Y722" s="4"/>
      <c r="Z722" s="4"/>
      <c r="AA722" s="4"/>
      <c r="AB722" s="386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4"/>
      <c r="N723" s="3"/>
      <c r="O723" s="3"/>
      <c r="P723" s="4"/>
      <c r="Q723" s="4"/>
      <c r="R723" s="3"/>
      <c r="S723" s="4"/>
      <c r="T723" s="5"/>
      <c r="U723" s="4"/>
      <c r="V723" s="4"/>
      <c r="W723" s="4"/>
      <c r="X723" s="67"/>
      <c r="Y723" s="4"/>
      <c r="Z723" s="4"/>
      <c r="AA723" s="4"/>
      <c r="AB723" s="386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4"/>
      <c r="N724" s="3"/>
      <c r="O724" s="3"/>
      <c r="P724" s="4"/>
      <c r="Q724" s="4"/>
      <c r="R724" s="3"/>
      <c r="S724" s="4"/>
      <c r="T724" s="5"/>
      <c r="U724" s="4"/>
      <c r="V724" s="4"/>
      <c r="W724" s="4"/>
      <c r="X724" s="67"/>
      <c r="Y724" s="4"/>
      <c r="Z724" s="4"/>
      <c r="AA724" s="4"/>
      <c r="AB724" s="386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4"/>
      <c r="N725" s="3"/>
      <c r="O725" s="3"/>
      <c r="P725" s="4"/>
      <c r="Q725" s="4"/>
      <c r="R725" s="3"/>
      <c r="S725" s="4"/>
      <c r="T725" s="5"/>
      <c r="U725" s="4"/>
      <c r="V725" s="4"/>
      <c r="W725" s="4"/>
      <c r="X725" s="67"/>
      <c r="Y725" s="4"/>
      <c r="Z725" s="4"/>
      <c r="AA725" s="4"/>
      <c r="AB725" s="386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4"/>
      <c r="N726" s="3"/>
      <c r="O726" s="3"/>
      <c r="P726" s="4"/>
      <c r="Q726" s="4"/>
      <c r="R726" s="3"/>
      <c r="S726" s="4"/>
      <c r="T726" s="5"/>
      <c r="U726" s="4"/>
      <c r="V726" s="4"/>
      <c r="W726" s="4"/>
      <c r="X726" s="67"/>
      <c r="Y726" s="4"/>
      <c r="Z726" s="4"/>
      <c r="AA726" s="4"/>
      <c r="AB726" s="386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4"/>
      <c r="N727" s="3"/>
      <c r="O727" s="3"/>
      <c r="P727" s="4"/>
      <c r="Q727" s="4"/>
      <c r="R727" s="3"/>
      <c r="S727" s="4"/>
      <c r="T727" s="5"/>
      <c r="U727" s="4"/>
      <c r="V727" s="4"/>
      <c r="W727" s="4"/>
      <c r="X727" s="67"/>
      <c r="Y727" s="4"/>
      <c r="Z727" s="4"/>
      <c r="AA727" s="4"/>
      <c r="AB727" s="386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4"/>
      <c r="N728" s="3"/>
      <c r="O728" s="3"/>
      <c r="P728" s="4"/>
      <c r="Q728" s="4"/>
      <c r="R728" s="3"/>
      <c r="S728" s="4"/>
      <c r="T728" s="5"/>
      <c r="U728" s="4"/>
      <c r="V728" s="4"/>
      <c r="W728" s="4"/>
      <c r="X728" s="67"/>
      <c r="Y728" s="4"/>
      <c r="Z728" s="4"/>
      <c r="AA728" s="4"/>
      <c r="AB728" s="386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3"/>
      <c r="M729" s="4"/>
      <c r="N729" s="3"/>
      <c r="O729" s="3"/>
      <c r="P729" s="4"/>
      <c r="Q729" s="4"/>
      <c r="R729" s="3"/>
      <c r="S729" s="4"/>
      <c r="T729" s="5"/>
      <c r="U729" s="4"/>
      <c r="V729" s="4"/>
      <c r="W729" s="4"/>
      <c r="X729" s="67"/>
      <c r="Y729" s="4"/>
      <c r="Z729" s="4"/>
      <c r="AA729" s="4"/>
      <c r="AB729" s="386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3"/>
      <c r="M730" s="4"/>
      <c r="N730" s="3"/>
      <c r="O730" s="3"/>
      <c r="P730" s="4"/>
      <c r="Q730" s="4"/>
      <c r="R730" s="3"/>
      <c r="S730" s="4"/>
      <c r="T730" s="5"/>
      <c r="U730" s="4"/>
      <c r="V730" s="4"/>
      <c r="W730" s="4"/>
      <c r="X730" s="67"/>
      <c r="Y730" s="4"/>
      <c r="Z730" s="4"/>
      <c r="AA730" s="4"/>
      <c r="AB730" s="386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3"/>
      <c r="M731" s="4"/>
      <c r="N731" s="3"/>
      <c r="O731" s="3"/>
      <c r="P731" s="4"/>
      <c r="Q731" s="4"/>
      <c r="R731" s="3"/>
      <c r="S731" s="4"/>
      <c r="T731" s="5"/>
      <c r="U731" s="4"/>
      <c r="V731" s="4"/>
      <c r="W731" s="4"/>
      <c r="X731" s="67"/>
      <c r="Y731" s="4"/>
      <c r="Z731" s="4"/>
      <c r="AA731" s="4"/>
      <c r="AB731" s="386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3"/>
      <c r="M732" s="4"/>
      <c r="N732" s="3"/>
      <c r="O732" s="3"/>
      <c r="P732" s="4"/>
      <c r="Q732" s="4"/>
      <c r="R732" s="3"/>
      <c r="S732" s="4"/>
      <c r="T732" s="5"/>
      <c r="U732" s="4"/>
      <c r="V732" s="4"/>
      <c r="W732" s="4"/>
      <c r="X732" s="67"/>
      <c r="Y732" s="4"/>
      <c r="Z732" s="4"/>
      <c r="AA732" s="4"/>
      <c r="AB732" s="386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3"/>
      <c r="M733" s="4"/>
      <c r="N733" s="3"/>
      <c r="O733" s="3"/>
      <c r="P733" s="4"/>
      <c r="Q733" s="4"/>
      <c r="R733" s="3"/>
      <c r="S733" s="4"/>
      <c r="T733" s="5"/>
      <c r="U733" s="4"/>
      <c r="V733" s="4"/>
      <c r="W733" s="4"/>
      <c r="X733" s="67"/>
      <c r="Y733" s="4"/>
      <c r="Z733" s="4"/>
      <c r="AA733" s="4"/>
      <c r="AB733" s="386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3"/>
      <c r="M734" s="4"/>
      <c r="N734" s="3"/>
      <c r="O734" s="3"/>
      <c r="P734" s="4"/>
      <c r="Q734" s="4"/>
      <c r="R734" s="3"/>
      <c r="S734" s="4"/>
      <c r="T734" s="5"/>
      <c r="U734" s="4"/>
      <c r="V734" s="4"/>
      <c r="W734" s="4"/>
      <c r="X734" s="67"/>
      <c r="Y734" s="4"/>
      <c r="Z734" s="4"/>
      <c r="AA734" s="4"/>
      <c r="AB734" s="386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4"/>
      <c r="N735" s="3"/>
      <c r="O735" s="3"/>
      <c r="P735" s="4"/>
      <c r="Q735" s="4"/>
      <c r="R735" s="3"/>
      <c r="S735" s="4"/>
      <c r="T735" s="5"/>
      <c r="U735" s="4"/>
      <c r="V735" s="4"/>
      <c r="W735" s="4"/>
      <c r="X735" s="67"/>
      <c r="Y735" s="4"/>
      <c r="Z735" s="4"/>
      <c r="AA735" s="4"/>
      <c r="AB735" s="386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3"/>
      <c r="M736" s="4"/>
      <c r="N736" s="3"/>
      <c r="O736" s="3"/>
      <c r="P736" s="4"/>
      <c r="Q736" s="4"/>
      <c r="R736" s="3"/>
      <c r="S736" s="4"/>
      <c r="T736" s="5"/>
      <c r="U736" s="4"/>
      <c r="V736" s="4"/>
      <c r="W736" s="4"/>
      <c r="X736" s="67"/>
      <c r="Y736" s="4"/>
      <c r="Z736" s="4"/>
      <c r="AA736" s="4"/>
      <c r="AB736" s="386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3"/>
      <c r="M737" s="4"/>
      <c r="N737" s="3"/>
      <c r="O737" s="3"/>
      <c r="P737" s="4"/>
      <c r="Q737" s="4"/>
      <c r="R737" s="3"/>
      <c r="S737" s="4"/>
      <c r="T737" s="5"/>
      <c r="U737" s="4"/>
      <c r="V737" s="4"/>
      <c r="W737" s="4"/>
      <c r="X737" s="67"/>
      <c r="Y737" s="4"/>
      <c r="Z737" s="4"/>
      <c r="AA737" s="4"/>
      <c r="AB737" s="386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3"/>
      <c r="M738" s="4"/>
      <c r="N738" s="3"/>
      <c r="O738" s="3"/>
      <c r="P738" s="4"/>
      <c r="Q738" s="4"/>
      <c r="R738" s="3"/>
      <c r="S738" s="4"/>
      <c r="T738" s="5"/>
      <c r="U738" s="4"/>
      <c r="V738" s="4"/>
      <c r="W738" s="4"/>
      <c r="X738" s="67"/>
      <c r="Y738" s="4"/>
      <c r="Z738" s="4"/>
      <c r="AA738" s="4"/>
      <c r="AB738" s="386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3"/>
      <c r="M739" s="4"/>
      <c r="N739" s="3"/>
      <c r="O739" s="3"/>
      <c r="P739" s="4"/>
      <c r="Q739" s="4"/>
      <c r="R739" s="3"/>
      <c r="S739" s="4"/>
      <c r="T739" s="5"/>
      <c r="U739" s="4"/>
      <c r="V739" s="4"/>
      <c r="W739" s="4"/>
      <c r="X739" s="67"/>
      <c r="Y739" s="4"/>
      <c r="Z739" s="4"/>
      <c r="AA739" s="4"/>
      <c r="AB739" s="386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3"/>
      <c r="M740" s="4"/>
      <c r="N740" s="3"/>
      <c r="O740" s="3"/>
      <c r="P740" s="4"/>
      <c r="Q740" s="4"/>
      <c r="R740" s="3"/>
      <c r="S740" s="4"/>
      <c r="T740" s="5"/>
      <c r="U740" s="4"/>
      <c r="V740" s="4"/>
      <c r="W740" s="4"/>
      <c r="X740" s="67"/>
      <c r="Y740" s="4"/>
      <c r="Z740" s="4"/>
      <c r="AA740" s="4"/>
      <c r="AB740" s="386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3"/>
      <c r="M741" s="4"/>
      <c r="N741" s="3"/>
      <c r="O741" s="3"/>
      <c r="P741" s="4"/>
      <c r="Q741" s="4"/>
      <c r="R741" s="3"/>
      <c r="S741" s="4"/>
      <c r="T741" s="5"/>
      <c r="U741" s="4"/>
      <c r="V741" s="4"/>
      <c r="W741" s="4"/>
      <c r="X741" s="67"/>
      <c r="Y741" s="4"/>
      <c r="Z741" s="4"/>
      <c r="AA741" s="4"/>
      <c r="AB741" s="386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3"/>
      <c r="M742" s="4"/>
      <c r="N742" s="3"/>
      <c r="O742" s="3"/>
      <c r="P742" s="4"/>
      <c r="Q742" s="4"/>
      <c r="R742" s="3"/>
      <c r="S742" s="4"/>
      <c r="T742" s="5"/>
      <c r="U742" s="4"/>
      <c r="V742" s="4"/>
      <c r="W742" s="4"/>
      <c r="X742" s="67"/>
      <c r="Y742" s="4"/>
      <c r="Z742" s="4"/>
      <c r="AA742" s="4"/>
      <c r="AB742" s="386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3"/>
      <c r="M743" s="4"/>
      <c r="N743" s="3"/>
      <c r="O743" s="3"/>
      <c r="P743" s="4"/>
      <c r="Q743" s="4"/>
      <c r="R743" s="3"/>
      <c r="S743" s="4"/>
      <c r="T743" s="5"/>
      <c r="U743" s="4"/>
      <c r="V743" s="4"/>
      <c r="W743" s="4"/>
      <c r="X743" s="67"/>
      <c r="Y743" s="4"/>
      <c r="Z743" s="4"/>
      <c r="AA743" s="4"/>
      <c r="AB743" s="386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3"/>
      <c r="M744" s="4"/>
      <c r="N744" s="3"/>
      <c r="O744" s="3"/>
      <c r="P744" s="4"/>
      <c r="Q744" s="4"/>
      <c r="R744" s="3"/>
      <c r="S744" s="4"/>
      <c r="T744" s="5"/>
      <c r="U744" s="4"/>
      <c r="V744" s="4"/>
      <c r="W744" s="4"/>
      <c r="X744" s="67"/>
      <c r="Y744" s="4"/>
      <c r="Z744" s="4"/>
      <c r="AA744" s="4"/>
      <c r="AB744" s="386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3"/>
      <c r="M745" s="4"/>
      <c r="N745" s="3"/>
      <c r="O745" s="3"/>
      <c r="P745" s="4"/>
      <c r="Q745" s="4"/>
      <c r="R745" s="3"/>
      <c r="S745" s="4"/>
      <c r="T745" s="5"/>
      <c r="U745" s="4"/>
      <c r="V745" s="4"/>
      <c r="W745" s="4"/>
      <c r="X745" s="67"/>
      <c r="Y745" s="4"/>
      <c r="Z745" s="4"/>
      <c r="AA745" s="4"/>
      <c r="AB745" s="386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3"/>
      <c r="M746" s="4"/>
      <c r="N746" s="3"/>
      <c r="O746" s="3"/>
      <c r="P746" s="4"/>
      <c r="Q746" s="4"/>
      <c r="R746" s="3"/>
      <c r="S746" s="4"/>
      <c r="T746" s="5"/>
      <c r="U746" s="4"/>
      <c r="V746" s="4"/>
      <c r="W746" s="4"/>
      <c r="X746" s="67"/>
      <c r="Y746" s="4"/>
      <c r="Z746" s="4"/>
      <c r="AA746" s="4"/>
      <c r="AB746" s="386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3"/>
      <c r="M747" s="4"/>
      <c r="N747" s="3"/>
      <c r="O747" s="3"/>
      <c r="P747" s="4"/>
      <c r="Q747" s="4"/>
      <c r="R747" s="3"/>
      <c r="S747" s="4"/>
      <c r="T747" s="5"/>
      <c r="U747" s="4"/>
      <c r="V747" s="4"/>
      <c r="W747" s="4"/>
      <c r="X747" s="67"/>
      <c r="Y747" s="4"/>
      <c r="Z747" s="4"/>
      <c r="AA747" s="4"/>
      <c r="AB747" s="386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3"/>
      <c r="M748" s="4"/>
      <c r="N748" s="3"/>
      <c r="O748" s="3"/>
      <c r="P748" s="4"/>
      <c r="Q748" s="4"/>
      <c r="R748" s="3"/>
      <c r="S748" s="4"/>
      <c r="T748" s="5"/>
      <c r="U748" s="4"/>
      <c r="V748" s="4"/>
      <c r="W748" s="4"/>
      <c r="X748" s="67"/>
      <c r="Y748" s="4"/>
      <c r="Z748" s="4"/>
      <c r="AA748" s="4"/>
      <c r="AB748" s="386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3"/>
      <c r="M749" s="4"/>
      <c r="N749" s="3"/>
      <c r="O749" s="3"/>
      <c r="P749" s="4"/>
      <c r="Q749" s="4"/>
      <c r="R749" s="3"/>
      <c r="S749" s="4"/>
      <c r="T749" s="5"/>
      <c r="U749" s="4"/>
      <c r="V749" s="4"/>
      <c r="W749" s="4"/>
      <c r="X749" s="67"/>
      <c r="Y749" s="4"/>
      <c r="Z749" s="4"/>
      <c r="AA749" s="4"/>
      <c r="AB749" s="386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3"/>
      <c r="M750" s="4"/>
      <c r="N750" s="3"/>
      <c r="O750" s="3"/>
      <c r="P750" s="4"/>
      <c r="Q750" s="4"/>
      <c r="R750" s="3"/>
      <c r="S750" s="4"/>
      <c r="T750" s="5"/>
      <c r="U750" s="4"/>
      <c r="V750" s="4"/>
      <c r="W750" s="4"/>
      <c r="X750" s="67"/>
      <c r="Y750" s="4"/>
      <c r="Z750" s="4"/>
      <c r="AA750" s="4"/>
      <c r="AB750" s="386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3"/>
      <c r="M751" s="4"/>
      <c r="N751" s="3"/>
      <c r="O751" s="3"/>
      <c r="P751" s="4"/>
      <c r="Q751" s="4"/>
      <c r="R751" s="3"/>
      <c r="S751" s="4"/>
      <c r="T751" s="5"/>
      <c r="U751" s="4"/>
      <c r="V751" s="4"/>
      <c r="W751" s="4"/>
      <c r="X751" s="67"/>
      <c r="Y751" s="4"/>
      <c r="Z751" s="4"/>
      <c r="AA751" s="4"/>
      <c r="AB751" s="386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3"/>
      <c r="M752" s="4"/>
      <c r="N752" s="3"/>
      <c r="O752" s="3"/>
      <c r="P752" s="4"/>
      <c r="Q752" s="4"/>
      <c r="R752" s="3"/>
      <c r="S752" s="4"/>
      <c r="T752" s="5"/>
      <c r="U752" s="4"/>
      <c r="V752" s="4"/>
      <c r="W752" s="4"/>
      <c r="X752" s="67"/>
      <c r="Y752" s="4"/>
      <c r="Z752" s="4"/>
      <c r="AA752" s="4"/>
      <c r="AB752" s="386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3"/>
      <c r="M753" s="4"/>
      <c r="N753" s="3"/>
      <c r="O753" s="3"/>
      <c r="P753" s="4"/>
      <c r="Q753" s="4"/>
      <c r="R753" s="3"/>
      <c r="S753" s="4"/>
      <c r="T753" s="5"/>
      <c r="U753" s="4"/>
      <c r="V753" s="4"/>
      <c r="W753" s="4"/>
      <c r="X753" s="67"/>
      <c r="Y753" s="4"/>
      <c r="Z753" s="4"/>
      <c r="AA753" s="4"/>
      <c r="AB753" s="386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3"/>
      <c r="M754" s="4"/>
      <c r="N754" s="3"/>
      <c r="O754" s="3"/>
      <c r="P754" s="4"/>
      <c r="Q754" s="4"/>
      <c r="R754" s="3"/>
      <c r="S754" s="4"/>
      <c r="T754" s="5"/>
      <c r="U754" s="4"/>
      <c r="V754" s="4"/>
      <c r="W754" s="4"/>
      <c r="X754" s="67"/>
      <c r="Y754" s="4"/>
      <c r="Z754" s="4"/>
      <c r="AA754" s="4"/>
      <c r="AB754" s="386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3"/>
      <c r="M755" s="4"/>
      <c r="N755" s="3"/>
      <c r="O755" s="3"/>
      <c r="P755" s="4"/>
      <c r="Q755" s="4"/>
      <c r="R755" s="3"/>
      <c r="S755" s="4"/>
      <c r="T755" s="5"/>
      <c r="U755" s="4"/>
      <c r="V755" s="4"/>
      <c r="W755" s="4"/>
      <c r="X755" s="67"/>
      <c r="Y755" s="4"/>
      <c r="Z755" s="4"/>
      <c r="AA755" s="4"/>
      <c r="AB755" s="386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3"/>
      <c r="M756" s="4"/>
      <c r="N756" s="3"/>
      <c r="O756" s="3"/>
      <c r="P756" s="4"/>
      <c r="Q756" s="4"/>
      <c r="R756" s="3"/>
      <c r="S756" s="4"/>
      <c r="T756" s="5"/>
      <c r="U756" s="4"/>
      <c r="V756" s="4"/>
      <c r="W756" s="4"/>
      <c r="X756" s="67"/>
      <c r="Y756" s="4"/>
      <c r="Z756" s="4"/>
      <c r="AA756" s="4"/>
      <c r="AB756" s="386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3"/>
      <c r="M757" s="4"/>
      <c r="N757" s="3"/>
      <c r="O757" s="3"/>
      <c r="P757" s="4"/>
      <c r="Q757" s="4"/>
      <c r="R757" s="3"/>
      <c r="S757" s="4"/>
      <c r="T757" s="5"/>
      <c r="U757" s="4"/>
      <c r="V757" s="4"/>
      <c r="W757" s="4"/>
      <c r="X757" s="67"/>
      <c r="Y757" s="4"/>
      <c r="Z757" s="4"/>
      <c r="AA757" s="4"/>
      <c r="AB757" s="386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3"/>
      <c r="M758" s="4"/>
      <c r="N758" s="3"/>
      <c r="O758" s="3"/>
      <c r="P758" s="4"/>
      <c r="Q758" s="4"/>
      <c r="R758" s="3"/>
      <c r="S758" s="4"/>
      <c r="T758" s="5"/>
      <c r="U758" s="4"/>
      <c r="V758" s="4"/>
      <c r="W758" s="4"/>
      <c r="X758" s="67"/>
      <c r="Y758" s="4"/>
      <c r="Z758" s="4"/>
      <c r="AA758" s="4"/>
      <c r="AB758" s="386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3"/>
      <c r="M759" s="4"/>
      <c r="N759" s="3"/>
      <c r="O759" s="3"/>
      <c r="P759" s="4"/>
      <c r="Q759" s="4"/>
      <c r="R759" s="3"/>
      <c r="S759" s="4"/>
      <c r="T759" s="5"/>
      <c r="U759" s="4"/>
      <c r="V759" s="4"/>
      <c r="W759" s="4"/>
      <c r="X759" s="67"/>
      <c r="Y759" s="4"/>
      <c r="Z759" s="4"/>
      <c r="AA759" s="4"/>
      <c r="AB759" s="386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3"/>
      <c r="M760" s="4"/>
      <c r="N760" s="3"/>
      <c r="O760" s="3"/>
      <c r="P760" s="4"/>
      <c r="Q760" s="4"/>
      <c r="R760" s="3"/>
      <c r="S760" s="4"/>
      <c r="T760" s="5"/>
      <c r="U760" s="4"/>
      <c r="V760" s="4"/>
      <c r="W760" s="4"/>
      <c r="X760" s="67"/>
      <c r="Y760" s="4"/>
      <c r="Z760" s="4"/>
      <c r="AA760" s="4"/>
      <c r="AB760" s="386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3"/>
      <c r="M761" s="4"/>
      <c r="N761" s="3"/>
      <c r="O761" s="3"/>
      <c r="P761" s="4"/>
      <c r="Q761" s="4"/>
      <c r="R761" s="3"/>
      <c r="S761" s="4"/>
      <c r="T761" s="5"/>
      <c r="U761" s="4"/>
      <c r="V761" s="4"/>
      <c r="W761" s="4"/>
      <c r="X761" s="67"/>
      <c r="Y761" s="4"/>
      <c r="Z761" s="4"/>
      <c r="AA761" s="4"/>
      <c r="AB761" s="386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3"/>
      <c r="M762" s="4"/>
      <c r="N762" s="3"/>
      <c r="O762" s="3"/>
      <c r="P762" s="4"/>
      <c r="Q762" s="4"/>
      <c r="R762" s="3"/>
      <c r="S762" s="4"/>
      <c r="T762" s="5"/>
      <c r="U762" s="4"/>
      <c r="V762" s="4"/>
      <c r="W762" s="4"/>
      <c r="X762" s="67"/>
      <c r="Y762" s="4"/>
      <c r="Z762" s="4"/>
      <c r="AA762" s="4"/>
      <c r="AB762" s="386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3"/>
      <c r="M763" s="4"/>
      <c r="N763" s="3"/>
      <c r="O763" s="3"/>
      <c r="P763" s="4"/>
      <c r="Q763" s="4"/>
      <c r="R763" s="3"/>
      <c r="S763" s="4"/>
      <c r="T763" s="5"/>
      <c r="U763" s="4"/>
      <c r="V763" s="4"/>
      <c r="W763" s="4"/>
      <c r="X763" s="67"/>
      <c r="Y763" s="4"/>
      <c r="Z763" s="4"/>
      <c r="AA763" s="4"/>
      <c r="AB763" s="386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3"/>
      <c r="M764" s="4"/>
      <c r="N764" s="3"/>
      <c r="O764" s="3"/>
      <c r="P764" s="4"/>
      <c r="Q764" s="4"/>
      <c r="R764" s="3"/>
      <c r="S764" s="4"/>
      <c r="T764" s="5"/>
      <c r="U764" s="4"/>
      <c r="V764" s="4"/>
      <c r="W764" s="4"/>
      <c r="X764" s="67"/>
      <c r="Y764" s="4"/>
      <c r="Z764" s="4"/>
      <c r="AA764" s="4"/>
      <c r="AB764" s="386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3"/>
      <c r="M765" s="4"/>
      <c r="N765" s="3"/>
      <c r="O765" s="3"/>
      <c r="P765" s="4"/>
      <c r="Q765" s="4"/>
      <c r="R765" s="3"/>
      <c r="S765" s="4"/>
      <c r="T765" s="5"/>
      <c r="U765" s="4"/>
      <c r="V765" s="4"/>
      <c r="W765" s="4"/>
      <c r="X765" s="67"/>
      <c r="Y765" s="4"/>
      <c r="Z765" s="4"/>
      <c r="AA765" s="4"/>
      <c r="AB765" s="386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3"/>
      <c r="M766" s="4"/>
      <c r="N766" s="3"/>
      <c r="O766" s="3"/>
      <c r="P766" s="4"/>
      <c r="Q766" s="4"/>
      <c r="R766" s="3"/>
      <c r="S766" s="4"/>
      <c r="T766" s="5"/>
      <c r="U766" s="4"/>
      <c r="V766" s="4"/>
      <c r="W766" s="4"/>
      <c r="X766" s="67"/>
      <c r="Y766" s="4"/>
      <c r="Z766" s="4"/>
      <c r="AA766" s="4"/>
      <c r="AB766" s="386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3"/>
      <c r="M767" s="4"/>
      <c r="N767" s="3"/>
      <c r="O767" s="3"/>
      <c r="P767" s="4"/>
      <c r="Q767" s="4"/>
      <c r="R767" s="3"/>
      <c r="S767" s="4"/>
      <c r="T767" s="5"/>
      <c r="U767" s="4"/>
      <c r="V767" s="4"/>
      <c r="W767" s="4"/>
      <c r="X767" s="67"/>
      <c r="Y767" s="4"/>
      <c r="Z767" s="4"/>
      <c r="AA767" s="4"/>
      <c r="AB767" s="386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3"/>
      <c r="M768" s="4"/>
      <c r="N768" s="3"/>
      <c r="O768" s="3"/>
      <c r="P768" s="4"/>
      <c r="Q768" s="4"/>
      <c r="R768" s="3"/>
      <c r="S768" s="4"/>
      <c r="T768" s="5"/>
      <c r="U768" s="4"/>
      <c r="V768" s="4"/>
      <c r="W768" s="4"/>
      <c r="X768" s="67"/>
      <c r="Y768" s="4"/>
      <c r="Z768" s="4"/>
      <c r="AA768" s="4"/>
      <c r="AB768" s="386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3"/>
      <c r="M769" s="4"/>
      <c r="N769" s="3"/>
      <c r="O769" s="3"/>
      <c r="P769" s="4"/>
      <c r="Q769" s="4"/>
      <c r="R769" s="3"/>
      <c r="S769" s="4"/>
      <c r="T769" s="5"/>
      <c r="U769" s="4"/>
      <c r="V769" s="4"/>
      <c r="W769" s="4"/>
      <c r="X769" s="67"/>
      <c r="Y769" s="4"/>
      <c r="Z769" s="4"/>
      <c r="AA769" s="4"/>
      <c r="AB769" s="386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3"/>
      <c r="M770" s="4"/>
      <c r="N770" s="3"/>
      <c r="O770" s="3"/>
      <c r="P770" s="4"/>
      <c r="Q770" s="4"/>
      <c r="R770" s="3"/>
      <c r="S770" s="4"/>
      <c r="T770" s="5"/>
      <c r="U770" s="4"/>
      <c r="V770" s="4"/>
      <c r="W770" s="4"/>
      <c r="X770" s="67"/>
      <c r="Y770" s="4"/>
      <c r="Z770" s="4"/>
      <c r="AA770" s="4"/>
      <c r="AB770" s="386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3"/>
      <c r="M771" s="4"/>
      <c r="N771" s="3"/>
      <c r="O771" s="3"/>
      <c r="P771" s="4"/>
      <c r="Q771" s="4"/>
      <c r="R771" s="3"/>
      <c r="S771" s="4"/>
      <c r="T771" s="5"/>
      <c r="U771" s="4"/>
      <c r="V771" s="4"/>
      <c r="W771" s="4"/>
      <c r="X771" s="67"/>
      <c r="Y771" s="4"/>
      <c r="Z771" s="4"/>
      <c r="AA771" s="4"/>
      <c r="AB771" s="386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3"/>
      <c r="M772" s="4"/>
      <c r="N772" s="3"/>
      <c r="O772" s="3"/>
      <c r="P772" s="4"/>
      <c r="Q772" s="4"/>
      <c r="R772" s="3"/>
      <c r="S772" s="4"/>
      <c r="T772" s="5"/>
      <c r="U772" s="4"/>
      <c r="V772" s="4"/>
      <c r="W772" s="4"/>
      <c r="X772" s="67"/>
      <c r="Y772" s="4"/>
      <c r="Z772" s="4"/>
      <c r="AA772" s="4"/>
      <c r="AB772" s="386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3"/>
      <c r="M773" s="4"/>
      <c r="N773" s="3"/>
      <c r="O773" s="3"/>
      <c r="P773" s="4"/>
      <c r="Q773" s="4"/>
      <c r="R773" s="3"/>
      <c r="S773" s="4"/>
      <c r="T773" s="5"/>
      <c r="U773" s="4"/>
      <c r="V773" s="4"/>
      <c r="W773" s="4"/>
      <c r="X773" s="67"/>
      <c r="Y773" s="4"/>
      <c r="Z773" s="4"/>
      <c r="AA773" s="4"/>
      <c r="AB773" s="386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3"/>
      <c r="M774" s="4"/>
      <c r="N774" s="3"/>
      <c r="O774" s="3"/>
      <c r="P774" s="4"/>
      <c r="Q774" s="4"/>
      <c r="R774" s="3"/>
      <c r="S774" s="4"/>
      <c r="T774" s="5"/>
      <c r="U774" s="4"/>
      <c r="V774" s="4"/>
      <c r="W774" s="4"/>
      <c r="X774" s="67"/>
      <c r="Y774" s="4"/>
      <c r="Z774" s="4"/>
      <c r="AA774" s="4"/>
      <c r="AB774" s="386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3"/>
      <c r="M775" s="4"/>
      <c r="N775" s="3"/>
      <c r="O775" s="3"/>
      <c r="P775" s="4"/>
      <c r="Q775" s="4"/>
      <c r="R775" s="3"/>
      <c r="S775" s="4"/>
      <c r="T775" s="5"/>
      <c r="U775" s="4"/>
      <c r="V775" s="4"/>
      <c r="W775" s="4"/>
      <c r="X775" s="67"/>
      <c r="Y775" s="4"/>
      <c r="Z775" s="4"/>
      <c r="AA775" s="4"/>
      <c r="AB775" s="386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3"/>
      <c r="M776" s="4"/>
      <c r="N776" s="3"/>
      <c r="O776" s="3"/>
      <c r="P776" s="4"/>
      <c r="Q776" s="4"/>
      <c r="R776" s="3"/>
      <c r="S776" s="4"/>
      <c r="T776" s="5"/>
      <c r="U776" s="4"/>
      <c r="V776" s="4"/>
      <c r="W776" s="4"/>
      <c r="X776" s="67"/>
      <c r="Y776" s="4"/>
      <c r="Z776" s="4"/>
      <c r="AA776" s="4"/>
      <c r="AB776" s="386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3"/>
      <c r="M777" s="4"/>
      <c r="N777" s="3"/>
      <c r="O777" s="3"/>
      <c r="P777" s="4"/>
      <c r="Q777" s="4"/>
      <c r="R777" s="3"/>
      <c r="S777" s="4"/>
      <c r="T777" s="5"/>
      <c r="U777" s="4"/>
      <c r="V777" s="4"/>
      <c r="W777" s="4"/>
      <c r="X777" s="67"/>
      <c r="Y777" s="4"/>
      <c r="Z777" s="4"/>
      <c r="AA777" s="4"/>
      <c r="AB777" s="386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3"/>
      <c r="M778" s="4"/>
      <c r="N778" s="3"/>
      <c r="O778" s="3"/>
      <c r="P778" s="4"/>
      <c r="Q778" s="4"/>
      <c r="R778" s="3"/>
      <c r="S778" s="4"/>
      <c r="T778" s="5"/>
      <c r="U778" s="4"/>
      <c r="V778" s="4"/>
      <c r="W778" s="4"/>
      <c r="X778" s="67"/>
      <c r="Y778" s="4"/>
      <c r="Z778" s="4"/>
      <c r="AA778" s="4"/>
      <c r="AB778" s="386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3"/>
      <c r="M779" s="4"/>
      <c r="N779" s="3"/>
      <c r="O779" s="3"/>
      <c r="P779" s="4"/>
      <c r="Q779" s="4"/>
      <c r="R779" s="3"/>
      <c r="S779" s="4"/>
      <c r="T779" s="5"/>
      <c r="U779" s="4"/>
      <c r="V779" s="4"/>
      <c r="W779" s="4"/>
      <c r="X779" s="67"/>
      <c r="Y779" s="4"/>
      <c r="Z779" s="4"/>
      <c r="AA779" s="4"/>
      <c r="AB779" s="386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3"/>
      <c r="M780" s="4"/>
      <c r="N780" s="3"/>
      <c r="O780" s="3"/>
      <c r="P780" s="4"/>
      <c r="Q780" s="4"/>
      <c r="R780" s="3"/>
      <c r="S780" s="4"/>
      <c r="T780" s="5"/>
      <c r="U780" s="4"/>
      <c r="V780" s="4"/>
      <c r="W780" s="4"/>
      <c r="X780" s="67"/>
      <c r="Y780" s="4"/>
      <c r="Z780" s="4"/>
      <c r="AA780" s="4"/>
      <c r="AB780" s="386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3"/>
      <c r="M781" s="4"/>
      <c r="N781" s="3"/>
      <c r="O781" s="3"/>
      <c r="P781" s="4"/>
      <c r="Q781" s="4"/>
      <c r="R781" s="3"/>
      <c r="S781" s="4"/>
      <c r="T781" s="5"/>
      <c r="U781" s="4"/>
      <c r="V781" s="4"/>
      <c r="W781" s="4"/>
      <c r="X781" s="67"/>
      <c r="Y781" s="4"/>
      <c r="Z781" s="4"/>
      <c r="AA781" s="4"/>
      <c r="AB781" s="386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3"/>
      <c r="M782" s="4"/>
      <c r="N782" s="3"/>
      <c r="O782" s="3"/>
      <c r="P782" s="4"/>
      <c r="Q782" s="4"/>
      <c r="R782" s="3"/>
      <c r="S782" s="4"/>
      <c r="T782" s="5"/>
      <c r="U782" s="4"/>
      <c r="V782" s="4"/>
      <c r="W782" s="4"/>
      <c r="X782" s="67"/>
      <c r="Y782" s="4"/>
      <c r="Z782" s="4"/>
      <c r="AA782" s="4"/>
      <c r="AB782" s="386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3"/>
      <c r="M783" s="4"/>
      <c r="N783" s="3"/>
      <c r="O783" s="3"/>
      <c r="P783" s="4"/>
      <c r="Q783" s="4"/>
      <c r="R783" s="3"/>
      <c r="S783" s="4"/>
      <c r="T783" s="5"/>
      <c r="U783" s="4"/>
      <c r="V783" s="4"/>
      <c r="W783" s="4"/>
      <c r="X783" s="67"/>
      <c r="Y783" s="4"/>
      <c r="Z783" s="4"/>
      <c r="AA783" s="4"/>
      <c r="AB783" s="386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3"/>
      <c r="M784" s="4"/>
      <c r="N784" s="3"/>
      <c r="O784" s="3"/>
      <c r="P784" s="4"/>
      <c r="Q784" s="4"/>
      <c r="R784" s="3"/>
      <c r="S784" s="4"/>
      <c r="T784" s="5"/>
      <c r="U784" s="4"/>
      <c r="V784" s="4"/>
      <c r="W784" s="4"/>
      <c r="X784" s="67"/>
      <c r="Y784" s="4"/>
      <c r="Z784" s="4"/>
      <c r="AA784" s="4"/>
      <c r="AB784" s="386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3"/>
      <c r="M785" s="4"/>
      <c r="N785" s="3"/>
      <c r="O785" s="3"/>
      <c r="P785" s="4"/>
      <c r="Q785" s="4"/>
      <c r="R785" s="3"/>
      <c r="S785" s="4"/>
      <c r="T785" s="5"/>
      <c r="U785" s="4"/>
      <c r="V785" s="4"/>
      <c r="W785" s="4"/>
      <c r="X785" s="67"/>
      <c r="Y785" s="4"/>
      <c r="Z785" s="4"/>
      <c r="AA785" s="4"/>
      <c r="AB785" s="386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3"/>
      <c r="M786" s="4"/>
      <c r="N786" s="3"/>
      <c r="O786" s="3"/>
      <c r="P786" s="4"/>
      <c r="Q786" s="4"/>
      <c r="R786" s="3"/>
      <c r="S786" s="4"/>
      <c r="T786" s="5"/>
      <c r="U786" s="4"/>
      <c r="V786" s="4"/>
      <c r="W786" s="4"/>
      <c r="X786" s="67"/>
      <c r="Y786" s="4"/>
      <c r="Z786" s="4"/>
      <c r="AA786" s="4"/>
      <c r="AB786" s="386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3"/>
      <c r="M787" s="4"/>
      <c r="N787" s="3"/>
      <c r="O787" s="3"/>
      <c r="P787" s="4"/>
      <c r="Q787" s="4"/>
      <c r="R787" s="3"/>
      <c r="S787" s="4"/>
      <c r="T787" s="5"/>
      <c r="U787" s="4"/>
      <c r="V787" s="4"/>
      <c r="W787" s="4"/>
      <c r="X787" s="67"/>
      <c r="Y787" s="4"/>
      <c r="Z787" s="4"/>
      <c r="AA787" s="4"/>
      <c r="AB787" s="386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3"/>
      <c r="M788" s="4"/>
      <c r="N788" s="3"/>
      <c r="O788" s="3"/>
      <c r="P788" s="4"/>
      <c r="Q788" s="4"/>
      <c r="R788" s="3"/>
      <c r="S788" s="4"/>
      <c r="T788" s="5"/>
      <c r="U788" s="4"/>
      <c r="V788" s="4"/>
      <c r="W788" s="4"/>
      <c r="X788" s="67"/>
      <c r="Y788" s="4"/>
      <c r="Z788" s="4"/>
      <c r="AA788" s="4"/>
      <c r="AB788" s="386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3"/>
      <c r="M789" s="4"/>
      <c r="N789" s="3"/>
      <c r="O789" s="3"/>
      <c r="P789" s="4"/>
      <c r="Q789" s="4"/>
      <c r="R789" s="3"/>
      <c r="S789" s="4"/>
      <c r="T789" s="5"/>
      <c r="U789" s="4"/>
      <c r="V789" s="4"/>
      <c r="W789" s="4"/>
      <c r="X789" s="67"/>
      <c r="Y789" s="4"/>
      <c r="Z789" s="4"/>
      <c r="AA789" s="4"/>
      <c r="AB789" s="386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3"/>
      <c r="M790" s="4"/>
      <c r="N790" s="3"/>
      <c r="O790" s="3"/>
      <c r="P790" s="4"/>
      <c r="Q790" s="4"/>
      <c r="R790" s="3"/>
      <c r="S790" s="4"/>
      <c r="T790" s="5"/>
      <c r="U790" s="4"/>
      <c r="V790" s="4"/>
      <c r="W790" s="4"/>
      <c r="X790" s="67"/>
      <c r="Y790" s="4"/>
      <c r="Z790" s="4"/>
      <c r="AA790" s="4"/>
      <c r="AB790" s="386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3"/>
      <c r="M791" s="4"/>
      <c r="N791" s="3"/>
      <c r="O791" s="3"/>
      <c r="P791" s="4"/>
      <c r="Q791" s="4"/>
      <c r="R791" s="3"/>
      <c r="S791" s="4"/>
      <c r="T791" s="5"/>
      <c r="U791" s="4"/>
      <c r="V791" s="4"/>
      <c r="W791" s="4"/>
      <c r="X791" s="67"/>
      <c r="Y791" s="4"/>
      <c r="Z791" s="4"/>
      <c r="AA791" s="4"/>
      <c r="AB791" s="386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3"/>
      <c r="M792" s="4"/>
      <c r="N792" s="3"/>
      <c r="O792" s="3"/>
      <c r="P792" s="4"/>
      <c r="Q792" s="4"/>
      <c r="R792" s="3"/>
      <c r="S792" s="4"/>
      <c r="T792" s="5"/>
      <c r="U792" s="4"/>
      <c r="V792" s="4"/>
      <c r="W792" s="4"/>
      <c r="X792" s="67"/>
      <c r="Y792" s="4"/>
      <c r="Z792" s="4"/>
      <c r="AA792" s="4"/>
      <c r="AB792" s="386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3"/>
      <c r="M793" s="4"/>
      <c r="N793" s="3"/>
      <c r="O793" s="3"/>
      <c r="P793" s="4"/>
      <c r="Q793" s="4"/>
      <c r="R793" s="3"/>
      <c r="S793" s="4"/>
      <c r="T793" s="5"/>
      <c r="U793" s="4"/>
      <c r="V793" s="4"/>
      <c r="W793" s="4"/>
      <c r="X793" s="67"/>
      <c r="Y793" s="4"/>
      <c r="Z793" s="4"/>
      <c r="AA793" s="4"/>
      <c r="AB793" s="386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3"/>
      <c r="M794" s="4"/>
      <c r="N794" s="3"/>
      <c r="O794" s="3"/>
      <c r="P794" s="4"/>
      <c r="Q794" s="4"/>
      <c r="R794" s="3"/>
      <c r="S794" s="4"/>
      <c r="T794" s="5"/>
      <c r="U794" s="4"/>
      <c r="V794" s="4"/>
      <c r="W794" s="4"/>
      <c r="X794" s="67"/>
      <c r="Y794" s="4"/>
      <c r="Z794" s="4"/>
      <c r="AA794" s="4"/>
      <c r="AB794" s="386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3"/>
      <c r="M795" s="4"/>
      <c r="N795" s="3"/>
      <c r="O795" s="3"/>
      <c r="P795" s="4"/>
      <c r="Q795" s="4"/>
      <c r="R795" s="3"/>
      <c r="S795" s="4"/>
      <c r="T795" s="5"/>
      <c r="U795" s="4"/>
      <c r="V795" s="4"/>
      <c r="W795" s="4"/>
      <c r="X795" s="67"/>
      <c r="Y795" s="4"/>
      <c r="Z795" s="4"/>
      <c r="AA795" s="4"/>
      <c r="AB795" s="386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3"/>
      <c r="M796" s="4"/>
      <c r="N796" s="3"/>
      <c r="O796" s="3"/>
      <c r="P796" s="4"/>
      <c r="Q796" s="4"/>
      <c r="R796" s="3"/>
      <c r="S796" s="4"/>
      <c r="T796" s="5"/>
      <c r="U796" s="4"/>
      <c r="V796" s="4"/>
      <c r="W796" s="4"/>
      <c r="X796" s="67"/>
      <c r="Y796" s="4"/>
      <c r="Z796" s="4"/>
      <c r="AA796" s="4"/>
      <c r="AB796" s="386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3"/>
      <c r="M797" s="4"/>
      <c r="N797" s="3"/>
      <c r="O797" s="3"/>
      <c r="P797" s="4"/>
      <c r="Q797" s="4"/>
      <c r="R797" s="3"/>
      <c r="S797" s="4"/>
      <c r="T797" s="5"/>
      <c r="U797" s="4"/>
      <c r="V797" s="4"/>
      <c r="W797" s="4"/>
      <c r="X797" s="67"/>
      <c r="Y797" s="4"/>
      <c r="Z797" s="4"/>
      <c r="AA797" s="4"/>
      <c r="AB797" s="386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3"/>
      <c r="M798" s="4"/>
      <c r="N798" s="3"/>
      <c r="O798" s="3"/>
      <c r="P798" s="4"/>
      <c r="Q798" s="4"/>
      <c r="R798" s="3"/>
      <c r="S798" s="4"/>
      <c r="T798" s="5"/>
      <c r="U798" s="4"/>
      <c r="V798" s="4"/>
      <c r="W798" s="4"/>
      <c r="X798" s="67"/>
      <c r="Y798" s="4"/>
      <c r="Z798" s="4"/>
      <c r="AA798" s="4"/>
      <c r="AB798" s="386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3"/>
      <c r="M799" s="4"/>
      <c r="N799" s="3"/>
      <c r="O799" s="3"/>
      <c r="P799" s="4"/>
      <c r="Q799" s="4"/>
      <c r="R799" s="3"/>
      <c r="S799" s="4"/>
      <c r="T799" s="5"/>
      <c r="U799" s="4"/>
      <c r="V799" s="4"/>
      <c r="W799" s="4"/>
      <c r="X799" s="67"/>
      <c r="Y799" s="4"/>
      <c r="Z799" s="4"/>
      <c r="AA799" s="4"/>
      <c r="AB799" s="386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3"/>
      <c r="M800" s="4"/>
      <c r="N800" s="3"/>
      <c r="O800" s="3"/>
      <c r="P800" s="4"/>
      <c r="Q800" s="4"/>
      <c r="R800" s="3"/>
      <c r="S800" s="4"/>
      <c r="T800" s="5"/>
      <c r="U800" s="4"/>
      <c r="V800" s="4"/>
      <c r="W800" s="4"/>
      <c r="X800" s="67"/>
      <c r="Y800" s="4"/>
      <c r="Z800" s="4"/>
      <c r="AA800" s="4"/>
      <c r="AB800" s="386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3"/>
      <c r="M801" s="4"/>
      <c r="N801" s="3"/>
      <c r="O801" s="3"/>
      <c r="P801" s="4"/>
      <c r="Q801" s="4"/>
      <c r="R801" s="3"/>
      <c r="S801" s="4"/>
      <c r="T801" s="5"/>
      <c r="U801" s="4"/>
      <c r="V801" s="4"/>
      <c r="W801" s="4"/>
      <c r="X801" s="67"/>
      <c r="Y801" s="4"/>
      <c r="Z801" s="4"/>
      <c r="AA801" s="4"/>
      <c r="AB801" s="386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3"/>
      <c r="M802" s="4"/>
      <c r="N802" s="3"/>
      <c r="O802" s="3"/>
      <c r="P802" s="4"/>
      <c r="Q802" s="4"/>
      <c r="R802" s="3"/>
      <c r="S802" s="4"/>
      <c r="T802" s="5"/>
      <c r="U802" s="4"/>
      <c r="V802" s="4"/>
      <c r="W802" s="4"/>
      <c r="X802" s="67"/>
      <c r="Y802" s="4"/>
      <c r="Z802" s="4"/>
      <c r="AA802" s="4"/>
      <c r="AB802" s="386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3"/>
      <c r="M803" s="4"/>
      <c r="N803" s="3"/>
      <c r="O803" s="3"/>
      <c r="P803" s="4"/>
      <c r="Q803" s="4"/>
      <c r="R803" s="3"/>
      <c r="S803" s="4"/>
      <c r="T803" s="5"/>
      <c r="U803" s="4"/>
      <c r="V803" s="4"/>
      <c r="W803" s="4"/>
      <c r="X803" s="67"/>
      <c r="Y803" s="4"/>
      <c r="Z803" s="4"/>
      <c r="AA803" s="4"/>
      <c r="AB803" s="386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3"/>
      <c r="M804" s="4"/>
      <c r="N804" s="3"/>
      <c r="O804" s="3"/>
      <c r="P804" s="4"/>
      <c r="Q804" s="4"/>
      <c r="R804" s="3"/>
      <c r="S804" s="4"/>
      <c r="T804" s="5"/>
      <c r="U804" s="4"/>
      <c r="V804" s="4"/>
      <c r="W804" s="4"/>
      <c r="X804" s="67"/>
      <c r="Y804" s="4"/>
      <c r="Z804" s="4"/>
      <c r="AA804" s="4"/>
      <c r="AB804" s="386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3"/>
      <c r="M805" s="4"/>
      <c r="N805" s="3"/>
      <c r="O805" s="3"/>
      <c r="P805" s="4"/>
      <c r="Q805" s="4"/>
      <c r="R805" s="3"/>
      <c r="S805" s="4"/>
      <c r="T805" s="5"/>
      <c r="U805" s="4"/>
      <c r="V805" s="4"/>
      <c r="W805" s="4"/>
      <c r="X805" s="67"/>
      <c r="Y805" s="4"/>
      <c r="Z805" s="4"/>
      <c r="AA805" s="4"/>
      <c r="AB805" s="386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3"/>
      <c r="M806" s="4"/>
      <c r="N806" s="3"/>
      <c r="O806" s="3"/>
      <c r="P806" s="4"/>
      <c r="Q806" s="4"/>
      <c r="R806" s="3"/>
      <c r="S806" s="4"/>
      <c r="T806" s="5"/>
      <c r="U806" s="4"/>
      <c r="V806" s="4"/>
      <c r="W806" s="4"/>
      <c r="X806" s="67"/>
      <c r="Y806" s="4"/>
      <c r="Z806" s="4"/>
      <c r="AA806" s="4"/>
      <c r="AB806" s="386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3"/>
      <c r="M807" s="4"/>
      <c r="N807" s="3"/>
      <c r="O807" s="3"/>
      <c r="P807" s="4"/>
      <c r="Q807" s="4"/>
      <c r="R807" s="3"/>
      <c r="S807" s="4"/>
      <c r="T807" s="5"/>
      <c r="U807" s="4"/>
      <c r="V807" s="4"/>
      <c r="W807" s="4"/>
      <c r="X807" s="67"/>
      <c r="Y807" s="4"/>
      <c r="Z807" s="4"/>
      <c r="AA807" s="4"/>
      <c r="AB807" s="386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3"/>
      <c r="M808" s="4"/>
      <c r="N808" s="3"/>
      <c r="O808" s="3"/>
      <c r="P808" s="4"/>
      <c r="Q808" s="4"/>
      <c r="R808" s="3"/>
      <c r="S808" s="4"/>
      <c r="T808" s="5"/>
      <c r="U808" s="4"/>
      <c r="V808" s="4"/>
      <c r="W808" s="4"/>
      <c r="X808" s="67"/>
      <c r="Y808" s="4"/>
      <c r="Z808" s="4"/>
      <c r="AA808" s="4"/>
      <c r="AB808" s="386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/>
      <c r="M809" s="4"/>
      <c r="N809" s="3"/>
      <c r="O809" s="3"/>
      <c r="P809" s="4"/>
      <c r="Q809" s="4"/>
      <c r="R809" s="3"/>
      <c r="S809" s="4"/>
      <c r="T809" s="5"/>
      <c r="U809" s="4"/>
      <c r="V809" s="4"/>
      <c r="W809" s="4"/>
      <c r="X809" s="67"/>
      <c r="Y809" s="4"/>
      <c r="Z809" s="4"/>
      <c r="AA809" s="4"/>
      <c r="AB809" s="386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4"/>
      <c r="N810" s="3"/>
      <c r="O810" s="3"/>
      <c r="P810" s="4"/>
      <c r="Q810" s="4"/>
      <c r="R810" s="3"/>
      <c r="S810" s="4"/>
      <c r="T810" s="5"/>
      <c r="U810" s="4"/>
      <c r="V810" s="4"/>
      <c r="W810" s="4"/>
      <c r="X810" s="67"/>
      <c r="Y810" s="4"/>
      <c r="Z810" s="4"/>
      <c r="AA810" s="4"/>
      <c r="AB810" s="386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4"/>
      <c r="N811" s="3"/>
      <c r="O811" s="3"/>
      <c r="P811" s="4"/>
      <c r="Q811" s="4"/>
      <c r="R811" s="3"/>
      <c r="S811" s="4"/>
      <c r="T811" s="5"/>
      <c r="U811" s="4"/>
      <c r="V811" s="4"/>
      <c r="W811" s="4"/>
      <c r="X811" s="67"/>
      <c r="Y811" s="4"/>
      <c r="Z811" s="4"/>
      <c r="AA811" s="4"/>
      <c r="AB811" s="386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4"/>
      <c r="N812" s="3"/>
      <c r="O812" s="3"/>
      <c r="P812" s="4"/>
      <c r="Q812" s="4"/>
      <c r="R812" s="3"/>
      <c r="S812" s="4"/>
      <c r="T812" s="5"/>
      <c r="U812" s="4"/>
      <c r="V812" s="4"/>
      <c r="W812" s="4"/>
      <c r="X812" s="67"/>
      <c r="Y812" s="4"/>
      <c r="Z812" s="4"/>
      <c r="AA812" s="4"/>
      <c r="AB812" s="386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4"/>
      <c r="N813" s="3"/>
      <c r="O813" s="3"/>
      <c r="P813" s="4"/>
      <c r="Q813" s="4"/>
      <c r="R813" s="3"/>
      <c r="S813" s="4"/>
      <c r="T813" s="5"/>
      <c r="U813" s="4"/>
      <c r="V813" s="4"/>
      <c r="W813" s="4"/>
      <c r="X813" s="67"/>
      <c r="Y813" s="4"/>
      <c r="Z813" s="4"/>
      <c r="AA813" s="4"/>
      <c r="AB813" s="386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4"/>
      <c r="N814" s="3"/>
      <c r="O814" s="3"/>
      <c r="P814" s="4"/>
      <c r="Q814" s="4"/>
      <c r="R814" s="3"/>
      <c r="S814" s="4"/>
      <c r="T814" s="5"/>
      <c r="U814" s="4"/>
      <c r="V814" s="4"/>
      <c r="W814" s="4"/>
      <c r="X814" s="67"/>
      <c r="Y814" s="4"/>
      <c r="Z814" s="4"/>
      <c r="AA814" s="4"/>
      <c r="AB814" s="386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4"/>
      <c r="N815" s="3"/>
      <c r="O815" s="3"/>
      <c r="P815" s="4"/>
      <c r="Q815" s="4"/>
      <c r="R815" s="3"/>
      <c r="S815" s="4"/>
      <c r="T815" s="5"/>
      <c r="U815" s="4"/>
      <c r="V815" s="4"/>
      <c r="W815" s="4"/>
      <c r="X815" s="67"/>
      <c r="Y815" s="4"/>
      <c r="Z815" s="4"/>
      <c r="AA815" s="4"/>
      <c r="AB815" s="386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4"/>
      <c r="N816" s="3"/>
      <c r="O816" s="3"/>
      <c r="P816" s="4"/>
      <c r="Q816" s="4"/>
      <c r="R816" s="3"/>
      <c r="S816" s="4"/>
      <c r="T816" s="5"/>
      <c r="U816" s="4"/>
      <c r="V816" s="4"/>
      <c r="W816" s="4"/>
      <c r="X816" s="67"/>
      <c r="Y816" s="4"/>
      <c r="Z816" s="4"/>
      <c r="AA816" s="4"/>
      <c r="AB816" s="386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4"/>
      <c r="N817" s="3"/>
      <c r="O817" s="3"/>
      <c r="P817" s="4"/>
      <c r="Q817" s="4"/>
      <c r="R817" s="3"/>
      <c r="S817" s="4"/>
      <c r="T817" s="5"/>
      <c r="U817" s="4"/>
      <c r="V817" s="4"/>
      <c r="W817" s="4"/>
      <c r="X817" s="67"/>
      <c r="Y817" s="4"/>
      <c r="Z817" s="4"/>
      <c r="AA817" s="4"/>
      <c r="AB817" s="386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4"/>
      <c r="N818" s="3"/>
      <c r="O818" s="3"/>
      <c r="P818" s="4"/>
      <c r="Q818" s="4"/>
      <c r="R818" s="3"/>
      <c r="S818" s="4"/>
      <c r="T818" s="5"/>
      <c r="U818" s="4"/>
      <c r="V818" s="4"/>
      <c r="W818" s="4"/>
      <c r="X818" s="67"/>
      <c r="Y818" s="4"/>
      <c r="Z818" s="4"/>
      <c r="AA818" s="4"/>
      <c r="AB818" s="386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4"/>
      <c r="N819" s="3"/>
      <c r="O819" s="3"/>
      <c r="P819" s="4"/>
      <c r="Q819" s="4"/>
      <c r="R819" s="3"/>
      <c r="S819" s="4"/>
      <c r="T819" s="5"/>
      <c r="U819" s="4"/>
      <c r="V819" s="4"/>
      <c r="W819" s="4"/>
      <c r="X819" s="67"/>
      <c r="Y819" s="4"/>
      <c r="Z819" s="4"/>
      <c r="AA819" s="4"/>
      <c r="AB819" s="386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4"/>
      <c r="N820" s="3"/>
      <c r="O820" s="3"/>
      <c r="P820" s="4"/>
      <c r="Q820" s="4"/>
      <c r="R820" s="3"/>
      <c r="S820" s="4"/>
      <c r="T820" s="5"/>
      <c r="U820" s="4"/>
      <c r="V820" s="4"/>
      <c r="W820" s="4"/>
      <c r="X820" s="67"/>
      <c r="Y820" s="4"/>
      <c r="Z820" s="4"/>
      <c r="AA820" s="4"/>
      <c r="AB820" s="386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4"/>
      <c r="N821" s="3"/>
      <c r="O821" s="3"/>
      <c r="P821" s="4"/>
      <c r="Q821" s="4"/>
      <c r="R821" s="3"/>
      <c r="S821" s="4"/>
      <c r="T821" s="5"/>
      <c r="U821" s="4"/>
      <c r="V821" s="4"/>
      <c r="W821" s="4"/>
      <c r="X821" s="67"/>
      <c r="Y821" s="4"/>
      <c r="Z821" s="4"/>
      <c r="AA821" s="4"/>
      <c r="AB821" s="386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4"/>
      <c r="N822" s="3"/>
      <c r="O822" s="3"/>
      <c r="P822" s="4"/>
      <c r="Q822" s="4"/>
      <c r="R822" s="3"/>
      <c r="S822" s="4"/>
      <c r="T822" s="5"/>
      <c r="U822" s="4"/>
      <c r="V822" s="4"/>
      <c r="W822" s="4"/>
      <c r="X822" s="67"/>
      <c r="Y822" s="4"/>
      <c r="Z822" s="4"/>
      <c r="AA822" s="4"/>
      <c r="AB822" s="386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4"/>
      <c r="N823" s="3"/>
      <c r="O823" s="3"/>
      <c r="P823" s="4"/>
      <c r="Q823" s="4"/>
      <c r="R823" s="3"/>
      <c r="S823" s="4"/>
      <c r="T823" s="5"/>
      <c r="U823" s="4"/>
      <c r="V823" s="4"/>
      <c r="W823" s="4"/>
      <c r="X823" s="67"/>
      <c r="Y823" s="4"/>
      <c r="Z823" s="4"/>
      <c r="AA823" s="4"/>
      <c r="AB823" s="386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3"/>
      <c r="M824" s="4"/>
      <c r="N824" s="3"/>
      <c r="O824" s="3"/>
      <c r="P824" s="4"/>
      <c r="Q824" s="4"/>
      <c r="R824" s="3"/>
      <c r="S824" s="4"/>
      <c r="T824" s="5"/>
      <c r="U824" s="4"/>
      <c r="V824" s="4"/>
      <c r="W824" s="4"/>
      <c r="X824" s="67"/>
      <c r="Y824" s="4"/>
      <c r="Z824" s="4"/>
      <c r="AA824" s="4"/>
      <c r="AB824" s="386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3"/>
      <c r="M825" s="4"/>
      <c r="N825" s="3"/>
      <c r="O825" s="3"/>
      <c r="P825" s="4"/>
      <c r="Q825" s="4"/>
      <c r="R825" s="3"/>
      <c r="S825" s="4"/>
      <c r="T825" s="5"/>
      <c r="U825" s="4"/>
      <c r="V825" s="4"/>
      <c r="W825" s="4"/>
      <c r="X825" s="67"/>
      <c r="Y825" s="4"/>
      <c r="Z825" s="4"/>
      <c r="AA825" s="4"/>
      <c r="AB825" s="386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3"/>
      <c r="M826" s="4"/>
      <c r="N826" s="3"/>
      <c r="O826" s="3"/>
      <c r="P826" s="4"/>
      <c r="Q826" s="4"/>
      <c r="R826" s="3"/>
      <c r="S826" s="4"/>
      <c r="T826" s="5"/>
      <c r="U826" s="4"/>
      <c r="V826" s="4"/>
      <c r="W826" s="4"/>
      <c r="X826" s="67"/>
      <c r="Y826" s="4"/>
      <c r="Z826" s="4"/>
      <c r="AA826" s="4"/>
      <c r="AB826" s="386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3"/>
      <c r="M827" s="4"/>
      <c r="N827" s="3"/>
      <c r="O827" s="3"/>
      <c r="P827" s="4"/>
      <c r="Q827" s="4"/>
      <c r="R827" s="3"/>
      <c r="S827" s="4"/>
      <c r="T827" s="5"/>
      <c r="U827" s="4"/>
      <c r="V827" s="4"/>
      <c r="W827" s="4"/>
      <c r="X827" s="67"/>
      <c r="Y827" s="4"/>
      <c r="Z827" s="4"/>
      <c r="AA827" s="4"/>
      <c r="AB827" s="386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3"/>
      <c r="M828" s="4"/>
      <c r="N828" s="3"/>
      <c r="O828" s="3"/>
      <c r="P828" s="4"/>
      <c r="Q828" s="4"/>
      <c r="R828" s="3"/>
      <c r="S828" s="4"/>
      <c r="T828" s="5"/>
      <c r="U828" s="4"/>
      <c r="V828" s="4"/>
      <c r="W828" s="4"/>
      <c r="X828" s="67"/>
      <c r="Y828" s="4"/>
      <c r="Z828" s="4"/>
      <c r="AA828" s="4"/>
      <c r="AB828" s="386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4"/>
      <c r="N829" s="3"/>
      <c r="O829" s="3"/>
      <c r="P829" s="4"/>
      <c r="Q829" s="4"/>
      <c r="R829" s="3"/>
      <c r="S829" s="4"/>
      <c r="T829" s="5"/>
      <c r="U829" s="4"/>
      <c r="V829" s="4"/>
      <c r="W829" s="4"/>
      <c r="X829" s="67"/>
      <c r="Y829" s="4"/>
      <c r="Z829" s="4"/>
      <c r="AA829" s="4"/>
      <c r="AB829" s="386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3"/>
      <c r="M830" s="4"/>
      <c r="N830" s="3"/>
      <c r="O830" s="3"/>
      <c r="P830" s="4"/>
      <c r="Q830" s="4"/>
      <c r="R830" s="3"/>
      <c r="S830" s="4"/>
      <c r="T830" s="5"/>
      <c r="U830" s="4"/>
      <c r="V830" s="4"/>
      <c r="W830" s="4"/>
      <c r="X830" s="67"/>
      <c r="Y830" s="4"/>
      <c r="Z830" s="4"/>
      <c r="AA830" s="4"/>
      <c r="AB830" s="386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3"/>
      <c r="M831" s="4"/>
      <c r="N831" s="3"/>
      <c r="O831" s="3"/>
      <c r="P831" s="4"/>
      <c r="Q831" s="4"/>
      <c r="R831" s="3"/>
      <c r="S831" s="4"/>
      <c r="T831" s="5"/>
      <c r="U831" s="4"/>
      <c r="V831" s="4"/>
      <c r="W831" s="4"/>
      <c r="X831" s="67"/>
      <c r="Y831" s="4"/>
      <c r="Z831" s="4"/>
      <c r="AA831" s="4"/>
      <c r="AB831" s="386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3"/>
      <c r="M832" s="4"/>
      <c r="N832" s="3"/>
      <c r="O832" s="3"/>
      <c r="P832" s="4"/>
      <c r="Q832" s="4"/>
      <c r="R832" s="3"/>
      <c r="S832" s="4"/>
      <c r="T832" s="5"/>
      <c r="U832" s="4"/>
      <c r="V832" s="4"/>
      <c r="W832" s="4"/>
      <c r="X832" s="67"/>
      <c r="Y832" s="4"/>
      <c r="Z832" s="4"/>
      <c r="AA832" s="4"/>
      <c r="AB832" s="386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3"/>
      <c r="M833" s="4"/>
      <c r="N833" s="3"/>
      <c r="O833" s="3"/>
      <c r="P833" s="4"/>
      <c r="Q833" s="4"/>
      <c r="R833" s="3"/>
      <c r="S833" s="4"/>
      <c r="T833" s="5"/>
      <c r="U833" s="4"/>
      <c r="V833" s="4"/>
      <c r="W833" s="4"/>
      <c r="X833" s="67"/>
      <c r="Y833" s="4"/>
      <c r="Z833" s="4"/>
      <c r="AA833" s="4"/>
      <c r="AB833" s="386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3"/>
      <c r="M834" s="4"/>
      <c r="N834" s="3"/>
      <c r="O834" s="3"/>
      <c r="P834" s="4"/>
      <c r="Q834" s="4"/>
      <c r="R834" s="3"/>
      <c r="S834" s="4"/>
      <c r="T834" s="5"/>
      <c r="U834" s="4"/>
      <c r="V834" s="4"/>
      <c r="W834" s="4"/>
      <c r="X834" s="67"/>
      <c r="Y834" s="4"/>
      <c r="Z834" s="4"/>
      <c r="AA834" s="4"/>
      <c r="AB834" s="386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3"/>
      <c r="M835" s="4"/>
      <c r="N835" s="3"/>
      <c r="O835" s="3"/>
      <c r="P835" s="4"/>
      <c r="Q835" s="4"/>
      <c r="R835" s="3"/>
      <c r="S835" s="4"/>
      <c r="T835" s="5"/>
      <c r="U835" s="4"/>
      <c r="V835" s="4"/>
      <c r="W835" s="4"/>
      <c r="X835" s="67"/>
      <c r="Y835" s="4"/>
      <c r="Z835" s="4"/>
      <c r="AA835" s="4"/>
      <c r="AB835" s="386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4"/>
      <c r="N836" s="3"/>
      <c r="O836" s="3"/>
      <c r="P836" s="4"/>
      <c r="Q836" s="4"/>
      <c r="R836" s="3"/>
      <c r="S836" s="4"/>
      <c r="T836" s="5"/>
      <c r="U836" s="4"/>
      <c r="V836" s="4"/>
      <c r="W836" s="4"/>
      <c r="X836" s="67"/>
      <c r="Y836" s="4"/>
      <c r="Z836" s="4"/>
      <c r="AA836" s="4"/>
      <c r="AB836" s="386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4"/>
      <c r="N837" s="3"/>
      <c r="O837" s="3"/>
      <c r="P837" s="4"/>
      <c r="Q837" s="4"/>
      <c r="R837" s="3"/>
      <c r="S837" s="4"/>
      <c r="T837" s="5"/>
      <c r="U837" s="4"/>
      <c r="V837" s="4"/>
      <c r="W837" s="4"/>
      <c r="X837" s="67"/>
      <c r="Y837" s="4"/>
      <c r="Z837" s="4"/>
      <c r="AA837" s="4"/>
      <c r="AB837" s="386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4"/>
      <c r="N838" s="3"/>
      <c r="O838" s="3"/>
      <c r="P838" s="4"/>
      <c r="Q838" s="4"/>
      <c r="R838" s="3"/>
      <c r="S838" s="4"/>
      <c r="T838" s="5"/>
      <c r="U838" s="4"/>
      <c r="V838" s="4"/>
      <c r="W838" s="4"/>
      <c r="X838" s="67"/>
      <c r="Y838" s="4"/>
      <c r="Z838" s="4"/>
      <c r="AA838" s="4"/>
      <c r="AB838" s="386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4"/>
      <c r="N839" s="3"/>
      <c r="O839" s="3"/>
      <c r="P839" s="4"/>
      <c r="Q839" s="4"/>
      <c r="R839" s="3"/>
      <c r="S839" s="4"/>
      <c r="T839" s="5"/>
      <c r="U839" s="4"/>
      <c r="V839" s="4"/>
      <c r="W839" s="4"/>
      <c r="X839" s="67"/>
      <c r="Y839" s="4"/>
      <c r="Z839" s="4"/>
      <c r="AA839" s="4"/>
      <c r="AB839" s="386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4"/>
      <c r="N840" s="3"/>
      <c r="O840" s="3"/>
      <c r="P840" s="4"/>
      <c r="Q840" s="4"/>
      <c r="R840" s="3"/>
      <c r="S840" s="4"/>
      <c r="T840" s="5"/>
      <c r="U840" s="4"/>
      <c r="V840" s="4"/>
      <c r="W840" s="4"/>
      <c r="X840" s="67"/>
      <c r="Y840" s="4"/>
      <c r="Z840" s="4"/>
      <c r="AA840" s="4"/>
      <c r="AB840" s="386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4"/>
      <c r="N841" s="3"/>
      <c r="O841" s="3"/>
      <c r="P841" s="4"/>
      <c r="Q841" s="4"/>
      <c r="R841" s="3"/>
      <c r="S841" s="4"/>
      <c r="T841" s="5"/>
      <c r="U841" s="4"/>
      <c r="V841" s="4"/>
      <c r="W841" s="4"/>
      <c r="X841" s="67"/>
      <c r="Y841" s="4"/>
      <c r="Z841" s="4"/>
      <c r="AA841" s="4"/>
      <c r="AB841" s="386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4"/>
      <c r="N842" s="3"/>
      <c r="O842" s="3"/>
      <c r="P842" s="4"/>
      <c r="Q842" s="4"/>
      <c r="R842" s="3"/>
      <c r="S842" s="4"/>
      <c r="T842" s="5"/>
      <c r="U842" s="4"/>
      <c r="V842" s="4"/>
      <c r="W842" s="4"/>
      <c r="X842" s="67"/>
      <c r="Y842" s="4"/>
      <c r="Z842" s="4"/>
      <c r="AA842" s="4"/>
      <c r="AB842" s="386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4"/>
      <c r="N843" s="3"/>
      <c r="O843" s="3"/>
      <c r="P843" s="4"/>
      <c r="Q843" s="4"/>
      <c r="R843" s="3"/>
      <c r="S843" s="4"/>
      <c r="T843" s="5"/>
      <c r="U843" s="4"/>
      <c r="V843" s="4"/>
      <c r="W843" s="4"/>
      <c r="X843" s="67"/>
      <c r="Y843" s="4"/>
      <c r="Z843" s="4"/>
      <c r="AA843" s="4"/>
      <c r="AB843" s="386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4"/>
      <c r="N844" s="3"/>
      <c r="O844" s="3"/>
      <c r="P844" s="4"/>
      <c r="Q844" s="4"/>
      <c r="R844" s="3"/>
      <c r="S844" s="4"/>
      <c r="T844" s="5"/>
      <c r="U844" s="4"/>
      <c r="V844" s="4"/>
      <c r="W844" s="4"/>
      <c r="X844" s="67"/>
      <c r="Y844" s="4"/>
      <c r="Z844" s="4"/>
      <c r="AA844" s="4"/>
      <c r="AB844" s="386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4"/>
      <c r="N845" s="3"/>
      <c r="O845" s="3"/>
      <c r="P845" s="4"/>
      <c r="Q845" s="4"/>
      <c r="R845" s="3"/>
      <c r="S845" s="4"/>
      <c r="T845" s="5"/>
      <c r="U845" s="4"/>
      <c r="V845" s="4"/>
      <c r="W845" s="4"/>
      <c r="X845" s="67"/>
      <c r="Y845" s="4"/>
      <c r="Z845" s="4"/>
      <c r="AA845" s="4"/>
      <c r="AB845" s="386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4"/>
      <c r="N846" s="3"/>
      <c r="O846" s="3"/>
      <c r="P846" s="4"/>
      <c r="Q846" s="4"/>
      <c r="R846" s="3"/>
      <c r="S846" s="4"/>
      <c r="T846" s="5"/>
      <c r="U846" s="4"/>
      <c r="V846" s="4"/>
      <c r="W846" s="4"/>
      <c r="X846" s="67"/>
      <c r="Y846" s="4"/>
      <c r="Z846" s="4"/>
      <c r="AA846" s="4"/>
      <c r="AB846" s="386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3"/>
      <c r="M847" s="4"/>
      <c r="N847" s="3"/>
      <c r="O847" s="3"/>
      <c r="P847" s="4"/>
      <c r="Q847" s="4"/>
      <c r="R847" s="3"/>
      <c r="S847" s="4"/>
      <c r="T847" s="5"/>
      <c r="U847" s="4"/>
      <c r="V847" s="4"/>
      <c r="W847" s="4"/>
      <c r="X847" s="67"/>
      <c r="Y847" s="4"/>
      <c r="Z847" s="4"/>
      <c r="AA847" s="4"/>
      <c r="AB847" s="386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3"/>
      <c r="M848" s="4"/>
      <c r="N848" s="3"/>
      <c r="O848" s="3"/>
      <c r="P848" s="4"/>
      <c r="Q848" s="4"/>
      <c r="R848" s="3"/>
      <c r="S848" s="4"/>
      <c r="T848" s="5"/>
      <c r="U848" s="4"/>
      <c r="V848" s="4"/>
      <c r="W848" s="4"/>
      <c r="X848" s="67"/>
      <c r="Y848" s="4"/>
      <c r="Z848" s="4"/>
      <c r="AA848" s="4"/>
      <c r="AB848" s="386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3"/>
      <c r="M849" s="4"/>
      <c r="N849" s="3"/>
      <c r="O849" s="3"/>
      <c r="P849" s="4"/>
      <c r="Q849" s="4"/>
      <c r="R849" s="3"/>
      <c r="S849" s="4"/>
      <c r="T849" s="5"/>
      <c r="U849" s="4"/>
      <c r="V849" s="4"/>
      <c r="W849" s="4"/>
      <c r="X849" s="67"/>
      <c r="Y849" s="4"/>
      <c r="Z849" s="4"/>
      <c r="AA849" s="4"/>
      <c r="AB849" s="386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3"/>
      <c r="M850" s="4"/>
      <c r="N850" s="3"/>
      <c r="O850" s="3"/>
      <c r="P850" s="4"/>
      <c r="Q850" s="4"/>
      <c r="R850" s="3"/>
      <c r="S850" s="4"/>
      <c r="T850" s="5"/>
      <c r="U850" s="4"/>
      <c r="V850" s="4"/>
      <c r="W850" s="4"/>
      <c r="X850" s="67"/>
      <c r="Y850" s="4"/>
      <c r="Z850" s="4"/>
      <c r="AA850" s="4"/>
      <c r="AB850" s="386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3"/>
      <c r="M851" s="4"/>
      <c r="N851" s="3"/>
      <c r="O851" s="3"/>
      <c r="P851" s="4"/>
      <c r="Q851" s="4"/>
      <c r="R851" s="3"/>
      <c r="S851" s="4"/>
      <c r="T851" s="5"/>
      <c r="U851" s="4"/>
      <c r="V851" s="4"/>
      <c r="W851" s="4"/>
      <c r="X851" s="67"/>
      <c r="Y851" s="4"/>
      <c r="Z851" s="4"/>
      <c r="AA851" s="4"/>
      <c r="AB851" s="386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3"/>
      <c r="M852" s="4"/>
      <c r="N852" s="3"/>
      <c r="O852" s="3"/>
      <c r="P852" s="4"/>
      <c r="Q852" s="4"/>
      <c r="R852" s="3"/>
      <c r="S852" s="4"/>
      <c r="T852" s="5"/>
      <c r="U852" s="4"/>
      <c r="V852" s="4"/>
      <c r="W852" s="4"/>
      <c r="X852" s="67"/>
      <c r="Y852" s="4"/>
      <c r="Z852" s="4"/>
      <c r="AA852" s="4"/>
      <c r="AB852" s="386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3"/>
      <c r="M853" s="4"/>
      <c r="N853" s="3"/>
      <c r="O853" s="3"/>
      <c r="P853" s="4"/>
      <c r="Q853" s="4"/>
      <c r="R853" s="3"/>
      <c r="S853" s="4"/>
      <c r="T853" s="5"/>
      <c r="U853" s="4"/>
      <c r="V853" s="4"/>
      <c r="W853" s="4"/>
      <c r="X853" s="67"/>
      <c r="Y853" s="4"/>
      <c r="Z853" s="4"/>
      <c r="AA853" s="4"/>
      <c r="AB853" s="386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3"/>
      <c r="M854" s="4"/>
      <c r="N854" s="3"/>
      <c r="O854" s="3"/>
      <c r="P854" s="4"/>
      <c r="Q854" s="4"/>
      <c r="R854" s="3"/>
      <c r="S854" s="4"/>
      <c r="T854" s="5"/>
      <c r="U854" s="4"/>
      <c r="V854" s="4"/>
      <c r="W854" s="4"/>
      <c r="X854" s="67"/>
      <c r="Y854" s="4"/>
      <c r="Z854" s="4"/>
      <c r="AA854" s="4"/>
      <c r="AB854" s="386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3"/>
      <c r="M855" s="4"/>
      <c r="N855" s="3"/>
      <c r="O855" s="3"/>
      <c r="P855" s="4"/>
      <c r="Q855" s="4"/>
      <c r="R855" s="3"/>
      <c r="S855" s="4"/>
      <c r="T855" s="5"/>
      <c r="U855" s="4"/>
      <c r="V855" s="4"/>
      <c r="W855" s="4"/>
      <c r="X855" s="67"/>
      <c r="Y855" s="4"/>
      <c r="Z855" s="4"/>
      <c r="AA855" s="4"/>
      <c r="AB855" s="386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3"/>
      <c r="M856" s="4"/>
      <c r="N856" s="3"/>
      <c r="O856" s="3"/>
      <c r="P856" s="4"/>
      <c r="Q856" s="4"/>
      <c r="R856" s="3"/>
      <c r="S856" s="4"/>
      <c r="T856" s="5"/>
      <c r="U856" s="4"/>
      <c r="V856" s="4"/>
      <c r="W856" s="4"/>
      <c r="X856" s="67"/>
      <c r="Y856" s="4"/>
      <c r="Z856" s="4"/>
      <c r="AA856" s="4"/>
      <c r="AB856" s="386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3"/>
      <c r="M857" s="4"/>
      <c r="N857" s="3"/>
      <c r="O857" s="3"/>
      <c r="P857" s="4"/>
      <c r="Q857" s="4"/>
      <c r="R857" s="3"/>
      <c r="S857" s="4"/>
      <c r="T857" s="5"/>
      <c r="U857" s="4"/>
      <c r="V857" s="4"/>
      <c r="W857" s="4"/>
      <c r="X857" s="67"/>
      <c r="Y857" s="4"/>
      <c r="Z857" s="4"/>
      <c r="AA857" s="4"/>
      <c r="AB857" s="386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3"/>
      <c r="M858" s="4"/>
      <c r="N858" s="3"/>
      <c r="O858" s="3"/>
      <c r="P858" s="4"/>
      <c r="Q858" s="4"/>
      <c r="R858" s="3"/>
      <c r="S858" s="4"/>
      <c r="T858" s="5"/>
      <c r="U858" s="4"/>
      <c r="V858" s="4"/>
      <c r="W858" s="4"/>
      <c r="X858" s="67"/>
      <c r="Y858" s="4"/>
      <c r="Z858" s="4"/>
      <c r="AA858" s="4"/>
      <c r="AB858" s="386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3"/>
      <c r="M859" s="4"/>
      <c r="N859" s="3"/>
      <c r="O859" s="3"/>
      <c r="P859" s="4"/>
      <c r="Q859" s="4"/>
      <c r="R859" s="3"/>
      <c r="S859" s="4"/>
      <c r="T859" s="5"/>
      <c r="U859" s="4"/>
      <c r="V859" s="4"/>
      <c r="W859" s="4"/>
      <c r="X859" s="67"/>
      <c r="Y859" s="4"/>
      <c r="Z859" s="4"/>
      <c r="AA859" s="4"/>
      <c r="AB859" s="386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3"/>
      <c r="M860" s="4"/>
      <c r="N860" s="3"/>
      <c r="O860" s="3"/>
      <c r="P860" s="4"/>
      <c r="Q860" s="4"/>
      <c r="R860" s="3"/>
      <c r="S860" s="4"/>
      <c r="T860" s="5"/>
      <c r="U860" s="4"/>
      <c r="V860" s="4"/>
      <c r="W860" s="4"/>
      <c r="X860" s="67"/>
      <c r="Y860" s="4"/>
      <c r="Z860" s="4"/>
      <c r="AA860" s="4"/>
      <c r="AB860" s="386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3"/>
      <c r="M861" s="4"/>
      <c r="N861" s="3"/>
      <c r="O861" s="3"/>
      <c r="P861" s="4"/>
      <c r="Q861" s="4"/>
      <c r="R861" s="3"/>
      <c r="S861" s="4"/>
      <c r="T861" s="5"/>
      <c r="U861" s="4"/>
      <c r="V861" s="4"/>
      <c r="W861" s="4"/>
      <c r="X861" s="67"/>
      <c r="Y861" s="4"/>
      <c r="Z861" s="4"/>
      <c r="AA861" s="4"/>
      <c r="AB861" s="386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3"/>
      <c r="M862" s="4"/>
      <c r="N862" s="3"/>
      <c r="O862" s="3"/>
      <c r="P862" s="4"/>
      <c r="Q862" s="4"/>
      <c r="R862" s="3"/>
      <c r="S862" s="4"/>
      <c r="T862" s="5"/>
      <c r="U862" s="4"/>
      <c r="V862" s="4"/>
      <c r="W862" s="4"/>
      <c r="X862" s="67"/>
      <c r="Y862" s="4"/>
      <c r="Z862" s="4"/>
      <c r="AA862" s="4"/>
      <c r="AB862" s="386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3"/>
      <c r="M863" s="4"/>
      <c r="N863" s="3"/>
      <c r="O863" s="3"/>
      <c r="P863" s="4"/>
      <c r="Q863" s="4"/>
      <c r="R863" s="3"/>
      <c r="S863" s="4"/>
      <c r="T863" s="5"/>
      <c r="U863" s="4"/>
      <c r="V863" s="4"/>
      <c r="W863" s="4"/>
      <c r="X863" s="67"/>
      <c r="Y863" s="4"/>
      <c r="Z863" s="4"/>
      <c r="AA863" s="4"/>
      <c r="AB863" s="386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3"/>
      <c r="M864" s="4"/>
      <c r="N864" s="3"/>
      <c r="O864" s="3"/>
      <c r="P864" s="4"/>
      <c r="Q864" s="4"/>
      <c r="R864" s="3"/>
      <c r="S864" s="4"/>
      <c r="T864" s="5"/>
      <c r="U864" s="4"/>
      <c r="V864" s="4"/>
      <c r="W864" s="4"/>
      <c r="X864" s="67"/>
      <c r="Y864" s="4"/>
      <c r="Z864" s="4"/>
      <c r="AA864" s="4"/>
      <c r="AB864" s="386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3"/>
      <c r="M865" s="4"/>
      <c r="N865" s="3"/>
      <c r="O865" s="3"/>
      <c r="P865" s="4"/>
      <c r="Q865" s="4"/>
      <c r="R865" s="3"/>
      <c r="S865" s="4"/>
      <c r="T865" s="5"/>
      <c r="U865" s="4"/>
      <c r="V865" s="4"/>
      <c r="W865" s="4"/>
      <c r="X865" s="67"/>
      <c r="Y865" s="4"/>
      <c r="Z865" s="4"/>
      <c r="AA865" s="4"/>
      <c r="AB865" s="386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3"/>
      <c r="M866" s="4"/>
      <c r="N866" s="3"/>
      <c r="O866" s="3"/>
      <c r="P866" s="4"/>
      <c r="Q866" s="4"/>
      <c r="R866" s="3"/>
      <c r="S866" s="4"/>
      <c r="T866" s="5"/>
      <c r="U866" s="4"/>
      <c r="V866" s="4"/>
      <c r="W866" s="4"/>
      <c r="X866" s="67"/>
      <c r="Y866" s="4"/>
      <c r="Z866" s="4"/>
      <c r="AA866" s="4"/>
      <c r="AB866" s="386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3"/>
      <c r="M867" s="4"/>
      <c r="N867" s="3"/>
      <c r="O867" s="3"/>
      <c r="P867" s="4"/>
      <c r="Q867" s="4"/>
      <c r="R867" s="3"/>
      <c r="S867" s="4"/>
      <c r="T867" s="5"/>
      <c r="U867" s="4"/>
      <c r="V867" s="4"/>
      <c r="W867" s="4"/>
      <c r="X867" s="67"/>
      <c r="Y867" s="4"/>
      <c r="Z867" s="4"/>
      <c r="AA867" s="4"/>
      <c r="AB867" s="386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3"/>
      <c r="M868" s="4"/>
      <c r="N868" s="3"/>
      <c r="O868" s="3"/>
      <c r="P868" s="4"/>
      <c r="Q868" s="4"/>
      <c r="R868" s="3"/>
      <c r="S868" s="4"/>
      <c r="T868" s="5"/>
      <c r="U868" s="4"/>
      <c r="V868" s="4"/>
      <c r="W868" s="4"/>
      <c r="X868" s="67"/>
      <c r="Y868" s="4"/>
      <c r="Z868" s="4"/>
      <c r="AA868" s="4"/>
      <c r="AB868" s="386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3"/>
      <c r="M869" s="4"/>
      <c r="N869" s="3"/>
      <c r="O869" s="3"/>
      <c r="P869" s="4"/>
      <c r="Q869" s="4"/>
      <c r="R869" s="3"/>
      <c r="S869" s="4"/>
      <c r="T869" s="5"/>
      <c r="U869" s="4"/>
      <c r="V869" s="4"/>
      <c r="W869" s="4"/>
      <c r="X869" s="67"/>
      <c r="Y869" s="4"/>
      <c r="Z869" s="4"/>
      <c r="AA869" s="4"/>
      <c r="AB869" s="386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3"/>
      <c r="M870" s="4"/>
      <c r="N870" s="3"/>
      <c r="O870" s="3"/>
      <c r="P870" s="4"/>
      <c r="Q870" s="4"/>
      <c r="R870" s="3"/>
      <c r="S870" s="4"/>
      <c r="T870" s="5"/>
      <c r="U870" s="4"/>
      <c r="V870" s="4"/>
      <c r="W870" s="4"/>
      <c r="X870" s="67"/>
      <c r="Y870" s="4"/>
      <c r="Z870" s="4"/>
      <c r="AA870" s="4"/>
      <c r="AB870" s="386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3"/>
      <c r="M871" s="4"/>
      <c r="N871" s="3"/>
      <c r="O871" s="3"/>
      <c r="P871" s="4"/>
      <c r="Q871" s="4"/>
      <c r="R871" s="3"/>
      <c r="S871" s="4"/>
      <c r="T871" s="5"/>
      <c r="U871" s="4"/>
      <c r="V871" s="4"/>
      <c r="W871" s="4"/>
      <c r="X871" s="67"/>
      <c r="Y871" s="4"/>
      <c r="Z871" s="4"/>
      <c r="AA871" s="4"/>
      <c r="AB871" s="386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3"/>
      <c r="M872" s="4"/>
      <c r="N872" s="3"/>
      <c r="O872" s="3"/>
      <c r="P872" s="4"/>
      <c r="Q872" s="4"/>
      <c r="R872" s="3"/>
      <c r="S872" s="4"/>
      <c r="T872" s="5"/>
      <c r="U872" s="4"/>
      <c r="V872" s="4"/>
      <c r="W872" s="4"/>
      <c r="X872" s="67"/>
      <c r="Y872" s="4"/>
      <c r="Z872" s="4"/>
      <c r="AA872" s="4"/>
      <c r="AB872" s="386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3"/>
      <c r="M873" s="4"/>
      <c r="N873" s="3"/>
      <c r="O873" s="3"/>
      <c r="P873" s="4"/>
      <c r="Q873" s="4"/>
      <c r="R873" s="3"/>
      <c r="S873" s="4"/>
      <c r="T873" s="5"/>
      <c r="U873" s="4"/>
      <c r="V873" s="4"/>
      <c r="W873" s="4"/>
      <c r="X873" s="67"/>
      <c r="Y873" s="4"/>
      <c r="Z873" s="4"/>
      <c r="AA873" s="4"/>
      <c r="AB873" s="386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3"/>
      <c r="M874" s="4"/>
      <c r="N874" s="3"/>
      <c r="O874" s="3"/>
      <c r="P874" s="4"/>
      <c r="Q874" s="4"/>
      <c r="R874" s="3"/>
      <c r="S874" s="4"/>
      <c r="T874" s="5"/>
      <c r="U874" s="4"/>
      <c r="V874" s="4"/>
      <c r="W874" s="4"/>
      <c r="X874" s="67"/>
      <c r="Y874" s="4"/>
      <c r="Z874" s="4"/>
      <c r="AA874" s="4"/>
      <c r="AB874" s="386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3"/>
      <c r="M875" s="4"/>
      <c r="N875" s="3"/>
      <c r="O875" s="3"/>
      <c r="P875" s="4"/>
      <c r="Q875" s="4"/>
      <c r="R875" s="3"/>
      <c r="S875" s="4"/>
      <c r="T875" s="5"/>
      <c r="U875" s="4"/>
      <c r="V875" s="4"/>
      <c r="W875" s="4"/>
      <c r="X875" s="67"/>
      <c r="Y875" s="4"/>
      <c r="Z875" s="4"/>
      <c r="AA875" s="4"/>
      <c r="AB875" s="386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3"/>
      <c r="M876" s="4"/>
      <c r="N876" s="3"/>
      <c r="O876" s="3"/>
      <c r="P876" s="4"/>
      <c r="Q876" s="4"/>
      <c r="R876" s="3"/>
      <c r="S876" s="4"/>
      <c r="T876" s="5"/>
      <c r="U876" s="4"/>
      <c r="V876" s="4"/>
      <c r="W876" s="4"/>
      <c r="X876" s="67"/>
      <c r="Y876" s="4"/>
      <c r="Z876" s="4"/>
      <c r="AA876" s="4"/>
      <c r="AB876" s="386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4"/>
      <c r="N877" s="3"/>
      <c r="O877" s="3"/>
      <c r="P877" s="4"/>
      <c r="Q877" s="4"/>
      <c r="R877" s="3"/>
      <c r="S877" s="4"/>
      <c r="T877" s="5"/>
      <c r="U877" s="4"/>
      <c r="V877" s="4"/>
      <c r="W877" s="4"/>
      <c r="X877" s="67"/>
      <c r="Y877" s="4"/>
      <c r="Z877" s="4"/>
      <c r="AA877" s="4"/>
      <c r="AB877" s="386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3"/>
      <c r="M878" s="4"/>
      <c r="N878" s="3"/>
      <c r="O878" s="3"/>
      <c r="P878" s="4"/>
      <c r="Q878" s="4"/>
      <c r="R878" s="3"/>
      <c r="S878" s="4"/>
      <c r="T878" s="5"/>
      <c r="U878" s="4"/>
      <c r="V878" s="4"/>
      <c r="W878" s="4"/>
      <c r="X878" s="67"/>
      <c r="Y878" s="4"/>
      <c r="Z878" s="4"/>
      <c r="AA878" s="4"/>
      <c r="AB878" s="386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3"/>
      <c r="M879" s="4"/>
      <c r="N879" s="3"/>
      <c r="O879" s="3"/>
      <c r="P879" s="4"/>
      <c r="Q879" s="4"/>
      <c r="R879" s="3"/>
      <c r="S879" s="4"/>
      <c r="T879" s="5"/>
      <c r="U879" s="4"/>
      <c r="V879" s="4"/>
      <c r="W879" s="4"/>
      <c r="X879" s="67"/>
      <c r="Y879" s="4"/>
      <c r="Z879" s="4"/>
      <c r="AA879" s="4"/>
      <c r="AB879" s="386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3"/>
      <c r="M880" s="4"/>
      <c r="N880" s="3"/>
      <c r="O880" s="3"/>
      <c r="P880" s="4"/>
      <c r="Q880" s="4"/>
      <c r="R880" s="3"/>
      <c r="S880" s="4"/>
      <c r="T880" s="5"/>
      <c r="U880" s="4"/>
      <c r="V880" s="4"/>
      <c r="W880" s="4"/>
      <c r="X880" s="67"/>
      <c r="Y880" s="4"/>
      <c r="Z880" s="4"/>
      <c r="AA880" s="4"/>
      <c r="AB880" s="386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3"/>
      <c r="M881" s="4"/>
      <c r="N881" s="3"/>
      <c r="O881" s="3"/>
      <c r="P881" s="4"/>
      <c r="Q881" s="4"/>
      <c r="R881" s="3"/>
      <c r="S881" s="4"/>
      <c r="T881" s="5"/>
      <c r="U881" s="4"/>
      <c r="V881" s="4"/>
      <c r="W881" s="4"/>
      <c r="X881" s="67"/>
      <c r="Y881" s="4"/>
      <c r="Z881" s="4"/>
      <c r="AA881" s="4"/>
      <c r="AB881" s="386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3"/>
      <c r="M882" s="4"/>
      <c r="N882" s="3"/>
      <c r="O882" s="3"/>
      <c r="P882" s="4"/>
      <c r="Q882" s="4"/>
      <c r="R882" s="3"/>
      <c r="S882" s="4"/>
      <c r="T882" s="5"/>
      <c r="U882" s="4"/>
      <c r="V882" s="4"/>
      <c r="W882" s="4"/>
      <c r="X882" s="67"/>
      <c r="Y882" s="4"/>
      <c r="Z882" s="4"/>
      <c r="AA882" s="4"/>
      <c r="AB882" s="386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3"/>
      <c r="M883" s="4"/>
      <c r="N883" s="3"/>
      <c r="O883" s="3"/>
      <c r="P883" s="4"/>
      <c r="Q883" s="4"/>
      <c r="R883" s="3"/>
      <c r="S883" s="4"/>
      <c r="T883" s="5"/>
      <c r="U883" s="4"/>
      <c r="V883" s="4"/>
      <c r="W883" s="4"/>
      <c r="X883" s="67"/>
      <c r="Y883" s="4"/>
      <c r="Z883" s="4"/>
      <c r="AA883" s="4"/>
      <c r="AB883" s="386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3"/>
      <c r="M884" s="4"/>
      <c r="N884" s="3"/>
      <c r="O884" s="3"/>
      <c r="P884" s="4"/>
      <c r="Q884" s="4"/>
      <c r="R884" s="3"/>
      <c r="S884" s="4"/>
      <c r="T884" s="5"/>
      <c r="U884" s="4"/>
      <c r="V884" s="4"/>
      <c r="W884" s="4"/>
      <c r="X884" s="67"/>
      <c r="Y884" s="4"/>
      <c r="Z884" s="4"/>
      <c r="AA884" s="4"/>
      <c r="AB884" s="386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3"/>
      <c r="M885" s="4"/>
      <c r="N885" s="3"/>
      <c r="O885" s="3"/>
      <c r="P885" s="4"/>
      <c r="Q885" s="4"/>
      <c r="R885" s="3"/>
      <c r="S885" s="4"/>
      <c r="T885" s="5"/>
      <c r="U885" s="4"/>
      <c r="V885" s="4"/>
      <c r="W885" s="4"/>
      <c r="X885" s="67"/>
      <c r="Y885" s="4"/>
      <c r="Z885" s="4"/>
      <c r="AA885" s="4"/>
      <c r="AB885" s="386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3"/>
      <c r="M886" s="4"/>
      <c r="N886" s="3"/>
      <c r="O886" s="3"/>
      <c r="P886" s="4"/>
      <c r="Q886" s="4"/>
      <c r="R886" s="3"/>
      <c r="S886" s="4"/>
      <c r="T886" s="5"/>
      <c r="U886" s="4"/>
      <c r="V886" s="4"/>
      <c r="W886" s="4"/>
      <c r="X886" s="67"/>
      <c r="Y886" s="4"/>
      <c r="Z886" s="4"/>
      <c r="AA886" s="4"/>
      <c r="AB886" s="386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3"/>
      <c r="M887" s="4"/>
      <c r="N887" s="3"/>
      <c r="O887" s="3"/>
      <c r="P887" s="4"/>
      <c r="Q887" s="4"/>
      <c r="R887" s="3"/>
      <c r="S887" s="4"/>
      <c r="T887" s="5"/>
      <c r="U887" s="4"/>
      <c r="V887" s="4"/>
      <c r="W887" s="4"/>
      <c r="X887" s="67"/>
      <c r="Y887" s="4"/>
      <c r="Z887" s="4"/>
      <c r="AA887" s="4"/>
      <c r="AB887" s="386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3"/>
      <c r="M888" s="4"/>
      <c r="N888" s="3"/>
      <c r="O888" s="3"/>
      <c r="P888" s="4"/>
      <c r="Q888" s="4"/>
      <c r="R888" s="3"/>
      <c r="S888" s="4"/>
      <c r="T888" s="5"/>
      <c r="U888" s="4"/>
      <c r="V888" s="4"/>
      <c r="W888" s="4"/>
      <c r="X888" s="67"/>
      <c r="Y888" s="4"/>
      <c r="Z888" s="4"/>
      <c r="AA888" s="4"/>
      <c r="AB888" s="386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3"/>
      <c r="M889" s="4"/>
      <c r="N889" s="3"/>
      <c r="O889" s="3"/>
      <c r="P889" s="4"/>
      <c r="Q889" s="4"/>
      <c r="R889" s="3"/>
      <c r="S889" s="4"/>
      <c r="T889" s="5"/>
      <c r="U889" s="4"/>
      <c r="V889" s="4"/>
      <c r="W889" s="4"/>
      <c r="X889" s="67"/>
      <c r="Y889" s="4"/>
      <c r="Z889" s="4"/>
      <c r="AA889" s="4"/>
      <c r="AB889" s="386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3"/>
      <c r="M890" s="4"/>
      <c r="N890" s="3"/>
      <c r="O890" s="3"/>
      <c r="P890" s="4"/>
      <c r="Q890" s="4"/>
      <c r="R890" s="3"/>
      <c r="S890" s="4"/>
      <c r="T890" s="5"/>
      <c r="U890" s="4"/>
      <c r="V890" s="4"/>
      <c r="W890" s="4"/>
      <c r="X890" s="67"/>
      <c r="Y890" s="4"/>
      <c r="Z890" s="4"/>
      <c r="AA890" s="4"/>
      <c r="AB890" s="386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3"/>
      <c r="M891" s="4"/>
      <c r="N891" s="3"/>
      <c r="O891" s="3"/>
      <c r="P891" s="4"/>
      <c r="Q891" s="4"/>
      <c r="R891" s="3"/>
      <c r="S891" s="4"/>
      <c r="T891" s="5"/>
      <c r="U891" s="4"/>
      <c r="V891" s="4"/>
      <c r="W891" s="4"/>
      <c r="X891" s="67"/>
      <c r="Y891" s="4"/>
      <c r="Z891" s="4"/>
      <c r="AA891" s="4"/>
      <c r="AB891" s="386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3"/>
      <c r="M892" s="4"/>
      <c r="N892" s="3"/>
      <c r="O892" s="3"/>
      <c r="P892" s="4"/>
      <c r="Q892" s="4"/>
      <c r="R892" s="3"/>
      <c r="S892" s="4"/>
      <c r="T892" s="5"/>
      <c r="U892" s="4"/>
      <c r="V892" s="4"/>
      <c r="W892" s="4"/>
      <c r="X892" s="67"/>
      <c r="Y892" s="4"/>
      <c r="Z892" s="4"/>
      <c r="AA892" s="4"/>
      <c r="AB892" s="386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3"/>
      <c r="M893" s="4"/>
      <c r="N893" s="3"/>
      <c r="O893" s="3"/>
      <c r="P893" s="4"/>
      <c r="Q893" s="4"/>
      <c r="R893" s="3"/>
      <c r="S893" s="4"/>
      <c r="T893" s="5"/>
      <c r="U893" s="4"/>
      <c r="V893" s="4"/>
      <c r="W893" s="4"/>
      <c r="X893" s="67"/>
      <c r="Y893" s="4"/>
      <c r="Z893" s="4"/>
      <c r="AA893" s="4"/>
      <c r="AB893" s="386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3"/>
      <c r="M894" s="4"/>
      <c r="N894" s="3"/>
      <c r="O894" s="3"/>
      <c r="P894" s="4"/>
      <c r="Q894" s="4"/>
      <c r="R894" s="3"/>
      <c r="S894" s="4"/>
      <c r="T894" s="5"/>
      <c r="U894" s="4"/>
      <c r="V894" s="4"/>
      <c r="W894" s="4"/>
      <c r="X894" s="67"/>
      <c r="Y894" s="4"/>
      <c r="Z894" s="4"/>
      <c r="AA894" s="4"/>
      <c r="AB894" s="386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3"/>
      <c r="M895" s="4"/>
      <c r="N895" s="3"/>
      <c r="O895" s="3"/>
      <c r="P895" s="4"/>
      <c r="Q895" s="4"/>
      <c r="R895" s="3"/>
      <c r="S895" s="4"/>
      <c r="T895" s="5"/>
      <c r="U895" s="4"/>
      <c r="V895" s="4"/>
      <c r="W895" s="4"/>
      <c r="X895" s="67"/>
      <c r="Y895" s="4"/>
      <c r="Z895" s="4"/>
      <c r="AA895" s="4"/>
      <c r="AB895" s="386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3"/>
      <c r="M896" s="4"/>
      <c r="N896" s="3"/>
      <c r="O896" s="3"/>
      <c r="P896" s="4"/>
      <c r="Q896" s="4"/>
      <c r="R896" s="3"/>
      <c r="S896" s="4"/>
      <c r="T896" s="5"/>
      <c r="U896" s="4"/>
      <c r="V896" s="4"/>
      <c r="W896" s="4"/>
      <c r="X896" s="67"/>
      <c r="Y896" s="4"/>
      <c r="Z896" s="4"/>
      <c r="AA896" s="4"/>
      <c r="AB896" s="386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3"/>
      <c r="M897" s="4"/>
      <c r="N897" s="3"/>
      <c r="O897" s="3"/>
      <c r="P897" s="4"/>
      <c r="Q897" s="4"/>
      <c r="R897" s="3"/>
      <c r="S897" s="4"/>
      <c r="T897" s="5"/>
      <c r="U897" s="4"/>
      <c r="V897" s="4"/>
      <c r="W897" s="4"/>
      <c r="X897" s="67"/>
      <c r="Y897" s="4"/>
      <c r="Z897" s="4"/>
      <c r="AA897" s="4"/>
      <c r="AB897" s="386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3"/>
      <c r="M898" s="4"/>
      <c r="N898" s="3"/>
      <c r="O898" s="3"/>
      <c r="P898" s="4"/>
      <c r="Q898" s="4"/>
      <c r="R898" s="3"/>
      <c r="S898" s="4"/>
      <c r="T898" s="5"/>
      <c r="U898" s="4"/>
      <c r="V898" s="4"/>
      <c r="W898" s="4"/>
      <c r="X898" s="67"/>
      <c r="Y898" s="4"/>
      <c r="Z898" s="4"/>
      <c r="AA898" s="4"/>
      <c r="AB898" s="386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3"/>
      <c r="M899" s="4"/>
      <c r="N899" s="3"/>
      <c r="O899" s="3"/>
      <c r="P899" s="4"/>
      <c r="Q899" s="4"/>
      <c r="R899" s="3"/>
      <c r="S899" s="4"/>
      <c r="T899" s="5"/>
      <c r="U899" s="4"/>
      <c r="V899" s="4"/>
      <c r="W899" s="4"/>
      <c r="X899" s="67"/>
      <c r="Y899" s="4"/>
      <c r="Z899" s="4"/>
      <c r="AA899" s="4"/>
      <c r="AB899" s="386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3"/>
      <c r="M900" s="4"/>
      <c r="N900" s="3"/>
      <c r="O900" s="3"/>
      <c r="P900" s="4"/>
      <c r="Q900" s="4"/>
      <c r="R900" s="3"/>
      <c r="S900" s="4"/>
      <c r="T900" s="5"/>
      <c r="U900" s="4"/>
      <c r="V900" s="4"/>
      <c r="W900" s="4"/>
      <c r="X900" s="67"/>
      <c r="Y900" s="4"/>
      <c r="Z900" s="4"/>
      <c r="AA900" s="4"/>
      <c r="AB900" s="386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3"/>
      <c r="M901" s="4"/>
      <c r="N901" s="3"/>
      <c r="O901" s="3"/>
      <c r="P901" s="4"/>
      <c r="Q901" s="4"/>
      <c r="R901" s="3"/>
      <c r="S901" s="4"/>
      <c r="T901" s="5"/>
      <c r="U901" s="4"/>
      <c r="V901" s="4"/>
      <c r="W901" s="4"/>
      <c r="X901" s="67"/>
      <c r="Y901" s="4"/>
      <c r="Z901" s="4"/>
      <c r="AA901" s="4"/>
      <c r="AB901" s="386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3"/>
      <c r="M902" s="4"/>
      <c r="N902" s="3"/>
      <c r="O902" s="3"/>
      <c r="P902" s="4"/>
      <c r="Q902" s="4"/>
      <c r="R902" s="3"/>
      <c r="S902" s="4"/>
      <c r="T902" s="5"/>
      <c r="U902" s="4"/>
      <c r="V902" s="4"/>
      <c r="W902" s="4"/>
      <c r="X902" s="67"/>
      <c r="Y902" s="4"/>
      <c r="Z902" s="4"/>
      <c r="AA902" s="4"/>
      <c r="AB902" s="386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3"/>
      <c r="M903" s="4"/>
      <c r="N903" s="3"/>
      <c r="O903" s="3"/>
      <c r="P903" s="4"/>
      <c r="Q903" s="4"/>
      <c r="R903" s="3"/>
      <c r="S903" s="4"/>
      <c r="T903" s="5"/>
      <c r="U903" s="4"/>
      <c r="V903" s="4"/>
      <c r="W903" s="4"/>
      <c r="X903" s="67"/>
      <c r="Y903" s="4"/>
      <c r="Z903" s="4"/>
      <c r="AA903" s="4"/>
      <c r="AB903" s="386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3"/>
      <c r="M904" s="4"/>
      <c r="N904" s="3"/>
      <c r="O904" s="3"/>
      <c r="P904" s="4"/>
      <c r="Q904" s="4"/>
      <c r="R904" s="3"/>
      <c r="S904" s="4"/>
      <c r="T904" s="5"/>
      <c r="U904" s="4"/>
      <c r="V904" s="4"/>
      <c r="W904" s="4"/>
      <c r="X904" s="67"/>
      <c r="Y904" s="4"/>
      <c r="Z904" s="4"/>
      <c r="AA904" s="4"/>
      <c r="AB904" s="386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3"/>
      <c r="M905" s="4"/>
      <c r="N905" s="3"/>
      <c r="O905" s="3"/>
      <c r="P905" s="4"/>
      <c r="Q905" s="4"/>
      <c r="R905" s="3"/>
      <c r="S905" s="4"/>
      <c r="T905" s="5"/>
      <c r="U905" s="4"/>
      <c r="V905" s="4"/>
      <c r="W905" s="4"/>
      <c r="X905" s="67"/>
      <c r="Y905" s="4"/>
      <c r="Z905" s="4"/>
      <c r="AA905" s="4"/>
      <c r="AB905" s="386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3"/>
      <c r="M906" s="4"/>
      <c r="N906" s="3"/>
      <c r="O906" s="3"/>
      <c r="P906" s="4"/>
      <c r="Q906" s="4"/>
      <c r="R906" s="3"/>
      <c r="S906" s="4"/>
      <c r="T906" s="5"/>
      <c r="U906" s="4"/>
      <c r="V906" s="4"/>
      <c r="W906" s="4"/>
      <c r="X906" s="67"/>
      <c r="Y906" s="4"/>
      <c r="Z906" s="4"/>
      <c r="AA906" s="4"/>
      <c r="AB906" s="386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3"/>
      <c r="M907" s="4"/>
      <c r="N907" s="3"/>
      <c r="O907" s="3"/>
      <c r="P907" s="4"/>
      <c r="Q907" s="4"/>
      <c r="R907" s="3"/>
      <c r="S907" s="4"/>
      <c r="T907" s="5"/>
      <c r="U907" s="4"/>
      <c r="V907" s="4"/>
      <c r="W907" s="4"/>
      <c r="X907" s="67"/>
      <c r="Y907" s="4"/>
      <c r="Z907" s="4"/>
      <c r="AA907" s="4"/>
      <c r="AB907" s="386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3"/>
      <c r="M908" s="4"/>
      <c r="N908" s="3"/>
      <c r="O908" s="3"/>
      <c r="P908" s="4"/>
      <c r="Q908" s="4"/>
      <c r="R908" s="3"/>
      <c r="S908" s="4"/>
      <c r="T908" s="5"/>
      <c r="U908" s="4"/>
      <c r="V908" s="4"/>
      <c r="W908" s="4"/>
      <c r="X908" s="67"/>
      <c r="Y908" s="4"/>
      <c r="Z908" s="4"/>
      <c r="AA908" s="4"/>
      <c r="AB908" s="386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3"/>
      <c r="M909" s="4"/>
      <c r="N909" s="3"/>
      <c r="O909" s="3"/>
      <c r="P909" s="4"/>
      <c r="Q909" s="4"/>
      <c r="R909" s="3"/>
      <c r="S909" s="4"/>
      <c r="T909" s="5"/>
      <c r="U909" s="4"/>
      <c r="V909" s="4"/>
      <c r="W909" s="4"/>
      <c r="X909" s="67"/>
      <c r="Y909" s="4"/>
      <c r="Z909" s="4"/>
      <c r="AA909" s="4"/>
      <c r="AB909" s="386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3"/>
      <c r="M910" s="4"/>
      <c r="N910" s="3"/>
      <c r="O910" s="3"/>
      <c r="P910" s="4"/>
      <c r="Q910" s="4"/>
      <c r="R910" s="3"/>
      <c r="S910" s="4"/>
      <c r="T910" s="5"/>
      <c r="U910" s="4"/>
      <c r="V910" s="4"/>
      <c r="W910" s="4"/>
      <c r="X910" s="67"/>
      <c r="Y910" s="4"/>
      <c r="Z910" s="4"/>
      <c r="AA910" s="4"/>
      <c r="AB910" s="386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3"/>
      <c r="M911" s="4"/>
      <c r="N911" s="3"/>
      <c r="O911" s="3"/>
      <c r="P911" s="4"/>
      <c r="Q911" s="4"/>
      <c r="R911" s="3"/>
      <c r="S911" s="4"/>
      <c r="T911" s="5"/>
      <c r="U911" s="4"/>
      <c r="V911" s="4"/>
      <c r="W911" s="4"/>
      <c r="X911" s="67"/>
      <c r="Y911" s="4"/>
      <c r="Z911" s="4"/>
      <c r="AA911" s="4"/>
      <c r="AB911" s="386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3"/>
      <c r="M912" s="4"/>
      <c r="N912" s="3"/>
      <c r="O912" s="3"/>
      <c r="P912" s="4"/>
      <c r="Q912" s="4"/>
      <c r="R912" s="3"/>
      <c r="S912" s="4"/>
      <c r="T912" s="5"/>
      <c r="U912" s="4"/>
      <c r="V912" s="4"/>
      <c r="W912" s="4"/>
      <c r="X912" s="67"/>
      <c r="Y912" s="4"/>
      <c r="Z912" s="4"/>
      <c r="AA912" s="4"/>
      <c r="AB912" s="386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3"/>
      <c r="M913" s="4"/>
      <c r="N913" s="3"/>
      <c r="O913" s="3"/>
      <c r="P913" s="4"/>
      <c r="Q913" s="4"/>
      <c r="R913" s="3"/>
      <c r="S913" s="4"/>
      <c r="T913" s="5"/>
      <c r="U913" s="4"/>
      <c r="V913" s="4"/>
      <c r="W913" s="4"/>
      <c r="X913" s="67"/>
      <c r="Y913" s="4"/>
      <c r="Z913" s="4"/>
      <c r="AA913" s="4"/>
      <c r="AB913" s="386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3"/>
      <c r="M914" s="4"/>
      <c r="N914" s="3"/>
      <c r="O914" s="3"/>
      <c r="P914" s="4"/>
      <c r="Q914" s="4"/>
      <c r="R914" s="3"/>
      <c r="S914" s="4"/>
      <c r="T914" s="5"/>
      <c r="U914" s="4"/>
      <c r="V914" s="4"/>
      <c r="W914" s="4"/>
      <c r="X914" s="67"/>
      <c r="Y914" s="4"/>
      <c r="Z914" s="4"/>
      <c r="AA914" s="4"/>
      <c r="AB914" s="386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3"/>
      <c r="M915" s="4"/>
      <c r="N915" s="3"/>
      <c r="O915" s="3"/>
      <c r="P915" s="4"/>
      <c r="Q915" s="4"/>
      <c r="R915" s="3"/>
      <c r="S915" s="4"/>
      <c r="T915" s="5"/>
      <c r="U915" s="4"/>
      <c r="V915" s="4"/>
      <c r="W915" s="4"/>
      <c r="X915" s="67"/>
      <c r="Y915" s="4"/>
      <c r="Z915" s="4"/>
      <c r="AA915" s="4"/>
      <c r="AB915" s="386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3"/>
      <c r="M916" s="4"/>
      <c r="N916" s="3"/>
      <c r="O916" s="3"/>
      <c r="P916" s="4"/>
      <c r="Q916" s="4"/>
      <c r="R916" s="3"/>
      <c r="S916" s="4"/>
      <c r="T916" s="5"/>
      <c r="U916" s="4"/>
      <c r="V916" s="4"/>
      <c r="W916" s="4"/>
      <c r="X916" s="67"/>
      <c r="Y916" s="4"/>
      <c r="Z916" s="4"/>
      <c r="AA916" s="4"/>
      <c r="AB916" s="386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3"/>
      <c r="M917" s="4"/>
      <c r="N917" s="3"/>
      <c r="O917" s="3"/>
      <c r="P917" s="4"/>
      <c r="Q917" s="4"/>
      <c r="R917" s="3"/>
      <c r="S917" s="4"/>
      <c r="T917" s="5"/>
      <c r="U917" s="4"/>
      <c r="V917" s="4"/>
      <c r="W917" s="4"/>
      <c r="X917" s="67"/>
      <c r="Y917" s="4"/>
      <c r="Z917" s="4"/>
      <c r="AA917" s="4"/>
      <c r="AB917" s="386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3"/>
      <c r="M918" s="4"/>
      <c r="N918" s="3"/>
      <c r="O918" s="3"/>
      <c r="P918" s="4"/>
      <c r="Q918" s="4"/>
      <c r="R918" s="3"/>
      <c r="S918" s="4"/>
      <c r="T918" s="5"/>
      <c r="U918" s="4"/>
      <c r="V918" s="4"/>
      <c r="W918" s="4"/>
      <c r="X918" s="67"/>
      <c r="Y918" s="4"/>
      <c r="Z918" s="4"/>
      <c r="AA918" s="4"/>
      <c r="AB918" s="386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3"/>
      <c r="M919" s="4"/>
      <c r="N919" s="3"/>
      <c r="O919" s="3"/>
      <c r="P919" s="4"/>
      <c r="Q919" s="4"/>
      <c r="R919" s="3"/>
      <c r="S919" s="4"/>
      <c r="T919" s="5"/>
      <c r="U919" s="4"/>
      <c r="V919" s="4"/>
      <c r="W919" s="4"/>
      <c r="X919" s="67"/>
      <c r="Y919" s="4"/>
      <c r="Z919" s="4"/>
      <c r="AA919" s="4"/>
      <c r="AB919" s="386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3"/>
      <c r="M920" s="4"/>
      <c r="N920" s="3"/>
      <c r="O920" s="3"/>
      <c r="P920" s="4"/>
      <c r="Q920" s="4"/>
      <c r="R920" s="3"/>
      <c r="S920" s="4"/>
      <c r="T920" s="5"/>
      <c r="U920" s="4"/>
      <c r="V920" s="4"/>
      <c r="W920" s="4"/>
      <c r="X920" s="67"/>
      <c r="Y920" s="4"/>
      <c r="Z920" s="4"/>
      <c r="AA920" s="4"/>
      <c r="AB920" s="386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3"/>
      <c r="M921" s="4"/>
      <c r="N921" s="3"/>
      <c r="O921" s="3"/>
      <c r="P921" s="4"/>
      <c r="Q921" s="4"/>
      <c r="R921" s="3"/>
      <c r="S921" s="4"/>
      <c r="T921" s="5"/>
      <c r="U921" s="4"/>
      <c r="V921" s="4"/>
      <c r="W921" s="4"/>
      <c r="X921" s="67"/>
      <c r="Y921" s="4"/>
      <c r="Z921" s="4"/>
      <c r="AA921" s="4"/>
      <c r="AB921" s="386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3"/>
      <c r="M922" s="4"/>
      <c r="N922" s="3"/>
      <c r="O922" s="3"/>
      <c r="P922" s="4"/>
      <c r="Q922" s="4"/>
      <c r="R922" s="3"/>
      <c r="S922" s="4"/>
      <c r="T922" s="5"/>
      <c r="U922" s="4"/>
      <c r="V922" s="4"/>
      <c r="W922" s="4"/>
      <c r="X922" s="67"/>
      <c r="Y922" s="4"/>
      <c r="Z922" s="4"/>
      <c r="AA922" s="4"/>
      <c r="AB922" s="386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3"/>
      <c r="M923" s="4"/>
      <c r="N923" s="3"/>
      <c r="O923" s="3"/>
      <c r="P923" s="4"/>
      <c r="Q923" s="4"/>
      <c r="R923" s="3"/>
      <c r="S923" s="4"/>
      <c r="T923" s="5"/>
      <c r="U923" s="4"/>
      <c r="V923" s="4"/>
      <c r="W923" s="4"/>
      <c r="X923" s="67"/>
      <c r="Y923" s="4"/>
      <c r="Z923" s="4"/>
      <c r="AA923" s="4"/>
      <c r="AB923" s="386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3"/>
      <c r="M924" s="4"/>
      <c r="N924" s="3"/>
      <c r="O924" s="3"/>
      <c r="P924" s="4"/>
      <c r="Q924" s="4"/>
      <c r="R924" s="3"/>
      <c r="S924" s="4"/>
      <c r="T924" s="5"/>
      <c r="U924" s="4"/>
      <c r="V924" s="4"/>
      <c r="W924" s="4"/>
      <c r="X924" s="67"/>
      <c r="Y924" s="4"/>
      <c r="Z924" s="4"/>
      <c r="AA924" s="4"/>
      <c r="AB924" s="386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3"/>
      <c r="M925" s="4"/>
      <c r="N925" s="3"/>
      <c r="O925" s="3"/>
      <c r="P925" s="4"/>
      <c r="Q925" s="4"/>
      <c r="R925" s="3"/>
      <c r="S925" s="4"/>
      <c r="T925" s="5"/>
      <c r="U925" s="4"/>
      <c r="V925" s="4"/>
      <c r="W925" s="4"/>
      <c r="X925" s="67"/>
      <c r="Y925" s="4"/>
      <c r="Z925" s="4"/>
      <c r="AA925" s="4"/>
      <c r="AB925" s="386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3"/>
      <c r="M926" s="4"/>
      <c r="N926" s="3"/>
      <c r="O926" s="3"/>
      <c r="P926" s="4"/>
      <c r="Q926" s="4"/>
      <c r="R926" s="3"/>
      <c r="S926" s="4"/>
      <c r="T926" s="5"/>
      <c r="U926" s="4"/>
      <c r="V926" s="4"/>
      <c r="W926" s="4"/>
      <c r="X926" s="67"/>
      <c r="Y926" s="4"/>
      <c r="Z926" s="4"/>
      <c r="AA926" s="4"/>
      <c r="AB926" s="386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3"/>
      <c r="M927" s="4"/>
      <c r="N927" s="3"/>
      <c r="O927" s="3"/>
      <c r="P927" s="4"/>
      <c r="Q927" s="4"/>
      <c r="R927" s="3"/>
      <c r="S927" s="4"/>
      <c r="T927" s="5"/>
      <c r="U927" s="4"/>
      <c r="V927" s="4"/>
      <c r="W927" s="4"/>
      <c r="X927" s="67"/>
      <c r="Y927" s="4"/>
      <c r="Z927" s="4"/>
      <c r="AA927" s="4"/>
      <c r="AB927" s="386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4"/>
      <c r="N928" s="3"/>
      <c r="O928" s="3"/>
      <c r="P928" s="4"/>
      <c r="Q928" s="4"/>
      <c r="R928" s="3"/>
      <c r="S928" s="4"/>
      <c r="T928" s="5"/>
      <c r="U928" s="4"/>
      <c r="V928" s="4"/>
      <c r="W928" s="4"/>
      <c r="X928" s="67"/>
      <c r="Y928" s="4"/>
      <c r="Z928" s="4"/>
      <c r="AA928" s="4"/>
      <c r="AB928" s="386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4"/>
      <c r="N929" s="3"/>
      <c r="O929" s="3"/>
      <c r="P929" s="4"/>
      <c r="Q929" s="4"/>
      <c r="R929" s="3"/>
      <c r="S929" s="4"/>
      <c r="T929" s="5"/>
      <c r="U929" s="4"/>
      <c r="V929" s="4"/>
      <c r="W929" s="4"/>
      <c r="X929" s="67"/>
      <c r="Y929" s="4"/>
      <c r="Z929" s="4"/>
      <c r="AA929" s="4"/>
      <c r="AB929" s="386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4"/>
      <c r="N930" s="3"/>
      <c r="O930" s="3"/>
      <c r="P930" s="4"/>
      <c r="Q930" s="4"/>
      <c r="R930" s="3"/>
      <c r="S930" s="4"/>
      <c r="T930" s="5"/>
      <c r="U930" s="4"/>
      <c r="V930" s="4"/>
      <c r="W930" s="4"/>
      <c r="X930" s="67"/>
      <c r="Y930" s="4"/>
      <c r="Z930" s="4"/>
      <c r="AA930" s="4"/>
      <c r="AB930" s="386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4"/>
      <c r="N931" s="3"/>
      <c r="O931" s="3"/>
      <c r="P931" s="4"/>
      <c r="Q931" s="4"/>
      <c r="R931" s="3"/>
      <c r="S931" s="4"/>
      <c r="T931" s="5"/>
      <c r="U931" s="4"/>
      <c r="V931" s="4"/>
      <c r="W931" s="4"/>
      <c r="X931" s="67"/>
      <c r="Y931" s="4"/>
      <c r="Z931" s="4"/>
      <c r="AA931" s="4"/>
      <c r="AB931" s="386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4"/>
      <c r="N932" s="3"/>
      <c r="O932" s="3"/>
      <c r="P932" s="4"/>
      <c r="Q932" s="4"/>
      <c r="R932" s="3"/>
      <c r="S932" s="4"/>
      <c r="T932" s="5"/>
      <c r="U932" s="4"/>
      <c r="V932" s="4"/>
      <c r="W932" s="4"/>
      <c r="X932" s="67"/>
      <c r="Y932" s="4"/>
      <c r="Z932" s="4"/>
      <c r="AA932" s="4"/>
      <c r="AB932" s="386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4"/>
      <c r="N933" s="3"/>
      <c r="O933" s="3"/>
      <c r="P933" s="4"/>
      <c r="Q933" s="4"/>
      <c r="R933" s="3"/>
      <c r="S933" s="4"/>
      <c r="T933" s="5"/>
      <c r="U933" s="4"/>
      <c r="V933" s="4"/>
      <c r="W933" s="4"/>
      <c r="X933" s="67"/>
      <c r="Y933" s="4"/>
      <c r="Z933" s="4"/>
      <c r="AA933" s="4"/>
      <c r="AB933" s="386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4"/>
      <c r="N934" s="3"/>
      <c r="O934" s="3"/>
      <c r="P934" s="4"/>
      <c r="Q934" s="4"/>
      <c r="R934" s="3"/>
      <c r="S934" s="4"/>
      <c r="T934" s="5"/>
      <c r="U934" s="4"/>
      <c r="V934" s="4"/>
      <c r="W934" s="4"/>
      <c r="X934" s="67"/>
      <c r="Y934" s="4"/>
      <c r="Z934" s="4"/>
      <c r="AA934" s="4"/>
      <c r="AB934" s="386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4"/>
      <c r="N935" s="3"/>
      <c r="O935" s="3"/>
      <c r="P935" s="4"/>
      <c r="Q935" s="4"/>
      <c r="R935" s="3"/>
      <c r="S935" s="4"/>
      <c r="T935" s="5"/>
      <c r="U935" s="4"/>
      <c r="V935" s="4"/>
      <c r="W935" s="4"/>
      <c r="X935" s="67"/>
      <c r="Y935" s="4"/>
      <c r="Z935" s="4"/>
      <c r="AA935" s="4"/>
      <c r="AB935" s="386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4"/>
      <c r="N936" s="3"/>
      <c r="O936" s="3"/>
      <c r="P936" s="4"/>
      <c r="Q936" s="4"/>
      <c r="R936" s="3"/>
      <c r="S936" s="4"/>
      <c r="T936" s="5"/>
      <c r="U936" s="4"/>
      <c r="V936" s="4"/>
      <c r="W936" s="4"/>
      <c r="X936" s="67"/>
      <c r="Y936" s="4"/>
      <c r="Z936" s="4"/>
      <c r="AA936" s="4"/>
      <c r="AB936" s="386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3"/>
      <c r="M937" s="4"/>
      <c r="N937" s="3"/>
      <c r="O937" s="3"/>
      <c r="P937" s="4"/>
      <c r="Q937" s="4"/>
      <c r="R937" s="3"/>
      <c r="S937" s="4"/>
      <c r="T937" s="5"/>
      <c r="U937" s="4"/>
      <c r="V937" s="4"/>
      <c r="W937" s="4"/>
      <c r="X937" s="67"/>
      <c r="Y937" s="4"/>
      <c r="Z937" s="4"/>
      <c r="AA937" s="4"/>
      <c r="AB937" s="386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4"/>
      <c r="N938" s="3"/>
      <c r="O938" s="3"/>
      <c r="P938" s="4"/>
      <c r="Q938" s="4"/>
      <c r="R938" s="3"/>
      <c r="S938" s="4"/>
      <c r="T938" s="5"/>
      <c r="U938" s="4"/>
      <c r="V938" s="4"/>
      <c r="W938" s="4"/>
      <c r="X938" s="67"/>
      <c r="Y938" s="4"/>
      <c r="Z938" s="4"/>
      <c r="AA938" s="4"/>
      <c r="AB938" s="386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4"/>
      <c r="N939" s="3"/>
      <c r="O939" s="3"/>
      <c r="P939" s="4"/>
      <c r="Q939" s="4"/>
      <c r="R939" s="3"/>
      <c r="S939" s="4"/>
      <c r="T939" s="5"/>
      <c r="U939" s="4"/>
      <c r="V939" s="4"/>
      <c r="W939" s="4"/>
      <c r="X939" s="67"/>
      <c r="Y939" s="4"/>
      <c r="Z939" s="4"/>
      <c r="AA939" s="4"/>
      <c r="AB939" s="386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3"/>
      <c r="M940" s="4"/>
      <c r="N940" s="3"/>
      <c r="O940" s="3"/>
      <c r="P940" s="4"/>
      <c r="Q940" s="4"/>
      <c r="R940" s="3"/>
      <c r="S940" s="4"/>
      <c r="T940" s="5"/>
      <c r="U940" s="4"/>
      <c r="V940" s="4"/>
      <c r="W940" s="4"/>
      <c r="X940" s="67"/>
      <c r="Y940" s="4"/>
      <c r="Z940" s="4"/>
      <c r="AA940" s="4"/>
      <c r="AB940" s="386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3"/>
      <c r="M941" s="4"/>
      <c r="N941" s="3"/>
      <c r="O941" s="3"/>
      <c r="P941" s="4"/>
      <c r="Q941" s="4"/>
      <c r="R941" s="3"/>
      <c r="S941" s="4"/>
      <c r="T941" s="5"/>
      <c r="U941" s="4"/>
      <c r="V941" s="4"/>
      <c r="W941" s="4"/>
      <c r="X941" s="67"/>
      <c r="Y941" s="4"/>
      <c r="Z941" s="4"/>
      <c r="AA941" s="4"/>
      <c r="AB941" s="386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3"/>
      <c r="M942" s="4"/>
      <c r="N942" s="3"/>
      <c r="O942" s="3"/>
      <c r="P942" s="4"/>
      <c r="Q942" s="4"/>
      <c r="R942" s="3"/>
      <c r="S942" s="4"/>
      <c r="T942" s="5"/>
      <c r="U942" s="4"/>
      <c r="V942" s="4"/>
      <c r="W942" s="4"/>
      <c r="X942" s="67"/>
      <c r="Y942" s="4"/>
      <c r="Z942" s="4"/>
      <c r="AA942" s="4"/>
      <c r="AB942" s="386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3"/>
      <c r="M943" s="4"/>
      <c r="N943" s="3"/>
      <c r="O943" s="3"/>
      <c r="P943" s="4"/>
      <c r="Q943" s="4"/>
      <c r="R943" s="3"/>
      <c r="S943" s="4"/>
      <c r="T943" s="5"/>
      <c r="U943" s="4"/>
      <c r="V943" s="4"/>
      <c r="W943" s="4"/>
      <c r="X943" s="67"/>
      <c r="Y943" s="4"/>
      <c r="Z943" s="4"/>
      <c r="AA943" s="4"/>
      <c r="AB943" s="386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3"/>
      <c r="M944" s="4"/>
      <c r="N944" s="3"/>
      <c r="O944" s="3"/>
      <c r="P944" s="4"/>
      <c r="Q944" s="4"/>
      <c r="R944" s="3"/>
      <c r="S944" s="4"/>
      <c r="T944" s="5"/>
      <c r="U944" s="4"/>
      <c r="V944" s="4"/>
      <c r="W944" s="4"/>
      <c r="X944" s="67"/>
      <c r="Y944" s="4"/>
      <c r="Z944" s="4"/>
      <c r="AA944" s="4"/>
      <c r="AB944" s="386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3"/>
      <c r="M945" s="4"/>
      <c r="N945" s="3"/>
      <c r="O945" s="3"/>
      <c r="P945" s="4"/>
      <c r="Q945" s="4"/>
      <c r="R945" s="3"/>
      <c r="S945" s="4"/>
      <c r="T945" s="5"/>
      <c r="U945" s="4"/>
      <c r="V945" s="4"/>
      <c r="W945" s="4"/>
      <c r="X945" s="67"/>
      <c r="Y945" s="4"/>
      <c r="Z945" s="4"/>
      <c r="AA945" s="4"/>
      <c r="AB945" s="386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4"/>
      <c r="N946" s="3"/>
      <c r="O946" s="3"/>
      <c r="P946" s="4"/>
      <c r="Q946" s="4"/>
      <c r="R946" s="3"/>
      <c r="S946" s="4"/>
      <c r="T946" s="5"/>
      <c r="U946" s="4"/>
      <c r="V946" s="4"/>
      <c r="W946" s="4"/>
      <c r="X946" s="67"/>
      <c r="Y946" s="4"/>
      <c r="Z946" s="4"/>
      <c r="AA946" s="4"/>
      <c r="AB946" s="386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3"/>
      <c r="M947" s="4"/>
      <c r="N947" s="3"/>
      <c r="O947" s="3"/>
      <c r="P947" s="4"/>
      <c r="Q947" s="4"/>
      <c r="R947" s="3"/>
      <c r="S947" s="4"/>
      <c r="T947" s="5"/>
      <c r="U947" s="4"/>
      <c r="V947" s="4"/>
      <c r="W947" s="4"/>
      <c r="X947" s="67"/>
      <c r="Y947" s="4"/>
      <c r="Z947" s="4"/>
      <c r="AA947" s="4"/>
      <c r="AB947" s="386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/>
      <c r="M948" s="4"/>
      <c r="N948" s="3"/>
      <c r="O948" s="3"/>
      <c r="P948" s="4"/>
      <c r="Q948" s="4"/>
      <c r="R948" s="3"/>
      <c r="S948" s="4"/>
      <c r="T948" s="5"/>
      <c r="U948" s="4"/>
      <c r="V948" s="4"/>
      <c r="W948" s="4"/>
      <c r="X948" s="67"/>
      <c r="Y948" s="4"/>
      <c r="Z948" s="4"/>
      <c r="AA948" s="4"/>
      <c r="AB948" s="386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3"/>
      <c r="M949" s="4"/>
      <c r="N949" s="3"/>
      <c r="O949" s="3"/>
      <c r="P949" s="4"/>
      <c r="Q949" s="4"/>
      <c r="R949" s="3"/>
      <c r="S949" s="4"/>
      <c r="T949" s="5"/>
      <c r="U949" s="4"/>
      <c r="V949" s="4"/>
      <c r="W949" s="4"/>
      <c r="X949" s="67"/>
      <c r="Y949" s="4"/>
      <c r="Z949" s="4"/>
      <c r="AA949" s="4"/>
      <c r="AB949" s="386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3"/>
      <c r="M950" s="4"/>
      <c r="N950" s="3"/>
      <c r="O950" s="3"/>
      <c r="P950" s="4"/>
      <c r="Q950" s="4"/>
      <c r="R950" s="3"/>
      <c r="S950" s="4"/>
      <c r="T950" s="5"/>
      <c r="U950" s="4"/>
      <c r="V950" s="4"/>
      <c r="W950" s="4"/>
      <c r="X950" s="67"/>
      <c r="Y950" s="4"/>
      <c r="Z950" s="4"/>
      <c r="AA950" s="4"/>
      <c r="AB950" s="386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3"/>
      <c r="M951" s="4"/>
      <c r="N951" s="3"/>
      <c r="O951" s="3"/>
      <c r="P951" s="4"/>
      <c r="Q951" s="4"/>
      <c r="R951" s="3"/>
      <c r="S951" s="4"/>
      <c r="T951" s="5"/>
      <c r="U951" s="4"/>
      <c r="V951" s="4"/>
      <c r="W951" s="4"/>
      <c r="X951" s="67"/>
      <c r="Y951" s="4"/>
      <c r="Z951" s="4"/>
      <c r="AA951" s="4"/>
      <c r="AB951" s="386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3"/>
      <c r="M952" s="4"/>
      <c r="N952" s="3"/>
      <c r="O952" s="3"/>
      <c r="P952" s="4"/>
      <c r="Q952" s="4"/>
      <c r="R952" s="3"/>
      <c r="S952" s="4"/>
      <c r="T952" s="5"/>
      <c r="U952" s="4"/>
      <c r="V952" s="4"/>
      <c r="W952" s="4"/>
      <c r="X952" s="67"/>
      <c r="Y952" s="4"/>
      <c r="Z952" s="4"/>
      <c r="AA952" s="4"/>
      <c r="AB952" s="386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3"/>
      <c r="M953" s="4"/>
      <c r="N953" s="3"/>
      <c r="O953" s="3"/>
      <c r="P953" s="4"/>
      <c r="Q953" s="4"/>
      <c r="R953" s="3"/>
      <c r="S953" s="4"/>
      <c r="T953" s="5"/>
      <c r="U953" s="4"/>
      <c r="V953" s="4"/>
      <c r="W953" s="4"/>
      <c r="X953" s="67"/>
      <c r="Y953" s="4"/>
      <c r="Z953" s="4"/>
      <c r="AA953" s="4"/>
      <c r="AB953" s="386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3"/>
      <c r="M954" s="4"/>
      <c r="N954" s="3"/>
      <c r="O954" s="3"/>
      <c r="P954" s="4"/>
      <c r="Q954" s="4"/>
      <c r="R954" s="3"/>
      <c r="S954" s="4"/>
      <c r="T954" s="5"/>
      <c r="U954" s="4"/>
      <c r="V954" s="4"/>
      <c r="W954" s="4"/>
      <c r="X954" s="67"/>
      <c r="Y954" s="4"/>
      <c r="Z954" s="4"/>
      <c r="AA954" s="4"/>
      <c r="AB954" s="386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3"/>
      <c r="M955" s="4"/>
      <c r="N955" s="3"/>
      <c r="O955" s="3"/>
      <c r="P955" s="4"/>
      <c r="Q955" s="4"/>
      <c r="R955" s="3"/>
      <c r="S955" s="4"/>
      <c r="T955" s="5"/>
      <c r="U955" s="4"/>
      <c r="V955" s="4"/>
      <c r="W955" s="4"/>
      <c r="X955" s="67"/>
      <c r="Y955" s="4"/>
      <c r="Z955" s="4"/>
      <c r="AA955" s="4"/>
      <c r="AB955" s="386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3"/>
      <c r="M956" s="4"/>
      <c r="N956" s="3"/>
      <c r="O956" s="3"/>
      <c r="P956" s="4"/>
      <c r="Q956" s="4"/>
      <c r="R956" s="3"/>
      <c r="S956" s="4"/>
      <c r="T956" s="5"/>
      <c r="U956" s="4"/>
      <c r="V956" s="4"/>
      <c r="W956" s="4"/>
      <c r="X956" s="67"/>
      <c r="Y956" s="4"/>
      <c r="Z956" s="4"/>
      <c r="AA956" s="4"/>
      <c r="AB956" s="386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3"/>
      <c r="M957" s="4"/>
      <c r="N957" s="3"/>
      <c r="O957" s="3"/>
      <c r="P957" s="4"/>
      <c r="Q957" s="4"/>
      <c r="R957" s="3"/>
      <c r="S957" s="4"/>
      <c r="T957" s="5"/>
      <c r="U957" s="4"/>
      <c r="V957" s="4"/>
      <c r="W957" s="4"/>
      <c r="X957" s="67"/>
      <c r="Y957" s="4"/>
      <c r="Z957" s="4"/>
      <c r="AA957" s="4"/>
      <c r="AB957" s="386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3"/>
      <c r="M958" s="4"/>
      <c r="N958" s="3"/>
      <c r="O958" s="3"/>
      <c r="P958" s="4"/>
      <c r="Q958" s="4"/>
      <c r="R958" s="3"/>
      <c r="S958" s="4"/>
      <c r="T958" s="5"/>
      <c r="U958" s="4"/>
      <c r="V958" s="4"/>
      <c r="W958" s="4"/>
      <c r="X958" s="67"/>
      <c r="Y958" s="4"/>
      <c r="Z958" s="4"/>
      <c r="AA958" s="4"/>
      <c r="AB958" s="386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3"/>
      <c r="M959" s="4"/>
      <c r="N959" s="3"/>
      <c r="O959" s="3"/>
      <c r="P959" s="4"/>
      <c r="Q959" s="4"/>
      <c r="R959" s="3"/>
      <c r="S959" s="4"/>
      <c r="T959" s="5"/>
      <c r="U959" s="4"/>
      <c r="V959" s="4"/>
      <c r="W959" s="4"/>
      <c r="X959" s="67"/>
      <c r="Y959" s="4"/>
      <c r="Z959" s="4"/>
      <c r="AA959" s="4"/>
      <c r="AB959" s="386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3"/>
      <c r="M960" s="4"/>
      <c r="N960" s="3"/>
      <c r="O960" s="3"/>
      <c r="P960" s="4"/>
      <c r="Q960" s="4"/>
      <c r="R960" s="3"/>
      <c r="S960" s="4"/>
      <c r="T960" s="5"/>
      <c r="U960" s="4"/>
      <c r="V960" s="4"/>
      <c r="W960" s="4"/>
      <c r="X960" s="67"/>
      <c r="Y960" s="4"/>
      <c r="Z960" s="4"/>
      <c r="AA960" s="4"/>
      <c r="AB960" s="386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3"/>
      <c r="M961" s="4"/>
      <c r="N961" s="3"/>
      <c r="O961" s="3"/>
      <c r="P961" s="4"/>
      <c r="Q961" s="4"/>
      <c r="R961" s="3"/>
      <c r="S961" s="4"/>
      <c r="T961" s="5"/>
      <c r="U961" s="4"/>
      <c r="V961" s="4"/>
      <c r="W961" s="4"/>
      <c r="X961" s="67"/>
      <c r="Y961" s="4"/>
      <c r="Z961" s="4"/>
      <c r="AA961" s="4"/>
      <c r="AB961" s="386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3"/>
      <c r="M962" s="4"/>
      <c r="N962" s="3"/>
      <c r="O962" s="3"/>
      <c r="P962" s="4"/>
      <c r="Q962" s="4"/>
      <c r="R962" s="3"/>
      <c r="S962" s="4"/>
      <c r="T962" s="5"/>
      <c r="U962" s="4"/>
      <c r="V962" s="4"/>
      <c r="W962" s="4"/>
      <c r="X962" s="67"/>
      <c r="Y962" s="4"/>
      <c r="Z962" s="4"/>
      <c r="AA962" s="4"/>
      <c r="AB962" s="386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3"/>
      <c r="M963" s="4"/>
      <c r="N963" s="3"/>
      <c r="O963" s="3"/>
      <c r="P963" s="4"/>
      <c r="Q963" s="4"/>
      <c r="R963" s="3"/>
      <c r="S963" s="4"/>
      <c r="T963" s="5"/>
      <c r="U963" s="4"/>
      <c r="V963" s="4"/>
      <c r="W963" s="4"/>
      <c r="X963" s="67"/>
      <c r="Y963" s="4"/>
      <c r="Z963" s="4"/>
      <c r="AA963" s="4"/>
      <c r="AB963" s="386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3"/>
      <c r="M964" s="4"/>
      <c r="N964" s="3"/>
      <c r="O964" s="3"/>
      <c r="P964" s="4"/>
      <c r="Q964" s="4"/>
      <c r="R964" s="3"/>
      <c r="S964" s="4"/>
      <c r="T964" s="5"/>
      <c r="U964" s="4"/>
      <c r="V964" s="4"/>
      <c r="W964" s="4"/>
      <c r="X964" s="67"/>
      <c r="Y964" s="4"/>
      <c r="Z964" s="4"/>
      <c r="AA964" s="4"/>
      <c r="AB964" s="386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3"/>
      <c r="M965" s="4"/>
      <c r="N965" s="3"/>
      <c r="O965" s="3"/>
      <c r="P965" s="4"/>
      <c r="Q965" s="4"/>
      <c r="R965" s="3"/>
      <c r="S965" s="4"/>
      <c r="T965" s="5"/>
      <c r="U965" s="4"/>
      <c r="V965" s="4"/>
      <c r="W965" s="4"/>
      <c r="X965" s="67"/>
      <c r="Y965" s="4"/>
      <c r="Z965" s="4"/>
      <c r="AA965" s="4"/>
      <c r="AB965" s="386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3"/>
      <c r="M966" s="4"/>
      <c r="N966" s="3"/>
      <c r="O966" s="3"/>
      <c r="P966" s="4"/>
      <c r="Q966" s="4"/>
      <c r="R966" s="3"/>
      <c r="S966" s="4"/>
      <c r="T966" s="5"/>
      <c r="U966" s="4"/>
      <c r="V966" s="4"/>
      <c r="W966" s="4"/>
      <c r="X966" s="67"/>
      <c r="Y966" s="4"/>
      <c r="Z966" s="4"/>
      <c r="AA966" s="4"/>
      <c r="AB966" s="386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3"/>
      <c r="M967" s="4"/>
      <c r="N967" s="3"/>
      <c r="O967" s="3"/>
      <c r="P967" s="4"/>
      <c r="Q967" s="4"/>
      <c r="R967" s="3"/>
      <c r="S967" s="4"/>
      <c r="T967" s="5"/>
      <c r="U967" s="4"/>
      <c r="V967" s="4"/>
      <c r="W967" s="4"/>
      <c r="X967" s="67"/>
      <c r="Y967" s="4"/>
      <c r="Z967" s="4"/>
      <c r="AA967" s="4"/>
      <c r="AB967" s="386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3"/>
      <c r="M968" s="4"/>
      <c r="N968" s="3"/>
      <c r="O968" s="3"/>
      <c r="P968" s="4"/>
      <c r="Q968" s="4"/>
      <c r="R968" s="3"/>
      <c r="S968" s="4"/>
      <c r="T968" s="5"/>
      <c r="U968" s="4"/>
      <c r="V968" s="4"/>
      <c r="W968" s="4"/>
      <c r="X968" s="67"/>
      <c r="Y968" s="4"/>
      <c r="Z968" s="4"/>
      <c r="AA968" s="4"/>
      <c r="AB968" s="386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3"/>
      <c r="M969" s="4"/>
      <c r="N969" s="3"/>
      <c r="O969" s="3"/>
      <c r="P969" s="4"/>
      <c r="Q969" s="4"/>
      <c r="R969" s="3"/>
      <c r="S969" s="4"/>
      <c r="T969" s="5"/>
      <c r="U969" s="4"/>
      <c r="V969" s="4"/>
      <c r="W969" s="4"/>
      <c r="X969" s="67"/>
      <c r="Y969" s="4"/>
      <c r="Z969" s="4"/>
      <c r="AA969" s="4"/>
      <c r="AB969" s="386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3"/>
      <c r="M970" s="4"/>
      <c r="N970" s="3"/>
      <c r="O970" s="3"/>
      <c r="P970" s="4"/>
      <c r="Q970" s="4"/>
      <c r="R970" s="3"/>
      <c r="S970" s="4"/>
      <c r="T970" s="5"/>
      <c r="U970" s="4"/>
      <c r="V970" s="4"/>
      <c r="W970" s="4"/>
      <c r="X970" s="67"/>
      <c r="Y970" s="4"/>
      <c r="Z970" s="4"/>
      <c r="AA970" s="4"/>
      <c r="AB970" s="386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3"/>
      <c r="M971" s="4"/>
      <c r="N971" s="3"/>
      <c r="O971" s="3"/>
      <c r="P971" s="4"/>
      <c r="Q971" s="4"/>
      <c r="R971" s="3"/>
      <c r="S971" s="4"/>
      <c r="T971" s="5"/>
      <c r="U971" s="4"/>
      <c r="V971" s="4"/>
      <c r="W971" s="4"/>
      <c r="X971" s="67"/>
      <c r="Y971" s="4"/>
      <c r="Z971" s="4"/>
      <c r="AA971" s="4"/>
      <c r="AB971" s="386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3"/>
      <c r="M972" s="4"/>
      <c r="N972" s="3"/>
      <c r="O972" s="3"/>
      <c r="P972" s="4"/>
      <c r="Q972" s="4"/>
      <c r="R972" s="3"/>
      <c r="S972" s="4"/>
      <c r="T972" s="5"/>
      <c r="U972" s="4"/>
      <c r="V972" s="4"/>
      <c r="W972" s="4"/>
      <c r="X972" s="67"/>
      <c r="Y972" s="4"/>
      <c r="Z972" s="4"/>
      <c r="AA972" s="4"/>
      <c r="AB972" s="386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3"/>
      <c r="M973" s="4"/>
      <c r="N973" s="3"/>
      <c r="O973" s="3"/>
      <c r="P973" s="4"/>
      <c r="Q973" s="4"/>
      <c r="R973" s="3"/>
      <c r="S973" s="4"/>
      <c r="T973" s="5"/>
      <c r="U973" s="4"/>
      <c r="V973" s="4"/>
      <c r="W973" s="4"/>
      <c r="X973" s="67"/>
      <c r="Y973" s="4"/>
      <c r="Z973" s="4"/>
      <c r="AA973" s="4"/>
      <c r="AB973" s="386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3"/>
      <c r="M974" s="4"/>
      <c r="N974" s="3"/>
      <c r="O974" s="3"/>
      <c r="P974" s="4"/>
      <c r="Q974" s="4"/>
      <c r="R974" s="3"/>
      <c r="S974" s="4"/>
      <c r="T974" s="5"/>
      <c r="U974" s="4"/>
      <c r="V974" s="4"/>
      <c r="W974" s="4"/>
      <c r="X974" s="67"/>
      <c r="Y974" s="4"/>
      <c r="Z974" s="4"/>
      <c r="AA974" s="4"/>
      <c r="AB974" s="386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3"/>
      <c r="M975" s="4"/>
      <c r="N975" s="3"/>
      <c r="O975" s="3"/>
      <c r="P975" s="4"/>
      <c r="Q975" s="4"/>
      <c r="R975" s="3"/>
      <c r="S975" s="4"/>
      <c r="T975" s="5"/>
      <c r="U975" s="4"/>
      <c r="V975" s="4"/>
      <c r="W975" s="4"/>
      <c r="X975" s="67"/>
      <c r="Y975" s="4"/>
      <c r="Z975" s="4"/>
      <c r="AA975" s="4"/>
      <c r="AB975" s="386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4"/>
      <c r="N976" s="3"/>
      <c r="O976" s="3"/>
      <c r="P976" s="4"/>
      <c r="Q976" s="4"/>
      <c r="R976" s="3"/>
      <c r="S976" s="4"/>
      <c r="T976" s="5"/>
      <c r="U976" s="4"/>
      <c r="V976" s="4"/>
      <c r="W976" s="4"/>
      <c r="X976" s="67"/>
      <c r="Y976" s="4"/>
      <c r="Z976" s="4"/>
      <c r="AA976" s="4"/>
      <c r="AB976" s="386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4"/>
      <c r="N977" s="3"/>
      <c r="O977" s="3"/>
      <c r="P977" s="4"/>
      <c r="Q977" s="4"/>
      <c r="R977" s="3"/>
      <c r="S977" s="4"/>
      <c r="T977" s="5"/>
      <c r="U977" s="4"/>
      <c r="V977" s="4"/>
      <c r="W977" s="4"/>
      <c r="X977" s="67"/>
      <c r="Y977" s="4"/>
      <c r="Z977" s="4"/>
      <c r="AA977" s="4"/>
      <c r="AB977" s="386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4"/>
      <c r="N978" s="3"/>
      <c r="O978" s="3"/>
      <c r="P978" s="4"/>
      <c r="Q978" s="4"/>
      <c r="R978" s="3"/>
      <c r="S978" s="4"/>
      <c r="T978" s="5"/>
      <c r="U978" s="4"/>
      <c r="V978" s="4"/>
      <c r="W978" s="4"/>
      <c r="X978" s="67"/>
      <c r="Y978" s="4"/>
      <c r="Z978" s="4"/>
      <c r="AA978" s="4"/>
      <c r="AB978" s="386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3"/>
      <c r="M979" s="4"/>
      <c r="N979" s="3"/>
      <c r="O979" s="3"/>
      <c r="P979" s="4"/>
      <c r="Q979" s="4"/>
      <c r="R979" s="3"/>
      <c r="S979" s="4"/>
      <c r="T979" s="5"/>
      <c r="U979" s="4"/>
      <c r="V979" s="4"/>
      <c r="W979" s="4"/>
      <c r="X979" s="67"/>
      <c r="Y979" s="4"/>
      <c r="Z979" s="4"/>
      <c r="AA979" s="4"/>
      <c r="AB979" s="386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3"/>
      <c r="M980" s="4"/>
      <c r="N980" s="3"/>
      <c r="O980" s="3"/>
      <c r="P980" s="4"/>
      <c r="Q980" s="4"/>
      <c r="R980" s="3"/>
      <c r="S980" s="4"/>
      <c r="T980" s="5"/>
      <c r="U980" s="4"/>
      <c r="V980" s="4"/>
      <c r="W980" s="4"/>
      <c r="X980" s="67"/>
      <c r="Y980" s="4"/>
      <c r="Z980" s="4"/>
      <c r="AA980" s="4"/>
      <c r="AB980" s="386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4"/>
      <c r="N981" s="3"/>
      <c r="O981" s="3"/>
      <c r="P981" s="4"/>
      <c r="Q981" s="4"/>
      <c r="R981" s="3"/>
      <c r="S981" s="4"/>
      <c r="T981" s="5"/>
      <c r="U981" s="4"/>
      <c r="V981" s="4"/>
      <c r="W981" s="4"/>
      <c r="X981" s="67"/>
      <c r="Y981" s="4"/>
      <c r="Z981" s="4"/>
      <c r="AA981" s="4"/>
      <c r="AB981" s="386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4"/>
      <c r="N982" s="3"/>
      <c r="O982" s="3"/>
      <c r="P982" s="4"/>
      <c r="Q982" s="4"/>
      <c r="R982" s="3"/>
      <c r="S982" s="4"/>
      <c r="T982" s="5"/>
      <c r="U982" s="4"/>
      <c r="V982" s="4"/>
      <c r="W982" s="4"/>
      <c r="X982" s="67"/>
      <c r="Y982" s="4"/>
      <c r="Z982" s="4"/>
      <c r="AA982" s="4"/>
      <c r="AB982" s="386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3"/>
      <c r="M983" s="4"/>
      <c r="N983" s="3"/>
      <c r="O983" s="3"/>
      <c r="P983" s="4"/>
      <c r="Q983" s="4"/>
      <c r="R983" s="3"/>
      <c r="S983" s="4"/>
      <c r="T983" s="5"/>
      <c r="U983" s="4"/>
      <c r="V983" s="4"/>
      <c r="W983" s="4"/>
      <c r="X983" s="67"/>
      <c r="Y983" s="4"/>
      <c r="Z983" s="4"/>
      <c r="AA983" s="4"/>
      <c r="AB983" s="386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3"/>
      <c r="M984" s="4"/>
      <c r="N984" s="3"/>
      <c r="O984" s="3"/>
      <c r="P984" s="4"/>
      <c r="Q984" s="4"/>
      <c r="R984" s="3"/>
      <c r="S984" s="4"/>
      <c r="T984" s="5"/>
      <c r="U984" s="4"/>
      <c r="V984" s="4"/>
      <c r="W984" s="4"/>
      <c r="X984" s="67"/>
      <c r="Y984" s="4"/>
      <c r="Z984" s="4"/>
      <c r="AA984" s="4"/>
      <c r="AB984" s="386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3"/>
      <c r="M985" s="4"/>
      <c r="N985" s="3"/>
      <c r="O985" s="3"/>
      <c r="P985" s="4"/>
      <c r="Q985" s="4"/>
      <c r="R985" s="3"/>
      <c r="S985" s="4"/>
      <c r="T985" s="5"/>
      <c r="U985" s="4"/>
      <c r="V985" s="4"/>
      <c r="W985" s="4"/>
      <c r="X985" s="67"/>
      <c r="Y985" s="4"/>
      <c r="Z985" s="4"/>
      <c r="AA985" s="4"/>
      <c r="AB985" s="386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3"/>
      <c r="M986" s="4"/>
      <c r="N986" s="3"/>
      <c r="O986" s="3"/>
      <c r="P986" s="4"/>
      <c r="Q986" s="4"/>
      <c r="R986" s="3"/>
      <c r="S986" s="4"/>
      <c r="T986" s="5"/>
      <c r="U986" s="4"/>
      <c r="V986" s="4"/>
      <c r="W986" s="4"/>
      <c r="X986" s="67"/>
      <c r="Y986" s="4"/>
      <c r="Z986" s="4"/>
      <c r="AA986" s="4"/>
      <c r="AB986" s="386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3"/>
      <c r="M987" s="4"/>
      <c r="N987" s="3"/>
      <c r="O987" s="3"/>
      <c r="P987" s="4"/>
      <c r="Q987" s="4"/>
      <c r="R987" s="3"/>
      <c r="S987" s="4"/>
      <c r="T987" s="5"/>
      <c r="U987" s="4"/>
      <c r="V987" s="4"/>
      <c r="W987" s="4"/>
      <c r="X987" s="67"/>
      <c r="Y987" s="4"/>
      <c r="Z987" s="4"/>
      <c r="AA987" s="4"/>
      <c r="AB987" s="386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3"/>
      <c r="M988" s="4"/>
      <c r="N988" s="3"/>
      <c r="O988" s="3"/>
      <c r="P988" s="4"/>
      <c r="Q988" s="4"/>
      <c r="R988" s="3"/>
      <c r="S988" s="4"/>
      <c r="T988" s="5"/>
      <c r="U988" s="4"/>
      <c r="V988" s="4"/>
      <c r="W988" s="4"/>
      <c r="X988" s="67"/>
      <c r="Y988" s="4"/>
      <c r="Z988" s="4"/>
      <c r="AA988" s="4"/>
      <c r="AB988" s="386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3"/>
      <c r="M989" s="4"/>
      <c r="N989" s="3"/>
      <c r="O989" s="3"/>
      <c r="P989" s="4"/>
      <c r="Q989" s="4"/>
      <c r="R989" s="3"/>
      <c r="S989" s="4"/>
      <c r="T989" s="5"/>
      <c r="U989" s="4"/>
      <c r="V989" s="4"/>
      <c r="W989" s="4"/>
      <c r="X989" s="67"/>
      <c r="Y989" s="4"/>
      <c r="Z989" s="4"/>
      <c r="AA989" s="4"/>
      <c r="AB989" s="386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3"/>
      <c r="M990" s="4"/>
      <c r="N990" s="3"/>
      <c r="O990" s="3"/>
      <c r="P990" s="4"/>
      <c r="Q990" s="4"/>
      <c r="R990" s="3"/>
      <c r="S990" s="4"/>
      <c r="T990" s="5"/>
      <c r="U990" s="4"/>
      <c r="V990" s="4"/>
      <c r="W990" s="4"/>
      <c r="X990" s="67"/>
      <c r="Y990" s="4"/>
      <c r="Z990" s="4"/>
      <c r="AA990" s="4"/>
      <c r="AB990" s="386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3"/>
      <c r="M991" s="4"/>
      <c r="N991" s="3"/>
      <c r="O991" s="3"/>
      <c r="P991" s="4"/>
      <c r="Q991" s="4"/>
      <c r="R991" s="3"/>
      <c r="S991" s="4"/>
      <c r="T991" s="5"/>
      <c r="U991" s="4"/>
      <c r="V991" s="4"/>
      <c r="W991" s="4"/>
      <c r="X991" s="67"/>
      <c r="Y991" s="4"/>
      <c r="Z991" s="4"/>
      <c r="AA991" s="4"/>
      <c r="AB991" s="386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4"/>
      <c r="N992" s="3"/>
      <c r="O992" s="3"/>
      <c r="P992" s="4"/>
      <c r="Q992" s="4"/>
      <c r="R992" s="3"/>
      <c r="S992" s="4"/>
      <c r="T992" s="5"/>
      <c r="U992" s="4"/>
      <c r="V992" s="4"/>
      <c r="W992" s="4"/>
      <c r="X992" s="67"/>
      <c r="Y992" s="4"/>
      <c r="Z992" s="4"/>
      <c r="AA992" s="4"/>
      <c r="AB992" s="386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3"/>
      <c r="M993" s="4"/>
      <c r="N993" s="3"/>
      <c r="O993" s="3"/>
      <c r="P993" s="4"/>
      <c r="Q993" s="4"/>
      <c r="R993" s="3"/>
      <c r="S993" s="4"/>
      <c r="T993" s="5"/>
      <c r="U993" s="4"/>
      <c r="V993" s="4"/>
      <c r="W993" s="4"/>
      <c r="X993" s="67"/>
      <c r="Y993" s="4"/>
      <c r="Z993" s="4"/>
      <c r="AA993" s="4"/>
      <c r="AB993" s="386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3"/>
      <c r="M994" s="4"/>
      <c r="N994" s="3"/>
      <c r="O994" s="3"/>
      <c r="P994" s="4"/>
      <c r="Q994" s="4"/>
      <c r="R994" s="3"/>
      <c r="S994" s="4"/>
      <c r="T994" s="5"/>
      <c r="U994" s="4"/>
      <c r="V994" s="4"/>
      <c r="W994" s="4"/>
      <c r="X994" s="67"/>
      <c r="Y994" s="4"/>
      <c r="Z994" s="4"/>
      <c r="AA994" s="4"/>
      <c r="AB994" s="386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3"/>
      <c r="M995" s="4"/>
      <c r="N995" s="3"/>
      <c r="O995" s="3"/>
      <c r="P995" s="4"/>
      <c r="Q995" s="4"/>
      <c r="R995" s="3"/>
      <c r="S995" s="4"/>
      <c r="T995" s="5"/>
      <c r="U995" s="4"/>
      <c r="V995" s="4"/>
      <c r="W995" s="4"/>
      <c r="X995" s="67"/>
      <c r="Y995" s="4"/>
      <c r="Z995" s="4"/>
      <c r="AA995" s="4"/>
      <c r="AB995" s="386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3"/>
      <c r="M996" s="4"/>
      <c r="N996" s="3"/>
      <c r="O996" s="3"/>
      <c r="P996" s="4"/>
      <c r="Q996" s="4"/>
      <c r="R996" s="3"/>
      <c r="S996" s="4"/>
      <c r="T996" s="5"/>
      <c r="U996" s="4"/>
      <c r="V996" s="4"/>
      <c r="W996" s="4"/>
      <c r="X996" s="67"/>
      <c r="Y996" s="4"/>
      <c r="Z996" s="4"/>
      <c r="AA996" s="4"/>
      <c r="AB996" s="386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/>
      <c r="M997" s="4"/>
      <c r="N997" s="3"/>
      <c r="O997" s="3"/>
      <c r="P997" s="4"/>
      <c r="Q997" s="4"/>
      <c r="R997" s="3"/>
      <c r="S997" s="4"/>
      <c r="T997" s="5"/>
      <c r="U997" s="4"/>
      <c r="V997" s="4"/>
      <c r="W997" s="4"/>
      <c r="X997" s="67"/>
      <c r="Y997" s="4"/>
      <c r="Z997" s="4"/>
      <c r="AA997" s="4"/>
      <c r="AB997" s="386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3"/>
      <c r="M998" s="4"/>
      <c r="N998" s="3"/>
      <c r="O998" s="3"/>
      <c r="P998" s="4"/>
      <c r="Q998" s="4"/>
      <c r="R998" s="3"/>
      <c r="S998" s="4"/>
      <c r="T998" s="5"/>
      <c r="U998" s="4"/>
      <c r="V998" s="4"/>
      <c r="W998" s="4"/>
      <c r="X998" s="67"/>
      <c r="Y998" s="4"/>
      <c r="Z998" s="4"/>
      <c r="AA998" s="4"/>
      <c r="AB998" s="386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3"/>
      <c r="M999" s="4"/>
      <c r="N999" s="3"/>
      <c r="O999" s="3"/>
      <c r="P999" s="4"/>
      <c r="Q999" s="4"/>
      <c r="R999" s="3"/>
      <c r="S999" s="4"/>
      <c r="T999" s="5"/>
      <c r="U999" s="4"/>
      <c r="V999" s="4"/>
      <c r="W999" s="4"/>
      <c r="X999" s="67"/>
      <c r="Y999" s="4"/>
      <c r="Z999" s="4"/>
      <c r="AA999" s="4"/>
      <c r="AB999" s="386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3"/>
      <c r="M1000" s="4"/>
      <c r="N1000" s="3"/>
      <c r="O1000" s="3"/>
      <c r="P1000" s="4"/>
      <c r="Q1000" s="4"/>
      <c r="R1000" s="3"/>
      <c r="S1000" s="4"/>
      <c r="T1000" s="5"/>
      <c r="U1000" s="4"/>
      <c r="V1000" s="4"/>
      <c r="W1000" s="4"/>
      <c r="X1000" s="67"/>
      <c r="Y1000" s="4"/>
      <c r="Z1000" s="4"/>
      <c r="AA1000" s="4"/>
      <c r="AB1000" s="386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3"/>
      <c r="M1001" s="4"/>
      <c r="N1001" s="3"/>
      <c r="O1001" s="3"/>
      <c r="P1001" s="4"/>
      <c r="Q1001" s="4"/>
      <c r="R1001" s="3"/>
      <c r="S1001" s="4"/>
      <c r="T1001" s="5"/>
      <c r="U1001" s="4"/>
      <c r="V1001" s="4"/>
      <c r="W1001" s="4"/>
      <c r="X1001" s="67"/>
      <c r="Y1001" s="4"/>
      <c r="Z1001" s="4"/>
      <c r="AA1001" s="4"/>
      <c r="AB1001" s="386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3"/>
      <c r="M1002" s="4"/>
      <c r="N1002" s="3"/>
      <c r="O1002" s="3"/>
      <c r="P1002" s="4"/>
      <c r="Q1002" s="4"/>
      <c r="R1002" s="3"/>
      <c r="S1002" s="4"/>
      <c r="T1002" s="5"/>
      <c r="U1002" s="4"/>
      <c r="V1002" s="4"/>
      <c r="W1002" s="4"/>
      <c r="X1002" s="67"/>
      <c r="Y1002" s="4"/>
      <c r="Z1002" s="4"/>
      <c r="AA1002" s="4"/>
      <c r="AB1002" s="386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3"/>
      <c r="M1003" s="4"/>
      <c r="N1003" s="3"/>
      <c r="O1003" s="3"/>
      <c r="P1003" s="4"/>
      <c r="Q1003" s="4"/>
      <c r="R1003" s="3"/>
      <c r="S1003" s="4"/>
      <c r="T1003" s="5"/>
      <c r="U1003" s="4"/>
      <c r="V1003" s="4"/>
      <c r="W1003" s="4"/>
      <c r="X1003" s="67"/>
      <c r="Y1003" s="4"/>
      <c r="Z1003" s="4"/>
      <c r="AA1003" s="4"/>
      <c r="AB1003" s="386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4"/>
      <c r="N1004" s="3"/>
      <c r="O1004" s="3"/>
      <c r="P1004" s="4"/>
      <c r="Q1004" s="4"/>
      <c r="R1004" s="3"/>
      <c r="S1004" s="4"/>
      <c r="T1004" s="5"/>
      <c r="U1004" s="4"/>
      <c r="V1004" s="4"/>
      <c r="W1004" s="4"/>
      <c r="X1004" s="67"/>
      <c r="Y1004" s="4"/>
      <c r="Z1004" s="4"/>
      <c r="AA1004" s="4"/>
      <c r="AB1004" s="386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3"/>
      <c r="M1005" s="4"/>
      <c r="N1005" s="3"/>
      <c r="O1005" s="3"/>
      <c r="P1005" s="4"/>
      <c r="Q1005" s="4"/>
      <c r="R1005" s="3"/>
      <c r="S1005" s="4"/>
      <c r="T1005" s="5"/>
      <c r="U1005" s="4"/>
      <c r="V1005" s="4"/>
      <c r="W1005" s="4"/>
      <c r="X1005" s="67"/>
      <c r="Y1005" s="4"/>
      <c r="Z1005" s="4"/>
      <c r="AA1005" s="4"/>
      <c r="AB1005" s="386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3"/>
      <c r="M1006" s="4"/>
      <c r="N1006" s="3"/>
      <c r="O1006" s="3"/>
      <c r="P1006" s="4"/>
      <c r="Q1006" s="4"/>
      <c r="R1006" s="3"/>
      <c r="S1006" s="4"/>
      <c r="T1006" s="5"/>
      <c r="U1006" s="4"/>
      <c r="V1006" s="4"/>
      <c r="W1006" s="4"/>
      <c r="X1006" s="67"/>
      <c r="Y1006" s="4"/>
      <c r="Z1006" s="4"/>
      <c r="AA1006" s="4"/>
      <c r="AB1006" s="386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3"/>
      <c r="M1007" s="4"/>
      <c r="N1007" s="3"/>
      <c r="O1007" s="3"/>
      <c r="P1007" s="4"/>
      <c r="Q1007" s="4"/>
      <c r="R1007" s="3"/>
      <c r="S1007" s="4"/>
      <c r="T1007" s="5"/>
      <c r="U1007" s="4"/>
      <c r="V1007" s="4"/>
      <c r="W1007" s="4"/>
      <c r="X1007" s="67"/>
      <c r="Y1007" s="4"/>
      <c r="Z1007" s="4"/>
      <c r="AA1007" s="4"/>
      <c r="AB1007" s="386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3"/>
      <c r="M1008" s="4"/>
      <c r="N1008" s="3"/>
      <c r="O1008" s="3"/>
      <c r="P1008" s="4"/>
      <c r="Q1008" s="4"/>
      <c r="R1008" s="3"/>
      <c r="S1008" s="4"/>
      <c r="T1008" s="5"/>
      <c r="U1008" s="4"/>
      <c r="V1008" s="4"/>
      <c r="W1008" s="4"/>
      <c r="X1008" s="67"/>
      <c r="Y1008" s="4"/>
      <c r="Z1008" s="4"/>
      <c r="AA1008" s="4"/>
      <c r="AB1008" s="386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3"/>
      <c r="M1009" s="4"/>
      <c r="N1009" s="3"/>
      <c r="O1009" s="3"/>
      <c r="P1009" s="4"/>
      <c r="Q1009" s="4"/>
      <c r="R1009" s="3"/>
      <c r="S1009" s="4"/>
      <c r="T1009" s="5"/>
      <c r="U1009" s="4"/>
      <c r="V1009" s="4"/>
      <c r="W1009" s="4"/>
      <c r="X1009" s="67"/>
      <c r="Y1009" s="4"/>
      <c r="Z1009" s="4"/>
      <c r="AA1009" s="4"/>
      <c r="AB1009" s="386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3"/>
      <c r="M1010" s="4"/>
      <c r="N1010" s="3"/>
      <c r="O1010" s="3"/>
      <c r="P1010" s="4"/>
      <c r="Q1010" s="4"/>
      <c r="R1010" s="3"/>
      <c r="S1010" s="4"/>
      <c r="T1010" s="5"/>
      <c r="U1010" s="4"/>
      <c r="V1010" s="4"/>
      <c r="W1010" s="4"/>
      <c r="X1010" s="67"/>
      <c r="Y1010" s="4"/>
      <c r="Z1010" s="4"/>
      <c r="AA1010" s="4"/>
      <c r="AB1010" s="386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3"/>
      <c r="M1011" s="4"/>
      <c r="N1011" s="3"/>
      <c r="O1011" s="3"/>
      <c r="P1011" s="4"/>
      <c r="Q1011" s="4"/>
      <c r="R1011" s="3"/>
      <c r="S1011" s="4"/>
      <c r="T1011" s="5"/>
      <c r="U1011" s="4"/>
      <c r="V1011" s="4"/>
      <c r="W1011" s="4"/>
      <c r="X1011" s="67"/>
      <c r="Y1011" s="4"/>
      <c r="Z1011" s="4"/>
      <c r="AA1011" s="4"/>
      <c r="AB1011" s="386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3"/>
      <c r="M1012" s="4"/>
      <c r="N1012" s="3"/>
      <c r="O1012" s="3"/>
      <c r="P1012" s="4"/>
      <c r="Q1012" s="4"/>
      <c r="R1012" s="3"/>
      <c r="S1012" s="4"/>
      <c r="T1012" s="5"/>
      <c r="U1012" s="4"/>
      <c r="V1012" s="4"/>
      <c r="W1012" s="4"/>
      <c r="X1012" s="67"/>
      <c r="Y1012" s="4"/>
      <c r="Z1012" s="4"/>
      <c r="AA1012" s="4"/>
      <c r="AB1012" s="386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3"/>
      <c r="M1013" s="4"/>
      <c r="N1013" s="3"/>
      <c r="O1013" s="3"/>
      <c r="P1013" s="4"/>
      <c r="Q1013" s="4"/>
      <c r="R1013" s="3"/>
      <c r="S1013" s="4"/>
      <c r="T1013" s="5"/>
      <c r="U1013" s="4"/>
      <c r="V1013" s="4"/>
      <c r="W1013" s="4"/>
      <c r="X1013" s="67"/>
      <c r="Y1013" s="4"/>
      <c r="Z1013" s="4"/>
      <c r="AA1013" s="4"/>
      <c r="AB1013" s="386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3"/>
      <c r="M1014" s="4"/>
      <c r="N1014" s="3"/>
      <c r="O1014" s="3"/>
      <c r="P1014" s="4"/>
      <c r="Q1014" s="4"/>
      <c r="R1014" s="3"/>
      <c r="S1014" s="4"/>
      <c r="T1014" s="5"/>
      <c r="U1014" s="4"/>
      <c r="V1014" s="4"/>
      <c r="W1014" s="4"/>
      <c r="X1014" s="67"/>
      <c r="Y1014" s="4"/>
      <c r="Z1014" s="4"/>
      <c r="AA1014" s="4"/>
      <c r="AB1014" s="386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3"/>
      <c r="M1015" s="4"/>
      <c r="N1015" s="3"/>
      <c r="O1015" s="3"/>
      <c r="P1015" s="4"/>
      <c r="Q1015" s="4"/>
      <c r="R1015" s="3"/>
      <c r="S1015" s="4"/>
      <c r="T1015" s="5"/>
      <c r="U1015" s="4"/>
      <c r="V1015" s="4"/>
      <c r="W1015" s="4"/>
      <c r="X1015" s="67"/>
      <c r="Y1015" s="4"/>
      <c r="Z1015" s="4"/>
      <c r="AA1015" s="4"/>
      <c r="AB1015" s="386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3"/>
      <c r="M1016" s="4"/>
      <c r="N1016" s="3"/>
      <c r="O1016" s="3"/>
      <c r="P1016" s="4"/>
      <c r="Q1016" s="4"/>
      <c r="R1016" s="3"/>
      <c r="S1016" s="4"/>
      <c r="T1016" s="5"/>
      <c r="U1016" s="4"/>
      <c r="V1016" s="4"/>
      <c r="W1016" s="4"/>
      <c r="X1016" s="67"/>
      <c r="Y1016" s="4"/>
      <c r="Z1016" s="4"/>
      <c r="AA1016" s="4"/>
      <c r="AB1016" s="386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3"/>
      <c r="M1017" s="4"/>
      <c r="N1017" s="3"/>
      <c r="O1017" s="3"/>
      <c r="P1017" s="4"/>
      <c r="Q1017" s="4"/>
      <c r="R1017" s="3"/>
      <c r="S1017" s="4"/>
      <c r="T1017" s="5"/>
      <c r="U1017" s="4"/>
      <c r="V1017" s="4"/>
      <c r="W1017" s="4"/>
      <c r="X1017" s="67"/>
      <c r="Y1017" s="4"/>
      <c r="Z1017" s="4"/>
      <c r="AA1017" s="4"/>
      <c r="AB1017" s="386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3"/>
      <c r="M1018" s="4"/>
      <c r="N1018" s="3"/>
      <c r="O1018" s="3"/>
      <c r="P1018" s="4"/>
      <c r="Q1018" s="4"/>
      <c r="R1018" s="3"/>
      <c r="S1018" s="4"/>
      <c r="T1018" s="5"/>
      <c r="U1018" s="4"/>
      <c r="V1018" s="4"/>
      <c r="W1018" s="4"/>
      <c r="X1018" s="67"/>
      <c r="Y1018" s="4"/>
      <c r="Z1018" s="4"/>
      <c r="AA1018" s="4"/>
      <c r="AB1018" s="386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3"/>
      <c r="M1019" s="4"/>
      <c r="N1019" s="3"/>
      <c r="O1019" s="3"/>
      <c r="P1019" s="4"/>
      <c r="Q1019" s="4"/>
      <c r="R1019" s="3"/>
      <c r="S1019" s="4"/>
      <c r="T1019" s="5"/>
      <c r="U1019" s="4"/>
      <c r="V1019" s="4"/>
      <c r="W1019" s="4"/>
      <c r="X1019" s="67"/>
      <c r="Y1019" s="4"/>
      <c r="Z1019" s="4"/>
      <c r="AA1019" s="4"/>
      <c r="AB1019" s="386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3"/>
      <c r="M1020" s="4"/>
      <c r="N1020" s="3"/>
      <c r="O1020" s="3"/>
      <c r="P1020" s="4"/>
      <c r="Q1020" s="4"/>
      <c r="R1020" s="3"/>
      <c r="S1020" s="4"/>
      <c r="T1020" s="5"/>
      <c r="U1020" s="4"/>
      <c r="V1020" s="4"/>
      <c r="W1020" s="4"/>
      <c r="X1020" s="67"/>
      <c r="Y1020" s="4"/>
      <c r="Z1020" s="4"/>
      <c r="AA1020" s="4"/>
      <c r="AB1020" s="386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3"/>
      <c r="M1021" s="4"/>
      <c r="N1021" s="3"/>
      <c r="O1021" s="3"/>
      <c r="P1021" s="4"/>
      <c r="Q1021" s="4"/>
      <c r="R1021" s="3"/>
      <c r="S1021" s="4"/>
      <c r="T1021" s="5"/>
      <c r="U1021" s="4"/>
      <c r="V1021" s="4"/>
      <c r="W1021" s="4"/>
      <c r="X1021" s="67"/>
      <c r="Y1021" s="4"/>
      <c r="Z1021" s="4"/>
      <c r="AA1021" s="4"/>
      <c r="AB1021" s="386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3"/>
      <c r="M1022" s="4"/>
      <c r="N1022" s="3"/>
      <c r="O1022" s="3"/>
      <c r="P1022" s="4"/>
      <c r="Q1022" s="4"/>
      <c r="R1022" s="3"/>
      <c r="S1022" s="4"/>
      <c r="T1022" s="5"/>
      <c r="U1022" s="4"/>
      <c r="V1022" s="4"/>
      <c r="W1022" s="4"/>
      <c r="X1022" s="67"/>
      <c r="Y1022" s="4"/>
      <c r="Z1022" s="4"/>
      <c r="AA1022" s="4"/>
      <c r="AB1022" s="386"/>
      <c r="AC1022" s="4"/>
      <c r="AD1022" s="4"/>
      <c r="AE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3"/>
      <c r="M1023" s="4"/>
      <c r="N1023" s="3"/>
      <c r="O1023" s="3"/>
      <c r="P1023" s="4"/>
      <c r="Q1023" s="4"/>
      <c r="R1023" s="3"/>
      <c r="S1023" s="4"/>
      <c r="T1023" s="5"/>
      <c r="U1023" s="4"/>
      <c r="V1023" s="4"/>
      <c r="W1023" s="4"/>
      <c r="X1023" s="67"/>
      <c r="Y1023" s="4"/>
      <c r="Z1023" s="4"/>
      <c r="AA1023" s="4"/>
      <c r="AB1023" s="386"/>
      <c r="AC1023" s="4"/>
      <c r="AD1023" s="4"/>
      <c r="AE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3"/>
      <c r="M1024" s="4"/>
      <c r="N1024" s="3"/>
      <c r="O1024" s="3"/>
      <c r="P1024" s="4"/>
      <c r="Q1024" s="4"/>
      <c r="R1024" s="3"/>
      <c r="S1024" s="4"/>
      <c r="T1024" s="5"/>
      <c r="U1024" s="4"/>
      <c r="V1024" s="4"/>
      <c r="W1024" s="4"/>
      <c r="X1024" s="67"/>
      <c r="Y1024" s="4"/>
      <c r="Z1024" s="4"/>
      <c r="AA1024" s="4"/>
      <c r="AB1024" s="386"/>
      <c r="AC1024" s="4"/>
      <c r="AD1024" s="4"/>
      <c r="AE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3"/>
      <c r="M1025" s="4"/>
      <c r="N1025" s="3"/>
      <c r="O1025" s="3"/>
      <c r="P1025" s="4"/>
      <c r="Q1025" s="4"/>
      <c r="R1025" s="3"/>
      <c r="S1025" s="4"/>
      <c r="T1025" s="5"/>
      <c r="U1025" s="4"/>
      <c r="V1025" s="4"/>
      <c r="W1025" s="4"/>
      <c r="X1025" s="67"/>
      <c r="Y1025" s="4"/>
      <c r="Z1025" s="4"/>
      <c r="AA1025" s="4"/>
      <c r="AB1025" s="386"/>
      <c r="AC1025" s="4"/>
      <c r="AD1025" s="4"/>
      <c r="AE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3"/>
      <c r="M1026" s="4"/>
      <c r="N1026" s="3"/>
      <c r="O1026" s="3"/>
      <c r="P1026" s="4"/>
      <c r="Q1026" s="4"/>
      <c r="R1026" s="3"/>
      <c r="S1026" s="4"/>
      <c r="T1026" s="5"/>
      <c r="U1026" s="4"/>
      <c r="V1026" s="4"/>
      <c r="W1026" s="4"/>
      <c r="X1026" s="67"/>
      <c r="Y1026" s="4"/>
      <c r="Z1026" s="4"/>
      <c r="AA1026" s="4"/>
      <c r="AB1026" s="386"/>
      <c r="AC1026" s="4"/>
      <c r="AD1026" s="4"/>
      <c r="AE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3"/>
      <c r="M1027" s="4"/>
      <c r="N1027" s="3"/>
      <c r="O1027" s="3"/>
      <c r="P1027" s="4"/>
      <c r="Q1027" s="4"/>
      <c r="R1027" s="3"/>
      <c r="S1027" s="4"/>
      <c r="T1027" s="5"/>
      <c r="U1027" s="4"/>
      <c r="V1027" s="4"/>
      <c r="W1027" s="4"/>
      <c r="X1027" s="67"/>
      <c r="Y1027" s="4"/>
      <c r="Z1027" s="4"/>
      <c r="AA1027" s="4"/>
      <c r="AB1027" s="386"/>
      <c r="AC1027" s="4"/>
      <c r="AD1027" s="4"/>
      <c r="AE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3"/>
      <c r="M1028" s="4"/>
      <c r="N1028" s="3"/>
      <c r="O1028" s="3"/>
      <c r="P1028" s="4"/>
      <c r="Q1028" s="4"/>
      <c r="R1028" s="3"/>
      <c r="S1028" s="4"/>
      <c r="T1028" s="5"/>
      <c r="U1028" s="4"/>
      <c r="V1028" s="4"/>
      <c r="W1028" s="4"/>
      <c r="X1028" s="67"/>
      <c r="Y1028" s="4"/>
      <c r="Z1028" s="4"/>
      <c r="AA1028" s="4"/>
      <c r="AB1028" s="386"/>
      <c r="AC1028" s="4"/>
      <c r="AD1028" s="4"/>
      <c r="AE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3"/>
      <c r="M1029" s="4"/>
      <c r="N1029" s="3"/>
      <c r="O1029" s="3"/>
      <c r="P1029" s="4"/>
      <c r="Q1029" s="4"/>
      <c r="R1029" s="3"/>
      <c r="S1029" s="4"/>
      <c r="T1029" s="5"/>
      <c r="U1029" s="4"/>
      <c r="V1029" s="4"/>
      <c r="W1029" s="4"/>
      <c r="X1029" s="67"/>
      <c r="Y1029" s="4"/>
      <c r="Z1029" s="4"/>
      <c r="AA1029" s="4"/>
      <c r="AB1029" s="386"/>
      <c r="AC1029" s="4"/>
      <c r="AD1029" s="4"/>
      <c r="AE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3"/>
      <c r="M1030" s="4"/>
      <c r="N1030" s="3"/>
      <c r="O1030" s="3"/>
      <c r="P1030" s="4"/>
      <c r="Q1030" s="4"/>
      <c r="R1030" s="3"/>
      <c r="S1030" s="4"/>
      <c r="T1030" s="5"/>
      <c r="U1030" s="4"/>
      <c r="V1030" s="4"/>
      <c r="W1030" s="4"/>
      <c r="X1030" s="67"/>
      <c r="Y1030" s="4"/>
      <c r="Z1030" s="4"/>
      <c r="AA1030" s="4"/>
      <c r="AB1030" s="386"/>
      <c r="AC1030" s="4"/>
      <c r="AD1030" s="4"/>
      <c r="AE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3"/>
      <c r="M1031" s="4"/>
      <c r="N1031" s="3"/>
      <c r="O1031" s="3"/>
      <c r="P1031" s="4"/>
      <c r="Q1031" s="4"/>
      <c r="R1031" s="3"/>
      <c r="S1031" s="4"/>
      <c r="T1031" s="5"/>
      <c r="U1031" s="4"/>
      <c r="V1031" s="4"/>
      <c r="W1031" s="4"/>
      <c r="X1031" s="67"/>
      <c r="Y1031" s="4"/>
      <c r="Z1031" s="4"/>
      <c r="AA1031" s="4"/>
      <c r="AB1031" s="386"/>
      <c r="AC1031" s="4"/>
      <c r="AD1031" s="4"/>
      <c r="AE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3"/>
      <c r="M1032" s="4"/>
      <c r="N1032" s="3"/>
      <c r="O1032" s="3"/>
      <c r="P1032" s="4"/>
      <c r="Q1032" s="4"/>
      <c r="R1032" s="3"/>
      <c r="S1032" s="4"/>
      <c r="T1032" s="5"/>
      <c r="U1032" s="4"/>
      <c r="V1032" s="4"/>
      <c r="W1032" s="4"/>
      <c r="X1032" s="67"/>
      <c r="Y1032" s="4"/>
      <c r="Z1032" s="4"/>
      <c r="AA1032" s="4"/>
      <c r="AB1032" s="386"/>
      <c r="AC1032" s="4"/>
      <c r="AD1032" s="4"/>
      <c r="AE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3"/>
      <c r="M1033" s="4"/>
      <c r="N1033" s="3"/>
      <c r="O1033" s="3"/>
      <c r="P1033" s="4"/>
      <c r="Q1033" s="4"/>
      <c r="R1033" s="3"/>
      <c r="S1033" s="4"/>
      <c r="T1033" s="5"/>
      <c r="U1033" s="4"/>
      <c r="V1033" s="4"/>
      <c r="W1033" s="4"/>
      <c r="X1033" s="67"/>
      <c r="Y1033" s="4"/>
      <c r="Z1033" s="4"/>
      <c r="AA1033" s="4"/>
      <c r="AB1033" s="386"/>
      <c r="AC1033" s="4"/>
      <c r="AD1033" s="4"/>
      <c r="AE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3"/>
      <c r="M1034" s="4"/>
      <c r="N1034" s="3"/>
      <c r="O1034" s="3"/>
      <c r="P1034" s="4"/>
      <c r="Q1034" s="4"/>
      <c r="R1034" s="3"/>
      <c r="S1034" s="4"/>
      <c r="T1034" s="5"/>
      <c r="U1034" s="4"/>
      <c r="V1034" s="4"/>
      <c r="W1034" s="4"/>
      <c r="X1034" s="67"/>
      <c r="Y1034" s="4"/>
      <c r="Z1034" s="4"/>
      <c r="AA1034" s="4"/>
      <c r="AB1034" s="386"/>
      <c r="AC1034" s="4"/>
      <c r="AD1034" s="4"/>
      <c r="AE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3"/>
      <c r="M1035" s="4"/>
      <c r="N1035" s="3"/>
      <c r="O1035" s="3"/>
      <c r="P1035" s="4"/>
      <c r="Q1035" s="4"/>
      <c r="R1035" s="3"/>
      <c r="S1035" s="4"/>
      <c r="T1035" s="5"/>
      <c r="U1035" s="4"/>
      <c r="V1035" s="4"/>
      <c r="W1035" s="4"/>
      <c r="X1035" s="67"/>
      <c r="Y1035" s="4"/>
      <c r="Z1035" s="4"/>
      <c r="AA1035" s="4"/>
      <c r="AB1035" s="386"/>
      <c r="AC1035" s="4"/>
      <c r="AD1035" s="4"/>
      <c r="AE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3"/>
      <c r="M1036" s="4"/>
      <c r="N1036" s="3"/>
      <c r="O1036" s="3"/>
      <c r="P1036" s="4"/>
      <c r="Q1036" s="4"/>
      <c r="R1036" s="3"/>
      <c r="S1036" s="4"/>
      <c r="T1036" s="5"/>
      <c r="U1036" s="4"/>
      <c r="V1036" s="4"/>
      <c r="W1036" s="4"/>
      <c r="X1036" s="67"/>
      <c r="Y1036" s="4"/>
      <c r="Z1036" s="4"/>
      <c r="AA1036" s="4"/>
      <c r="AB1036" s="386"/>
      <c r="AC1036" s="4"/>
      <c r="AD1036" s="4"/>
      <c r="AE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3"/>
      <c r="M1037" s="4"/>
      <c r="N1037" s="3"/>
      <c r="O1037" s="3"/>
      <c r="P1037" s="4"/>
      <c r="Q1037" s="4"/>
      <c r="R1037" s="3"/>
      <c r="S1037" s="4"/>
      <c r="T1037" s="5"/>
      <c r="U1037" s="4"/>
      <c r="V1037" s="4"/>
      <c r="W1037" s="4"/>
      <c r="X1037" s="67"/>
      <c r="Y1037" s="4"/>
      <c r="Z1037" s="4"/>
      <c r="AA1037" s="4"/>
      <c r="AB1037" s="386"/>
      <c r="AC1037" s="4"/>
      <c r="AD1037" s="4"/>
      <c r="AE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3"/>
      <c r="M1038" s="4"/>
      <c r="N1038" s="3"/>
      <c r="O1038" s="3"/>
      <c r="P1038" s="4"/>
      <c r="Q1038" s="4"/>
      <c r="R1038" s="3"/>
      <c r="S1038" s="4"/>
      <c r="T1038" s="5"/>
      <c r="U1038" s="4"/>
      <c r="V1038" s="4"/>
      <c r="W1038" s="4"/>
      <c r="X1038" s="67"/>
      <c r="Y1038" s="4"/>
      <c r="Z1038" s="4"/>
      <c r="AA1038" s="4"/>
      <c r="AB1038" s="386"/>
      <c r="AC1038" s="4"/>
      <c r="AD1038" s="4"/>
      <c r="AE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3"/>
      <c r="M1039" s="4"/>
      <c r="N1039" s="3"/>
      <c r="O1039" s="3"/>
      <c r="P1039" s="4"/>
      <c r="Q1039" s="4"/>
      <c r="R1039" s="3"/>
      <c r="S1039" s="4"/>
      <c r="T1039" s="5"/>
      <c r="U1039" s="4"/>
      <c r="V1039" s="4"/>
      <c r="W1039" s="4"/>
      <c r="X1039" s="67"/>
      <c r="Y1039" s="4"/>
      <c r="Z1039" s="4"/>
      <c r="AA1039" s="4"/>
      <c r="AB1039" s="386"/>
      <c r="AC1039" s="4"/>
      <c r="AD1039" s="4"/>
      <c r="AE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3"/>
      <c r="M1040" s="4"/>
      <c r="N1040" s="3"/>
      <c r="O1040" s="3"/>
      <c r="P1040" s="4"/>
      <c r="Q1040" s="4"/>
      <c r="R1040" s="3"/>
      <c r="S1040" s="4"/>
      <c r="T1040" s="5"/>
      <c r="U1040" s="4"/>
      <c r="V1040" s="4"/>
      <c r="W1040" s="4"/>
      <c r="X1040" s="67"/>
      <c r="Y1040" s="4"/>
      <c r="Z1040" s="4"/>
      <c r="AA1040" s="4"/>
      <c r="AB1040" s="386"/>
      <c r="AC1040" s="4"/>
      <c r="AD1040" s="4"/>
      <c r="AE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3"/>
      <c r="M1041" s="4"/>
      <c r="N1041" s="3"/>
      <c r="O1041" s="3"/>
      <c r="P1041" s="4"/>
      <c r="Q1041" s="4"/>
      <c r="R1041" s="3"/>
      <c r="S1041" s="4"/>
      <c r="T1041" s="5"/>
      <c r="U1041" s="4"/>
      <c r="V1041" s="4"/>
      <c r="W1041" s="4"/>
      <c r="X1041" s="67"/>
      <c r="Y1041" s="4"/>
      <c r="Z1041" s="4"/>
      <c r="AA1041" s="4"/>
      <c r="AB1041" s="386"/>
      <c r="AC1041" s="4"/>
      <c r="AD1041" s="4"/>
      <c r="AE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3"/>
      <c r="M1042" s="4"/>
      <c r="N1042" s="3"/>
      <c r="O1042" s="3"/>
      <c r="P1042" s="4"/>
      <c r="Q1042" s="4"/>
      <c r="R1042" s="3"/>
      <c r="S1042" s="4"/>
      <c r="T1042" s="5"/>
      <c r="U1042" s="4"/>
      <c r="V1042" s="4"/>
      <c r="W1042" s="4"/>
      <c r="X1042" s="67"/>
      <c r="Y1042" s="4"/>
      <c r="Z1042" s="4"/>
      <c r="AA1042" s="4"/>
      <c r="AB1042" s="386"/>
      <c r="AC1042" s="4"/>
      <c r="AD1042" s="4"/>
      <c r="AE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3"/>
      <c r="M1043" s="4"/>
      <c r="N1043" s="3"/>
      <c r="O1043" s="3"/>
      <c r="P1043" s="4"/>
      <c r="Q1043" s="4"/>
      <c r="R1043" s="3"/>
      <c r="S1043" s="4"/>
      <c r="T1043" s="5"/>
      <c r="U1043" s="4"/>
      <c r="V1043" s="4"/>
      <c r="W1043" s="4"/>
      <c r="X1043" s="67"/>
      <c r="Y1043" s="4"/>
      <c r="Z1043" s="4"/>
      <c r="AA1043" s="4"/>
      <c r="AB1043" s="386"/>
      <c r="AC1043" s="4"/>
      <c r="AD1043" s="4"/>
      <c r="AE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3"/>
      <c r="M1044" s="4"/>
      <c r="N1044" s="3"/>
      <c r="O1044" s="3"/>
      <c r="P1044" s="4"/>
      <c r="Q1044" s="4"/>
      <c r="R1044" s="3"/>
      <c r="S1044" s="4"/>
      <c r="T1044" s="5"/>
      <c r="U1044" s="4"/>
      <c r="V1044" s="4"/>
      <c r="W1044" s="4"/>
      <c r="X1044" s="67"/>
      <c r="Y1044" s="4"/>
      <c r="Z1044" s="4"/>
      <c r="AA1044" s="4"/>
      <c r="AB1044" s="386"/>
      <c r="AC1044" s="4"/>
      <c r="AD1044" s="4"/>
      <c r="AE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3"/>
      <c r="M1045" s="4"/>
      <c r="N1045" s="3"/>
      <c r="O1045" s="3"/>
      <c r="P1045" s="4"/>
      <c r="Q1045" s="4"/>
      <c r="R1045" s="3"/>
      <c r="S1045" s="4"/>
      <c r="T1045" s="5"/>
      <c r="U1045" s="4"/>
      <c r="V1045" s="4"/>
      <c r="W1045" s="4"/>
      <c r="X1045" s="67"/>
      <c r="Y1045" s="4"/>
      <c r="Z1045" s="4"/>
      <c r="AA1045" s="4"/>
      <c r="AB1045" s="386"/>
      <c r="AC1045" s="4"/>
      <c r="AD1045" s="4"/>
      <c r="AE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3"/>
      <c r="M1046" s="4"/>
      <c r="N1046" s="3"/>
      <c r="O1046" s="3"/>
      <c r="P1046" s="4"/>
      <c r="Q1046" s="4"/>
      <c r="R1046" s="3"/>
      <c r="S1046" s="4"/>
      <c r="T1046" s="5"/>
      <c r="U1046" s="4"/>
      <c r="V1046" s="4"/>
      <c r="W1046" s="4"/>
      <c r="X1046" s="67"/>
      <c r="Y1046" s="4"/>
      <c r="Z1046" s="4"/>
      <c r="AA1046" s="4"/>
      <c r="AB1046" s="386"/>
      <c r="AC1046" s="4"/>
      <c r="AD1046" s="4"/>
      <c r="AE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3"/>
      <c r="M1047" s="4"/>
      <c r="N1047" s="3"/>
      <c r="O1047" s="3"/>
      <c r="P1047" s="4"/>
      <c r="Q1047" s="4"/>
      <c r="R1047" s="3"/>
      <c r="S1047" s="4"/>
      <c r="T1047" s="5"/>
      <c r="U1047" s="4"/>
      <c r="V1047" s="4"/>
      <c r="W1047" s="4"/>
      <c r="X1047" s="67"/>
      <c r="Y1047" s="4"/>
      <c r="Z1047" s="4"/>
      <c r="AA1047" s="4"/>
      <c r="AB1047" s="386"/>
      <c r="AC1047" s="4"/>
      <c r="AD1047" s="4"/>
      <c r="AE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3"/>
      <c r="M1048" s="4"/>
      <c r="N1048" s="3"/>
      <c r="O1048" s="3"/>
      <c r="P1048" s="4"/>
      <c r="Q1048" s="4"/>
      <c r="R1048" s="3"/>
      <c r="S1048" s="4"/>
      <c r="T1048" s="5"/>
      <c r="U1048" s="4"/>
      <c r="V1048" s="4"/>
      <c r="W1048" s="4"/>
      <c r="X1048" s="67"/>
      <c r="Y1048" s="4"/>
      <c r="Z1048" s="4"/>
      <c r="AA1048" s="4"/>
      <c r="AB1048" s="386"/>
      <c r="AC1048" s="4"/>
      <c r="AD1048" s="4"/>
      <c r="AE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3"/>
      <c r="M1049" s="4"/>
      <c r="N1049" s="3"/>
      <c r="O1049" s="3"/>
      <c r="P1049" s="4"/>
      <c r="Q1049" s="4"/>
      <c r="R1049" s="3"/>
      <c r="S1049" s="4"/>
      <c r="T1049" s="5"/>
      <c r="U1049" s="4"/>
      <c r="V1049" s="4"/>
      <c r="W1049" s="4"/>
      <c r="X1049" s="67"/>
      <c r="Y1049" s="4"/>
      <c r="Z1049" s="4"/>
      <c r="AA1049" s="4"/>
      <c r="AB1049" s="386"/>
      <c r="AC1049" s="4"/>
      <c r="AD1049" s="4"/>
      <c r="AE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3"/>
      <c r="M1050" s="4"/>
      <c r="N1050" s="3"/>
      <c r="O1050" s="3"/>
      <c r="P1050" s="4"/>
      <c r="Q1050" s="4"/>
      <c r="R1050" s="3"/>
      <c r="S1050" s="4"/>
      <c r="T1050" s="5"/>
      <c r="U1050" s="4"/>
      <c r="V1050" s="4"/>
      <c r="W1050" s="4"/>
      <c r="X1050" s="67"/>
      <c r="Y1050" s="4"/>
      <c r="Z1050" s="4"/>
      <c r="AA1050" s="4"/>
      <c r="AB1050" s="386"/>
      <c r="AC1050" s="4"/>
      <c r="AD1050" s="4"/>
      <c r="AE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3"/>
      <c r="M1051" s="4"/>
      <c r="N1051" s="3"/>
      <c r="O1051" s="3"/>
      <c r="P1051" s="4"/>
      <c r="Q1051" s="4"/>
      <c r="R1051" s="3"/>
      <c r="S1051" s="4"/>
      <c r="T1051" s="5"/>
      <c r="U1051" s="4"/>
      <c r="V1051" s="4"/>
      <c r="W1051" s="4"/>
      <c r="X1051" s="67"/>
      <c r="Y1051" s="4"/>
      <c r="Z1051" s="4"/>
      <c r="AA1051" s="4"/>
      <c r="AB1051" s="386"/>
      <c r="AC1051" s="4"/>
      <c r="AD1051" s="4"/>
      <c r="AE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3"/>
      <c r="M1052" s="4"/>
      <c r="N1052" s="3"/>
      <c r="O1052" s="3"/>
      <c r="P1052" s="4"/>
      <c r="Q1052" s="4"/>
      <c r="R1052" s="3"/>
      <c r="S1052" s="4"/>
      <c r="T1052" s="5"/>
      <c r="U1052" s="4"/>
      <c r="V1052" s="4"/>
      <c r="W1052" s="4"/>
      <c r="X1052" s="67"/>
      <c r="Y1052" s="4"/>
      <c r="Z1052" s="4"/>
      <c r="AA1052" s="4"/>
      <c r="AB1052" s="386"/>
      <c r="AC1052" s="4"/>
      <c r="AD1052" s="4"/>
      <c r="AE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3"/>
      <c r="M1053" s="4"/>
      <c r="N1053" s="3"/>
      <c r="O1053" s="3"/>
      <c r="P1053" s="4"/>
      <c r="Q1053" s="4"/>
      <c r="R1053" s="3"/>
      <c r="S1053" s="4"/>
      <c r="T1053" s="5"/>
      <c r="U1053" s="4"/>
      <c r="V1053" s="4"/>
      <c r="W1053" s="4"/>
      <c r="X1053" s="67"/>
      <c r="Y1053" s="4"/>
      <c r="Z1053" s="4"/>
      <c r="AA1053" s="4"/>
      <c r="AB1053" s="386"/>
      <c r="AC1053" s="4"/>
      <c r="AD1053" s="4"/>
      <c r="AE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3"/>
      <c r="M1054" s="4"/>
      <c r="N1054" s="3"/>
      <c r="O1054" s="3"/>
      <c r="P1054" s="4"/>
      <c r="Q1054" s="4"/>
      <c r="R1054" s="3"/>
      <c r="S1054" s="4"/>
      <c r="T1054" s="5"/>
      <c r="U1054" s="4"/>
      <c r="V1054" s="4"/>
      <c r="W1054" s="4"/>
      <c r="X1054" s="67"/>
      <c r="Y1054" s="4"/>
      <c r="Z1054" s="4"/>
      <c r="AA1054" s="4"/>
      <c r="AB1054" s="386"/>
      <c r="AC1054" s="4"/>
      <c r="AD1054" s="4"/>
      <c r="AE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3"/>
      <c r="M1055" s="4"/>
      <c r="N1055" s="3"/>
      <c r="O1055" s="3"/>
      <c r="P1055" s="4"/>
      <c r="Q1055" s="4"/>
      <c r="R1055" s="3"/>
      <c r="S1055" s="4"/>
      <c r="T1055" s="5"/>
      <c r="U1055" s="4"/>
      <c r="V1055" s="4"/>
      <c r="W1055" s="4"/>
      <c r="X1055" s="67"/>
      <c r="Y1055" s="4"/>
      <c r="Z1055" s="4"/>
      <c r="AA1055" s="4"/>
      <c r="AB1055" s="386"/>
      <c r="AC1055" s="4"/>
      <c r="AD1055" s="4"/>
      <c r="AE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3"/>
      <c r="M1056" s="4"/>
      <c r="N1056" s="3"/>
      <c r="O1056" s="3"/>
      <c r="P1056" s="4"/>
      <c r="Q1056" s="4"/>
      <c r="R1056" s="3"/>
      <c r="S1056" s="4"/>
      <c r="T1056" s="5"/>
      <c r="U1056" s="4"/>
      <c r="V1056" s="4"/>
      <c r="W1056" s="4"/>
      <c r="X1056" s="67"/>
      <c r="Y1056" s="4"/>
      <c r="Z1056" s="4"/>
      <c r="AA1056" s="4"/>
      <c r="AB1056" s="386"/>
      <c r="AC1056" s="4"/>
      <c r="AD1056" s="4"/>
      <c r="AE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3"/>
      <c r="M1057" s="4"/>
      <c r="N1057" s="3"/>
      <c r="O1057" s="3"/>
      <c r="P1057" s="4"/>
      <c r="Q1057" s="4"/>
      <c r="R1057" s="3"/>
      <c r="S1057" s="4"/>
      <c r="T1057" s="5"/>
      <c r="U1057" s="4"/>
      <c r="V1057" s="4"/>
      <c r="W1057" s="4"/>
      <c r="X1057" s="67"/>
      <c r="Y1057" s="4"/>
      <c r="Z1057" s="4"/>
      <c r="AA1057" s="4"/>
      <c r="AB1057" s="386"/>
      <c r="AC1057" s="4"/>
      <c r="AD1057" s="4"/>
      <c r="AE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3"/>
      <c r="M1058" s="4"/>
      <c r="N1058" s="3"/>
      <c r="O1058" s="3"/>
      <c r="P1058" s="4"/>
      <c r="Q1058" s="4"/>
      <c r="R1058" s="3"/>
      <c r="S1058" s="4"/>
      <c r="T1058" s="5"/>
      <c r="U1058" s="4"/>
      <c r="V1058" s="4"/>
      <c r="W1058" s="4"/>
      <c r="X1058" s="67"/>
      <c r="Y1058" s="4"/>
      <c r="Z1058" s="4"/>
      <c r="AA1058" s="4"/>
      <c r="AB1058" s="386"/>
      <c r="AC1058" s="4"/>
      <c r="AD1058" s="4"/>
      <c r="AE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3"/>
      <c r="M1059" s="4"/>
      <c r="N1059" s="3"/>
      <c r="O1059" s="3"/>
      <c r="P1059" s="4"/>
      <c r="Q1059" s="4"/>
      <c r="R1059" s="3"/>
      <c r="S1059" s="4"/>
      <c r="T1059" s="5"/>
      <c r="U1059" s="4"/>
      <c r="V1059" s="4"/>
      <c r="W1059" s="4"/>
      <c r="X1059" s="67"/>
      <c r="Y1059" s="4"/>
      <c r="Z1059" s="4"/>
      <c r="AA1059" s="4"/>
      <c r="AB1059" s="386"/>
      <c r="AC1059" s="4"/>
      <c r="AD1059" s="4"/>
      <c r="AE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3"/>
      <c r="M1060" s="4"/>
      <c r="N1060" s="3"/>
      <c r="O1060" s="3"/>
      <c r="P1060" s="4"/>
      <c r="Q1060" s="4"/>
      <c r="R1060" s="3"/>
      <c r="S1060" s="4"/>
      <c r="T1060" s="5"/>
      <c r="U1060" s="4"/>
      <c r="V1060" s="4"/>
      <c r="W1060" s="4"/>
      <c r="X1060" s="67"/>
      <c r="Y1060" s="4"/>
      <c r="Z1060" s="4"/>
      <c r="AA1060" s="4"/>
      <c r="AB1060" s="386"/>
      <c r="AC1060" s="4"/>
      <c r="AD1060" s="4"/>
      <c r="AE1060" s="4"/>
    </row>
  </sheetData>
  <mergeCells count="136">
    <mergeCell ref="R5:R7"/>
    <mergeCell ref="U5:U7"/>
    <mergeCell ref="R8:R13"/>
    <mergeCell ref="U8:U13"/>
    <mergeCell ref="R14:R15"/>
    <mergeCell ref="U14:U15"/>
    <mergeCell ref="U16:U31"/>
    <mergeCell ref="R38:R47"/>
    <mergeCell ref="R48:R50"/>
    <mergeCell ref="S48:S50"/>
    <mergeCell ref="R51:R52"/>
    <mergeCell ref="S53:S82"/>
    <mergeCell ref="W38:W47"/>
    <mergeCell ref="W48:W50"/>
    <mergeCell ref="U51:U52"/>
    <mergeCell ref="W51:W52"/>
    <mergeCell ref="U53:U82"/>
    <mergeCell ref="W53:W82"/>
    <mergeCell ref="Z53:Z86"/>
    <mergeCell ref="AA53:AA86"/>
    <mergeCell ref="U87:U92"/>
    <mergeCell ref="W87:W92"/>
    <mergeCell ref="R32:R35"/>
    <mergeCell ref="S32:S35"/>
    <mergeCell ref="U32:U35"/>
    <mergeCell ref="U36:U37"/>
    <mergeCell ref="W36:W37"/>
    <mergeCell ref="U38:U47"/>
    <mergeCell ref="U48:U50"/>
    <mergeCell ref="W2:W4"/>
    <mergeCell ref="X2:X4"/>
    <mergeCell ref="Y2:Y4"/>
    <mergeCell ref="Z2:AA3"/>
    <mergeCell ref="AB2:AB4"/>
    <mergeCell ref="B5:B7"/>
    <mergeCell ref="C5:C7"/>
    <mergeCell ref="W5:W7"/>
    <mergeCell ref="D5:D7"/>
    <mergeCell ref="F5:F7"/>
    <mergeCell ref="B8:B9"/>
    <mergeCell ref="C8:C9"/>
    <mergeCell ref="D8:D13"/>
    <mergeCell ref="B10:B11"/>
    <mergeCell ref="C10:C11"/>
    <mergeCell ref="F12:F13"/>
    <mergeCell ref="W8:W13"/>
    <mergeCell ref="W16:W31"/>
    <mergeCell ref="B16:B17"/>
    <mergeCell ref="B18:B19"/>
    <mergeCell ref="B22:B23"/>
    <mergeCell ref="C22:C23"/>
    <mergeCell ref="F24:F25"/>
    <mergeCell ref="F26:F27"/>
    <mergeCell ref="F28:F29"/>
    <mergeCell ref="F30:F31"/>
    <mergeCell ref="F8:F9"/>
    <mergeCell ref="F10:F11"/>
    <mergeCell ref="F14:F15"/>
    <mergeCell ref="F16:F17"/>
    <mergeCell ref="F18:F19"/>
    <mergeCell ref="F20:F21"/>
    <mergeCell ref="F22:F23"/>
    <mergeCell ref="B40:B41"/>
    <mergeCell ref="B42:B43"/>
    <mergeCell ref="C42:C43"/>
    <mergeCell ref="B44:B45"/>
    <mergeCell ref="C44:C45"/>
    <mergeCell ref="B36:B37"/>
    <mergeCell ref="C36:C37"/>
    <mergeCell ref="D36:D37"/>
    <mergeCell ref="B38:B39"/>
    <mergeCell ref="C38:C39"/>
    <mergeCell ref="D38:D47"/>
    <mergeCell ref="C40:C41"/>
    <mergeCell ref="D51:D52"/>
    <mergeCell ref="D53:D86"/>
    <mergeCell ref="D87:D92"/>
    <mergeCell ref="B46:B47"/>
    <mergeCell ref="C46:C47"/>
    <mergeCell ref="B48:B49"/>
    <mergeCell ref="C48:C49"/>
    <mergeCell ref="D48:D50"/>
    <mergeCell ref="B51:B52"/>
    <mergeCell ref="C51:C52"/>
    <mergeCell ref="F46:F47"/>
    <mergeCell ref="F48:F50"/>
    <mergeCell ref="F51:F52"/>
    <mergeCell ref="F53:F54"/>
    <mergeCell ref="F55:F56"/>
    <mergeCell ref="F57:F58"/>
    <mergeCell ref="F59:F60"/>
    <mergeCell ref="F75:F76"/>
    <mergeCell ref="F77:F78"/>
    <mergeCell ref="F79:F80"/>
    <mergeCell ref="F81:F82"/>
    <mergeCell ref="F83:F84"/>
    <mergeCell ref="F85:F86"/>
    <mergeCell ref="F87:F89"/>
    <mergeCell ref="F90:F92"/>
    <mergeCell ref="F61:F62"/>
    <mergeCell ref="F63:F64"/>
    <mergeCell ref="F65:F66"/>
    <mergeCell ref="F67:F68"/>
    <mergeCell ref="F69:F70"/>
    <mergeCell ref="F71:F72"/>
    <mergeCell ref="F73:F74"/>
    <mergeCell ref="C18:C19"/>
    <mergeCell ref="B20:B21"/>
    <mergeCell ref="C20:C21"/>
    <mergeCell ref="B24:B25"/>
    <mergeCell ref="C24:C25"/>
    <mergeCell ref="B26:B27"/>
    <mergeCell ref="C26:C27"/>
    <mergeCell ref="B28:B29"/>
    <mergeCell ref="C28:C29"/>
    <mergeCell ref="B12:B13"/>
    <mergeCell ref="C12:C13"/>
    <mergeCell ref="B14:B15"/>
    <mergeCell ref="C14:C15"/>
    <mergeCell ref="D14:D15"/>
    <mergeCell ref="C16:C17"/>
    <mergeCell ref="D16:D31"/>
    <mergeCell ref="B30:B31"/>
    <mergeCell ref="C30:C31"/>
    <mergeCell ref="B32:B33"/>
    <mergeCell ref="C32:C33"/>
    <mergeCell ref="D32:D35"/>
    <mergeCell ref="B34:B35"/>
    <mergeCell ref="C34:C35"/>
    <mergeCell ref="F32:F33"/>
    <mergeCell ref="F34:F35"/>
    <mergeCell ref="F36:F37"/>
    <mergeCell ref="F38:F39"/>
    <mergeCell ref="F40:F41"/>
    <mergeCell ref="F42:F43"/>
    <mergeCell ref="F44:F45"/>
  </mergeCells>
  <conditionalFormatting sqref="F1:F1060">
    <cfRule type="containsText" dxfId="0" priority="1" operator="containsText" text="3인">
      <formula>NOT(ISERROR(SEARCH(("3인"),(F1))))</formula>
    </cfRule>
  </conditionalFormatting>
  <conditionalFormatting sqref="F1:F1060">
    <cfRule type="containsText" dxfId="1" priority="2" operator="containsText" text="4인">
      <formula>NOT(ISERROR(SEARCH(("4인"),(F1))))</formula>
    </cfRule>
  </conditionalFormatting>
  <hyperlinks>
    <hyperlink r:id="rId2" ref="AB5"/>
    <hyperlink r:id="rId3" ref="AB6"/>
    <hyperlink r:id="rId4" ref="AB7"/>
    <hyperlink r:id="rId5" ref="AB8"/>
    <hyperlink r:id="rId6" ref="AB9"/>
    <hyperlink r:id="rId7" ref="AB10"/>
    <hyperlink r:id="rId8" ref="AB11"/>
    <hyperlink r:id="rId9" ref="AB12"/>
    <hyperlink r:id="rId10" ref="AB13"/>
    <hyperlink r:id="rId11" ref="AB14"/>
    <hyperlink r:id="rId12" ref="AB15"/>
    <hyperlink r:id="rId13" ref="AB16"/>
    <hyperlink r:id="rId14" ref="AB17"/>
    <hyperlink r:id="rId15" ref="AB18"/>
    <hyperlink r:id="rId16" ref="AB19"/>
    <hyperlink r:id="rId17" ref="AB20"/>
    <hyperlink r:id="rId18" ref="AB21"/>
    <hyperlink r:id="rId19" ref="AB22"/>
    <hyperlink r:id="rId20" ref="AB23"/>
    <hyperlink r:id="rId21" ref="AB24"/>
    <hyperlink r:id="rId22" ref="AB25"/>
    <hyperlink r:id="rId23" ref="AB26"/>
    <hyperlink r:id="rId24" ref="AB27"/>
    <hyperlink r:id="rId25" ref="AB28"/>
    <hyperlink r:id="rId26" ref="AB29"/>
    <hyperlink r:id="rId27" ref="AB30"/>
    <hyperlink r:id="rId28" ref="AB31"/>
    <hyperlink r:id="rId29" ref="AB36"/>
    <hyperlink r:id="rId30" ref="AB37"/>
    <hyperlink r:id="rId31" ref="AB38"/>
    <hyperlink r:id="rId32" ref="AB39"/>
    <hyperlink r:id="rId33" ref="AB40"/>
    <hyperlink r:id="rId34" ref="AB41"/>
    <hyperlink r:id="rId35" ref="AB42"/>
    <hyperlink r:id="rId36" ref="AB43"/>
    <hyperlink r:id="rId37" ref="AB44"/>
    <hyperlink r:id="rId38" ref="AB45"/>
    <hyperlink r:id="rId39" ref="AB46"/>
    <hyperlink r:id="rId40" ref="AB47"/>
    <hyperlink r:id="rId41" ref="AB53"/>
    <hyperlink r:id="rId42" ref="AB54"/>
    <hyperlink r:id="rId43" ref="AB55"/>
    <hyperlink r:id="rId44" ref="AB56"/>
    <hyperlink r:id="rId45" ref="AB57"/>
    <hyperlink r:id="rId46" ref="AB58"/>
    <hyperlink r:id="rId47" ref="AB59"/>
    <hyperlink r:id="rId48" ref="AB60"/>
    <hyperlink r:id="rId49" ref="AB61"/>
    <hyperlink r:id="rId50" ref="AB62"/>
    <hyperlink r:id="rId51" ref="AB63"/>
    <hyperlink r:id="rId52" ref="AB64"/>
    <hyperlink r:id="rId53" ref="AB65"/>
    <hyperlink r:id="rId54" ref="AB66"/>
    <hyperlink r:id="rId55" ref="AB67"/>
    <hyperlink r:id="rId56" ref="AB68"/>
    <hyperlink r:id="rId57" ref="AB69"/>
    <hyperlink r:id="rId58" ref="AB70"/>
    <hyperlink r:id="rId59" ref="AB71"/>
    <hyperlink r:id="rId60" ref="AB72"/>
    <hyperlink r:id="rId61" ref="AB73"/>
    <hyperlink r:id="rId62" ref="AB74"/>
    <hyperlink r:id="rId63" ref="AB75"/>
    <hyperlink r:id="rId64" ref="AB76"/>
    <hyperlink r:id="rId65" ref="AB77"/>
    <hyperlink r:id="rId66" ref="AB78"/>
    <hyperlink r:id="rId67" ref="AB79"/>
    <hyperlink r:id="rId68" ref="AB80"/>
    <hyperlink r:id="rId69" ref="AB81"/>
    <hyperlink r:id="rId70" ref="AB82"/>
    <hyperlink r:id="rId71" ref="AB83"/>
    <hyperlink r:id="rId72" ref="AB84"/>
    <hyperlink r:id="rId73" ref="AB85"/>
    <hyperlink r:id="rId74" ref="AB86"/>
    <hyperlink r:id="rId75" ref="AB87"/>
    <hyperlink r:id="rId76" ref="AB88"/>
    <hyperlink r:id="rId77" ref="AB89"/>
    <hyperlink r:id="rId78" ref="AB90"/>
    <hyperlink r:id="rId79" ref="AB91"/>
    <hyperlink r:id="rId80" ref="AB9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1"/>
  <legacyDrawing r:id="rId8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24.5"/>
    <col customWidth="1" min="23" max="23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1161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</row>
    <row r="5">
      <c r="A5" s="60">
        <v>1.0</v>
      </c>
      <c r="B5" s="84"/>
      <c r="C5" s="84"/>
      <c r="D5" s="42">
        <v>1.0</v>
      </c>
      <c r="E5" s="43">
        <v>1.0</v>
      </c>
      <c r="F5" s="42" t="s">
        <v>61</v>
      </c>
      <c r="G5" s="45" t="s">
        <v>1162</v>
      </c>
      <c r="H5" s="45" t="s">
        <v>1163</v>
      </c>
      <c r="I5" s="43" t="s">
        <v>1164</v>
      </c>
      <c r="J5" s="45" t="s">
        <v>1165</v>
      </c>
      <c r="K5" s="46" t="s">
        <v>47</v>
      </c>
      <c r="L5" s="47">
        <v>25850.0</v>
      </c>
      <c r="M5" s="45" t="s">
        <v>1166</v>
      </c>
      <c r="N5" s="47">
        <v>45434.0</v>
      </c>
      <c r="O5" s="47">
        <v>49086.0</v>
      </c>
      <c r="P5" s="43" t="s">
        <v>1167</v>
      </c>
      <c r="Q5" s="43" t="s">
        <v>1168</v>
      </c>
      <c r="R5" s="388">
        <v>46029.0</v>
      </c>
      <c r="S5" s="389" t="s">
        <v>228</v>
      </c>
      <c r="T5" s="282">
        <v>6000000.0</v>
      </c>
      <c r="U5" s="42" t="s">
        <v>1169</v>
      </c>
      <c r="V5" s="52"/>
      <c r="W5" s="310" t="s">
        <v>1170</v>
      </c>
      <c r="X5" s="390"/>
    </row>
    <row r="6">
      <c r="A6" s="60">
        <v>2.0</v>
      </c>
      <c r="B6" s="39"/>
      <c r="C6" s="39"/>
      <c r="D6" s="28"/>
      <c r="E6" s="43">
        <v>1.0</v>
      </c>
      <c r="F6" s="39"/>
      <c r="G6" s="45" t="s">
        <v>165</v>
      </c>
      <c r="H6" s="45" t="s">
        <v>1171</v>
      </c>
      <c r="I6" s="43" t="s">
        <v>1172</v>
      </c>
      <c r="J6" s="45" t="s">
        <v>1173</v>
      </c>
      <c r="K6" s="46" t="s">
        <v>57</v>
      </c>
      <c r="L6" s="47">
        <v>25822.0</v>
      </c>
      <c r="M6" s="45" t="s">
        <v>1174</v>
      </c>
      <c r="N6" s="47">
        <v>44916.0</v>
      </c>
      <c r="O6" s="47">
        <v>48569.0</v>
      </c>
      <c r="P6" s="391" t="s">
        <v>1175</v>
      </c>
      <c r="Q6" s="43" t="s">
        <v>1168</v>
      </c>
      <c r="R6" s="388">
        <v>46029.0</v>
      </c>
      <c r="S6" s="389" t="s">
        <v>228</v>
      </c>
      <c r="T6" s="282">
        <v>6000000.0</v>
      </c>
      <c r="U6" s="39"/>
      <c r="V6" s="57"/>
      <c r="W6" s="56"/>
      <c r="X6" s="392"/>
    </row>
    <row r="7">
      <c r="A7" s="60">
        <v>3.0</v>
      </c>
      <c r="B7" s="84"/>
      <c r="C7" s="84"/>
      <c r="D7" s="69"/>
      <c r="E7" s="43"/>
      <c r="F7" s="42"/>
      <c r="G7" s="68"/>
      <c r="H7" s="68"/>
      <c r="I7" s="69"/>
      <c r="J7" s="68"/>
      <c r="K7" s="46"/>
      <c r="L7" s="71"/>
      <c r="M7" s="68"/>
      <c r="N7" s="71"/>
      <c r="O7" s="71"/>
      <c r="P7" s="69"/>
      <c r="Q7" s="43"/>
      <c r="R7" s="388"/>
      <c r="S7" s="393"/>
      <c r="T7" s="282"/>
      <c r="U7" s="42"/>
      <c r="V7" s="52"/>
      <c r="W7" s="186"/>
      <c r="X7" s="392"/>
    </row>
    <row r="8">
      <c r="A8" s="60">
        <v>4.0</v>
      </c>
      <c r="B8" s="39"/>
      <c r="C8" s="39"/>
      <c r="D8" s="69"/>
      <c r="E8" s="43"/>
      <c r="F8" s="39"/>
      <c r="G8" s="68"/>
      <c r="H8" s="68"/>
      <c r="I8" s="69"/>
      <c r="J8" s="68"/>
      <c r="K8" s="46"/>
      <c r="L8" s="71"/>
      <c r="M8" s="68"/>
      <c r="N8" s="71"/>
      <c r="O8" s="71"/>
      <c r="P8" s="69"/>
      <c r="Q8" s="43"/>
      <c r="R8" s="388"/>
      <c r="S8" s="393"/>
      <c r="T8" s="282"/>
      <c r="U8" s="39"/>
      <c r="V8" s="57"/>
      <c r="W8" s="186"/>
      <c r="X8" s="392"/>
    </row>
    <row r="9">
      <c r="A9" s="60">
        <v>5.0</v>
      </c>
      <c r="B9" s="84"/>
      <c r="C9" s="84"/>
      <c r="D9" s="69"/>
      <c r="E9" s="69"/>
      <c r="F9" s="84"/>
      <c r="G9" s="68"/>
      <c r="H9" s="68"/>
      <c r="I9" s="69"/>
      <c r="J9" s="68"/>
      <c r="K9" s="46" t="str">
        <f t="shared" ref="K9:K34" si="1">IF(MOD(MID(J9,8,1),2)=1,"M","F")</f>
        <v>F</v>
      </c>
      <c r="L9" s="71"/>
      <c r="M9" s="68"/>
      <c r="N9" s="71"/>
      <c r="O9" s="71"/>
      <c r="P9" s="69"/>
      <c r="Q9" s="69"/>
      <c r="R9" s="394"/>
      <c r="S9" s="395"/>
      <c r="T9" s="283"/>
      <c r="U9" s="42"/>
      <c r="V9" s="57"/>
      <c r="W9" s="196"/>
      <c r="X9" s="392"/>
    </row>
    <row r="10">
      <c r="A10" s="60">
        <v>6.0</v>
      </c>
      <c r="B10" s="39"/>
      <c r="C10" s="39"/>
      <c r="D10" s="69"/>
      <c r="E10" s="69"/>
      <c r="F10" s="39"/>
      <c r="G10" s="68"/>
      <c r="H10" s="68"/>
      <c r="I10" s="69"/>
      <c r="J10" s="68"/>
      <c r="K10" s="46" t="str">
        <f t="shared" si="1"/>
        <v>F</v>
      </c>
      <c r="L10" s="71"/>
      <c r="M10" s="69"/>
      <c r="N10" s="71"/>
      <c r="O10" s="71"/>
      <c r="P10" s="69"/>
      <c r="Q10" s="69"/>
      <c r="R10" s="56"/>
      <c r="S10" s="39"/>
      <c r="T10" s="283"/>
      <c r="U10" s="39"/>
      <c r="V10" s="57"/>
      <c r="W10" s="196"/>
      <c r="X10" s="392"/>
    </row>
    <row r="11">
      <c r="A11" s="60">
        <v>7.0</v>
      </c>
      <c r="B11" s="84"/>
      <c r="C11" s="84"/>
      <c r="D11" s="69"/>
      <c r="E11" s="69"/>
      <c r="F11" s="84"/>
      <c r="G11" s="68"/>
      <c r="H11" s="68"/>
      <c r="I11" s="69"/>
      <c r="J11" s="68"/>
      <c r="K11" s="46" t="str">
        <f t="shared" si="1"/>
        <v>F</v>
      </c>
      <c r="L11" s="71"/>
      <c r="M11" s="68"/>
      <c r="N11" s="71"/>
      <c r="O11" s="71"/>
      <c r="P11" s="69"/>
      <c r="Q11" s="69"/>
      <c r="R11" s="291"/>
      <c r="S11" s="395"/>
      <c r="T11" s="283"/>
      <c r="U11" s="42"/>
      <c r="V11" s="48"/>
      <c r="W11" s="186"/>
      <c r="X11" s="392"/>
    </row>
    <row r="12">
      <c r="A12" s="60">
        <v>8.0</v>
      </c>
      <c r="B12" s="39"/>
      <c r="C12" s="39"/>
      <c r="D12" s="69"/>
      <c r="E12" s="69"/>
      <c r="F12" s="39"/>
      <c r="G12" s="68"/>
      <c r="H12" s="68"/>
      <c r="I12" s="69"/>
      <c r="J12" s="68"/>
      <c r="K12" s="46" t="str">
        <f t="shared" si="1"/>
        <v>F</v>
      </c>
      <c r="L12" s="71"/>
      <c r="M12" s="68"/>
      <c r="N12" s="71"/>
      <c r="O12" s="71"/>
      <c r="P12" s="69"/>
      <c r="Q12" s="69"/>
      <c r="R12" s="291"/>
      <c r="S12" s="39"/>
      <c r="T12" s="283"/>
      <c r="U12" s="39"/>
      <c r="V12" s="48"/>
      <c r="W12" s="186"/>
      <c r="X12" s="392"/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69"/>
      <c r="R13" s="291"/>
      <c r="S13" s="292"/>
      <c r="T13" s="283"/>
      <c r="U13" s="84"/>
      <c r="V13" s="57"/>
      <c r="W13" s="196"/>
      <c r="X13" s="392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69"/>
      <c r="R14" s="291"/>
      <c r="S14" s="292"/>
      <c r="T14" s="283"/>
      <c r="U14" s="39"/>
      <c r="V14" s="57"/>
      <c r="W14" s="196"/>
      <c r="X14" s="392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69"/>
      <c r="R15" s="291"/>
      <c r="S15" s="292"/>
      <c r="T15" s="283"/>
      <c r="U15" s="84"/>
      <c r="V15" s="57"/>
      <c r="W15" s="196"/>
      <c r="X15" s="392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69"/>
      <c r="R16" s="291"/>
      <c r="S16" s="292"/>
      <c r="T16" s="283"/>
      <c r="U16" s="39"/>
      <c r="V16" s="57"/>
      <c r="W16" s="196"/>
      <c r="X16" s="392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69"/>
      <c r="R17" s="291"/>
      <c r="S17" s="292"/>
      <c r="T17" s="283"/>
      <c r="U17" s="84"/>
      <c r="V17" s="57"/>
      <c r="W17" s="196"/>
      <c r="X17" s="392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69"/>
      <c r="R18" s="291"/>
      <c r="S18" s="292"/>
      <c r="T18" s="283"/>
      <c r="U18" s="39"/>
      <c r="V18" s="57"/>
      <c r="W18" s="196"/>
      <c r="X18" s="392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69"/>
      <c r="R19" s="291"/>
      <c r="S19" s="292"/>
      <c r="T19" s="283"/>
      <c r="U19" s="84"/>
      <c r="V19" s="57"/>
      <c r="W19" s="196"/>
      <c r="X19" s="392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69"/>
      <c r="R20" s="291"/>
      <c r="S20" s="292"/>
      <c r="T20" s="283"/>
      <c r="U20" s="39"/>
      <c r="V20" s="57"/>
      <c r="W20" s="196"/>
      <c r="X20" s="392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69"/>
      <c r="R21" s="291"/>
      <c r="S21" s="292"/>
      <c r="T21" s="283"/>
      <c r="U21" s="84"/>
      <c r="V21" s="57"/>
      <c r="W21" s="196"/>
      <c r="X21" s="392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69"/>
      <c r="R22" s="291"/>
      <c r="S22" s="292"/>
      <c r="T22" s="283"/>
      <c r="U22" s="39"/>
      <c r="V22" s="57"/>
      <c r="W22" s="196"/>
      <c r="X22" s="392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69"/>
      <c r="R23" s="291"/>
      <c r="S23" s="292"/>
      <c r="T23" s="283"/>
      <c r="U23" s="84"/>
      <c r="V23" s="57"/>
      <c r="W23" s="196"/>
      <c r="X23" s="392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69"/>
      <c r="R24" s="291"/>
      <c r="S24" s="292"/>
      <c r="T24" s="283"/>
      <c r="U24" s="39"/>
      <c r="V24" s="57"/>
      <c r="W24" s="196"/>
      <c r="X24" s="392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69"/>
      <c r="R25" s="291"/>
      <c r="S25" s="292"/>
      <c r="T25" s="283"/>
      <c r="U25" s="84"/>
      <c r="V25" s="57"/>
      <c r="W25" s="196"/>
      <c r="X25" s="392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69"/>
      <c r="R26" s="291"/>
      <c r="S26" s="292"/>
      <c r="T26" s="283"/>
      <c r="U26" s="39"/>
      <c r="V26" s="57"/>
      <c r="W26" s="196"/>
      <c r="X26" s="392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69"/>
      <c r="R27" s="291"/>
      <c r="S27" s="292"/>
      <c r="T27" s="283"/>
      <c r="U27" s="84"/>
      <c r="V27" s="57"/>
      <c r="W27" s="196"/>
      <c r="X27" s="392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69"/>
      <c r="R28" s="291"/>
      <c r="S28" s="292"/>
      <c r="T28" s="283"/>
      <c r="U28" s="39"/>
      <c r="V28" s="57"/>
      <c r="W28" s="196"/>
      <c r="X28" s="392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69"/>
      <c r="R29" s="291"/>
      <c r="S29" s="292"/>
      <c r="T29" s="283"/>
      <c r="U29" s="84"/>
      <c r="V29" s="57"/>
      <c r="W29" s="196"/>
      <c r="X29" s="392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69"/>
      <c r="R30" s="291"/>
      <c r="S30" s="292"/>
      <c r="T30" s="283"/>
      <c r="U30" s="39"/>
      <c r="V30" s="57"/>
      <c r="W30" s="196"/>
      <c r="X30" s="392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69"/>
      <c r="R31" s="291"/>
      <c r="S31" s="292"/>
      <c r="T31" s="283"/>
      <c r="U31" s="84"/>
      <c r="V31" s="57"/>
      <c r="W31" s="196"/>
      <c r="X31" s="392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69"/>
      <c r="R32" s="291"/>
      <c r="S32" s="292"/>
      <c r="T32" s="283"/>
      <c r="U32" s="39"/>
      <c r="V32" s="57"/>
      <c r="W32" s="196"/>
      <c r="X32" s="392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69"/>
      <c r="R33" s="291"/>
      <c r="S33" s="292"/>
      <c r="T33" s="283"/>
      <c r="U33" s="84"/>
      <c r="V33" s="57"/>
      <c r="W33" s="196"/>
      <c r="X33" s="392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69"/>
      <c r="R34" s="291"/>
      <c r="S34" s="292"/>
      <c r="T34" s="283"/>
      <c r="U34" s="39"/>
      <c r="V34" s="57"/>
      <c r="W34" s="196"/>
      <c r="X34" s="392"/>
    </row>
    <row r="35">
      <c r="A35" s="294">
        <v>31.0</v>
      </c>
      <c r="B35" s="293"/>
      <c r="C35" s="294" t="s">
        <v>290</v>
      </c>
      <c r="D35" s="124"/>
      <c r="E35" s="124"/>
      <c r="F35" s="124"/>
      <c r="G35" s="295"/>
      <c r="H35" s="295"/>
      <c r="I35" s="124"/>
      <c r="J35" s="295"/>
      <c r="K35" s="124"/>
      <c r="L35" s="296"/>
      <c r="M35" s="295"/>
      <c r="N35" s="297"/>
      <c r="O35" s="297"/>
      <c r="P35" s="295"/>
      <c r="Q35" s="293"/>
      <c r="R35" s="299"/>
      <c r="S35" s="300"/>
      <c r="T35" s="301"/>
      <c r="U35" s="302"/>
      <c r="V35" s="303"/>
      <c r="W35" s="304"/>
      <c r="X35" s="396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7">
    <mergeCell ref="B17:B18"/>
    <mergeCell ref="C17:C18"/>
    <mergeCell ref="B19:B20"/>
    <mergeCell ref="C19:C20"/>
    <mergeCell ref="B21:B22"/>
    <mergeCell ref="C21:C22"/>
    <mergeCell ref="C23:C24"/>
    <mergeCell ref="F29:F30"/>
    <mergeCell ref="F31:F32"/>
    <mergeCell ref="F33:F34"/>
    <mergeCell ref="B33:B34"/>
    <mergeCell ref="C33:C34"/>
    <mergeCell ref="B23:B24"/>
    <mergeCell ref="B25:B26"/>
    <mergeCell ref="B27:B28"/>
    <mergeCell ref="B29:B30"/>
    <mergeCell ref="C29:C30"/>
    <mergeCell ref="B31:B32"/>
    <mergeCell ref="C31:C32"/>
    <mergeCell ref="W2:W4"/>
    <mergeCell ref="X2:X4"/>
    <mergeCell ref="C5:C6"/>
    <mergeCell ref="D5:D6"/>
    <mergeCell ref="F5:F6"/>
    <mergeCell ref="U5:U6"/>
    <mergeCell ref="W5:W6"/>
    <mergeCell ref="B5:B6"/>
    <mergeCell ref="B7:B8"/>
    <mergeCell ref="C7:C8"/>
    <mergeCell ref="F7:F8"/>
    <mergeCell ref="B9:B10"/>
    <mergeCell ref="C9:C10"/>
    <mergeCell ref="F9:F10"/>
    <mergeCell ref="F13:F14"/>
    <mergeCell ref="F15:F16"/>
    <mergeCell ref="F17:F18"/>
    <mergeCell ref="F19:F20"/>
    <mergeCell ref="F21:F22"/>
    <mergeCell ref="F23:F24"/>
    <mergeCell ref="F25:F26"/>
    <mergeCell ref="F27:F28"/>
    <mergeCell ref="B11:B12"/>
    <mergeCell ref="C11:C12"/>
    <mergeCell ref="F11:F12"/>
    <mergeCell ref="B13:B14"/>
    <mergeCell ref="C13:C14"/>
    <mergeCell ref="B15:B16"/>
    <mergeCell ref="C15:C16"/>
    <mergeCell ref="U7:U8"/>
    <mergeCell ref="R9:R10"/>
    <mergeCell ref="S9:S10"/>
    <mergeCell ref="U9:U10"/>
    <mergeCell ref="S11:S12"/>
    <mergeCell ref="U11:U12"/>
    <mergeCell ref="U13:U14"/>
    <mergeCell ref="C25:C26"/>
    <mergeCell ref="C27:C28"/>
    <mergeCell ref="U29:U30"/>
    <mergeCell ref="U31:U32"/>
    <mergeCell ref="U33:U34"/>
    <mergeCell ref="U15:U16"/>
    <mergeCell ref="U17:U18"/>
    <mergeCell ref="U19:U20"/>
    <mergeCell ref="U21:U22"/>
    <mergeCell ref="U23:U24"/>
    <mergeCell ref="U25:U26"/>
    <mergeCell ref="U27:U28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7.0"/>
    <col customWidth="1" min="25" max="25" width="1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1176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  <c r="Y2" s="154" t="s">
        <v>1177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  <c r="Y3" s="158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  <c r="Y4" s="162"/>
    </row>
    <row r="5">
      <c r="A5" s="60">
        <v>1.0</v>
      </c>
      <c r="B5" s="84"/>
      <c r="C5" s="84"/>
      <c r="D5" s="42">
        <v>1.0</v>
      </c>
      <c r="E5" s="43">
        <v>1.0</v>
      </c>
      <c r="F5" s="42" t="s">
        <v>1178</v>
      </c>
      <c r="G5" s="45" t="s">
        <v>115</v>
      </c>
      <c r="H5" s="45" t="s">
        <v>1179</v>
      </c>
      <c r="I5" s="43" t="s">
        <v>1180</v>
      </c>
      <c r="J5" s="45"/>
      <c r="K5" s="46" t="s">
        <v>57</v>
      </c>
      <c r="L5" s="47">
        <v>20591.0</v>
      </c>
      <c r="M5" s="45" t="s">
        <v>1181</v>
      </c>
      <c r="N5" s="47">
        <v>44985.0</v>
      </c>
      <c r="O5" s="47">
        <v>48638.0</v>
      </c>
      <c r="P5" s="43" t="s">
        <v>1182</v>
      </c>
      <c r="Q5" s="43"/>
      <c r="R5" s="49">
        <v>46144.0</v>
      </c>
      <c r="S5" s="50" t="s">
        <v>1183</v>
      </c>
      <c r="T5" s="51">
        <v>1190000.0</v>
      </c>
      <c r="U5" s="42" t="s">
        <v>51</v>
      </c>
      <c r="V5" s="52"/>
      <c r="W5" s="397" t="s">
        <v>1184</v>
      </c>
      <c r="X5" s="398"/>
      <c r="Y5" s="399" t="s">
        <v>1185</v>
      </c>
    </row>
    <row r="6">
      <c r="A6" s="60">
        <v>2.0</v>
      </c>
      <c r="B6" s="39"/>
      <c r="C6" s="39"/>
      <c r="D6" s="39"/>
      <c r="E6" s="43">
        <v>1.0</v>
      </c>
      <c r="F6" s="39"/>
      <c r="G6" s="45" t="s">
        <v>661</v>
      </c>
      <c r="H6" s="45" t="s">
        <v>1186</v>
      </c>
      <c r="I6" s="43" t="s">
        <v>1187</v>
      </c>
      <c r="J6" s="45"/>
      <c r="K6" s="46" t="s">
        <v>47</v>
      </c>
      <c r="L6" s="47">
        <v>19018.0</v>
      </c>
      <c r="M6" s="45" t="s">
        <v>1188</v>
      </c>
      <c r="N6" s="47">
        <v>43374.0</v>
      </c>
      <c r="O6" s="47">
        <v>47027.0</v>
      </c>
      <c r="P6" s="43" t="s">
        <v>1189</v>
      </c>
      <c r="Q6" s="43"/>
      <c r="R6" s="56"/>
      <c r="S6" s="39"/>
      <c r="T6" s="51">
        <v>1190000.0</v>
      </c>
      <c r="U6" s="39"/>
      <c r="V6" s="57"/>
      <c r="W6" s="56"/>
      <c r="X6" s="400"/>
      <c r="Y6" s="401" t="s">
        <v>1185</v>
      </c>
    </row>
    <row r="7">
      <c r="A7" s="60">
        <v>3.0</v>
      </c>
      <c r="B7" s="84"/>
      <c r="C7" s="84"/>
      <c r="D7" s="43"/>
      <c r="E7" s="43"/>
      <c r="F7" s="42"/>
      <c r="G7" s="68"/>
      <c r="H7" s="68"/>
      <c r="I7" s="69"/>
      <c r="J7" s="68"/>
      <c r="K7" s="46"/>
      <c r="L7" s="71"/>
      <c r="M7" s="68"/>
      <c r="N7" s="71"/>
      <c r="O7" s="71"/>
      <c r="P7" s="69"/>
      <c r="Q7" s="43"/>
      <c r="R7" s="64"/>
      <c r="S7" s="72"/>
      <c r="T7" s="51"/>
      <c r="U7" s="42"/>
      <c r="V7" s="52"/>
      <c r="W7" s="186"/>
      <c r="X7" s="402"/>
      <c r="Y7" s="403"/>
    </row>
    <row r="8">
      <c r="A8" s="60">
        <v>4.0</v>
      </c>
      <c r="B8" s="39"/>
      <c r="C8" s="39"/>
      <c r="D8" s="43"/>
      <c r="E8" s="43"/>
      <c r="F8" s="39"/>
      <c r="G8" s="68"/>
      <c r="H8" s="68"/>
      <c r="I8" s="69"/>
      <c r="J8" s="68"/>
      <c r="K8" s="46"/>
      <c r="L8" s="71"/>
      <c r="M8" s="68"/>
      <c r="N8" s="71"/>
      <c r="O8" s="71"/>
      <c r="P8" s="69"/>
      <c r="Q8" s="43"/>
      <c r="R8" s="64"/>
      <c r="S8" s="72"/>
      <c r="T8" s="51"/>
      <c r="U8" s="39"/>
      <c r="V8" s="57"/>
      <c r="W8" s="186"/>
      <c r="X8" s="402"/>
      <c r="Y8" s="403"/>
    </row>
    <row r="9">
      <c r="A9" s="60">
        <v>5.0</v>
      </c>
      <c r="B9" s="84"/>
      <c r="C9" s="84"/>
      <c r="D9" s="69"/>
      <c r="E9" s="69"/>
      <c r="F9" s="84"/>
      <c r="G9" s="68"/>
      <c r="H9" s="68"/>
      <c r="I9" s="69"/>
      <c r="J9" s="68"/>
      <c r="K9" s="46" t="str">
        <f t="shared" ref="K9:K34" si="1">IF(MOD(MID(J9,8,1),2)=1,"M","F")</f>
        <v>F</v>
      </c>
      <c r="L9" s="71"/>
      <c r="M9" s="68"/>
      <c r="N9" s="71"/>
      <c r="O9" s="71"/>
      <c r="P9" s="69"/>
      <c r="Q9" s="57"/>
      <c r="R9" s="404"/>
      <c r="S9" s="405"/>
      <c r="T9" s="406"/>
      <c r="U9" s="42"/>
      <c r="V9" s="57"/>
      <c r="W9" s="196"/>
      <c r="X9" s="402"/>
      <c r="Y9" s="403"/>
    </row>
    <row r="10">
      <c r="A10" s="60">
        <v>6.0</v>
      </c>
      <c r="B10" s="39"/>
      <c r="C10" s="39"/>
      <c r="D10" s="69"/>
      <c r="E10" s="69"/>
      <c r="F10" s="39"/>
      <c r="G10" s="68"/>
      <c r="H10" s="68"/>
      <c r="I10" s="69"/>
      <c r="J10" s="68"/>
      <c r="K10" s="46" t="str">
        <f t="shared" si="1"/>
        <v>F</v>
      </c>
      <c r="L10" s="71"/>
      <c r="M10" s="69"/>
      <c r="N10" s="71"/>
      <c r="O10" s="71"/>
      <c r="P10" s="69"/>
      <c r="Q10" s="57"/>
      <c r="R10" s="404"/>
      <c r="S10" s="407"/>
      <c r="T10" s="406"/>
      <c r="U10" s="39"/>
      <c r="V10" s="57"/>
      <c r="W10" s="196"/>
      <c r="X10" s="402"/>
      <c r="Y10" s="403"/>
    </row>
    <row r="11">
      <c r="A11" s="60">
        <v>7.0</v>
      </c>
      <c r="B11" s="84"/>
      <c r="C11" s="84"/>
      <c r="D11" s="69"/>
      <c r="E11" s="69"/>
      <c r="F11" s="84"/>
      <c r="G11" s="68"/>
      <c r="H11" s="68"/>
      <c r="I11" s="69"/>
      <c r="J11" s="68"/>
      <c r="K11" s="46" t="str">
        <f t="shared" si="1"/>
        <v>F</v>
      </c>
      <c r="L11" s="71"/>
      <c r="M11" s="68"/>
      <c r="N11" s="71"/>
      <c r="O11" s="71"/>
      <c r="P11" s="69"/>
      <c r="Q11" s="69"/>
      <c r="R11" s="408"/>
      <c r="S11" s="409"/>
      <c r="T11" s="410"/>
      <c r="U11" s="42"/>
      <c r="V11" s="48"/>
      <c r="W11" s="186"/>
      <c r="X11" s="402"/>
      <c r="Y11" s="403"/>
    </row>
    <row r="12">
      <c r="A12" s="60">
        <v>8.0</v>
      </c>
      <c r="B12" s="39"/>
      <c r="C12" s="39"/>
      <c r="D12" s="69"/>
      <c r="E12" s="69"/>
      <c r="F12" s="39"/>
      <c r="G12" s="68"/>
      <c r="H12" s="68"/>
      <c r="I12" s="69"/>
      <c r="J12" s="68"/>
      <c r="K12" s="46" t="str">
        <f t="shared" si="1"/>
        <v>F</v>
      </c>
      <c r="L12" s="71"/>
      <c r="M12" s="68"/>
      <c r="N12" s="71"/>
      <c r="O12" s="71"/>
      <c r="P12" s="69"/>
      <c r="Q12" s="69"/>
      <c r="R12" s="408"/>
      <c r="S12" s="409"/>
      <c r="T12" s="410"/>
      <c r="U12" s="39"/>
      <c r="V12" s="48"/>
      <c r="W12" s="186"/>
      <c r="X12" s="402"/>
      <c r="Y12" s="403"/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69"/>
      <c r="R13" s="404"/>
      <c r="S13" s="411"/>
      <c r="T13" s="406"/>
      <c r="U13" s="84"/>
      <c r="V13" s="57"/>
      <c r="W13" s="196"/>
      <c r="X13" s="402"/>
      <c r="Y13" s="403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69"/>
      <c r="R14" s="404"/>
      <c r="S14" s="412"/>
      <c r="T14" s="406"/>
      <c r="U14" s="39"/>
      <c r="V14" s="57"/>
      <c r="W14" s="196"/>
      <c r="X14" s="402"/>
      <c r="Y14" s="403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69"/>
      <c r="R15" s="404"/>
      <c r="S15" s="412"/>
      <c r="T15" s="406"/>
      <c r="U15" s="84"/>
      <c r="V15" s="57"/>
      <c r="W15" s="196"/>
      <c r="X15" s="402"/>
      <c r="Y15" s="403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69"/>
      <c r="R16" s="404"/>
      <c r="S16" s="412"/>
      <c r="T16" s="406"/>
      <c r="U16" s="39"/>
      <c r="V16" s="57"/>
      <c r="W16" s="196"/>
      <c r="X16" s="402"/>
      <c r="Y16" s="403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69"/>
      <c r="R17" s="404"/>
      <c r="S17" s="412"/>
      <c r="T17" s="406"/>
      <c r="U17" s="84"/>
      <c r="V17" s="57"/>
      <c r="W17" s="196"/>
      <c r="X17" s="402"/>
      <c r="Y17" s="403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69"/>
      <c r="R18" s="404"/>
      <c r="S18" s="412"/>
      <c r="T18" s="406"/>
      <c r="U18" s="39"/>
      <c r="V18" s="57"/>
      <c r="W18" s="196"/>
      <c r="X18" s="402"/>
      <c r="Y18" s="403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69"/>
      <c r="R19" s="404"/>
      <c r="S19" s="412"/>
      <c r="T19" s="406"/>
      <c r="U19" s="84"/>
      <c r="V19" s="57"/>
      <c r="W19" s="196"/>
      <c r="X19" s="402"/>
      <c r="Y19" s="403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69"/>
      <c r="R20" s="404"/>
      <c r="S20" s="412"/>
      <c r="T20" s="406"/>
      <c r="U20" s="39"/>
      <c r="V20" s="57"/>
      <c r="W20" s="196"/>
      <c r="X20" s="402"/>
      <c r="Y20" s="403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69"/>
      <c r="R21" s="404"/>
      <c r="S21" s="412"/>
      <c r="T21" s="406"/>
      <c r="U21" s="84"/>
      <c r="V21" s="57"/>
      <c r="W21" s="196"/>
      <c r="X21" s="402"/>
      <c r="Y21" s="403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69"/>
      <c r="R22" s="404"/>
      <c r="S22" s="412"/>
      <c r="T22" s="406"/>
      <c r="U22" s="39"/>
      <c r="V22" s="57"/>
      <c r="W22" s="196"/>
      <c r="X22" s="402"/>
      <c r="Y22" s="403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69"/>
      <c r="R23" s="404"/>
      <c r="S23" s="412"/>
      <c r="T23" s="406"/>
      <c r="U23" s="84"/>
      <c r="V23" s="57"/>
      <c r="W23" s="196"/>
      <c r="X23" s="402"/>
      <c r="Y23" s="403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69"/>
      <c r="R24" s="404"/>
      <c r="S24" s="412"/>
      <c r="T24" s="406"/>
      <c r="U24" s="39"/>
      <c r="V24" s="57"/>
      <c r="W24" s="196"/>
      <c r="X24" s="402"/>
      <c r="Y24" s="403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69"/>
      <c r="R25" s="404"/>
      <c r="S25" s="412"/>
      <c r="T25" s="406"/>
      <c r="U25" s="84"/>
      <c r="V25" s="57"/>
      <c r="W25" s="196"/>
      <c r="X25" s="402"/>
      <c r="Y25" s="403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69"/>
      <c r="R26" s="404"/>
      <c r="S26" s="412"/>
      <c r="T26" s="406"/>
      <c r="U26" s="39"/>
      <c r="V26" s="57"/>
      <c r="W26" s="196"/>
      <c r="X26" s="402"/>
      <c r="Y26" s="403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69"/>
      <c r="R27" s="404"/>
      <c r="S27" s="412"/>
      <c r="T27" s="406"/>
      <c r="U27" s="84"/>
      <c r="V27" s="57"/>
      <c r="W27" s="196"/>
      <c r="X27" s="402"/>
      <c r="Y27" s="403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69"/>
      <c r="R28" s="404"/>
      <c r="S28" s="412"/>
      <c r="T28" s="406"/>
      <c r="U28" s="39"/>
      <c r="V28" s="57"/>
      <c r="W28" s="196"/>
      <c r="X28" s="402"/>
      <c r="Y28" s="403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69"/>
      <c r="R29" s="404"/>
      <c r="S29" s="412"/>
      <c r="T29" s="406"/>
      <c r="U29" s="84"/>
      <c r="V29" s="57"/>
      <c r="W29" s="196"/>
      <c r="X29" s="402"/>
      <c r="Y29" s="403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69"/>
      <c r="R30" s="404"/>
      <c r="S30" s="412"/>
      <c r="T30" s="406"/>
      <c r="U30" s="39"/>
      <c r="V30" s="57"/>
      <c r="W30" s="196"/>
      <c r="X30" s="402"/>
      <c r="Y30" s="403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69"/>
      <c r="R31" s="404"/>
      <c r="S31" s="412"/>
      <c r="T31" s="406"/>
      <c r="U31" s="84"/>
      <c r="V31" s="57"/>
      <c r="W31" s="196"/>
      <c r="X31" s="402"/>
      <c r="Y31" s="403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69"/>
      <c r="R32" s="404"/>
      <c r="S32" s="412"/>
      <c r="T32" s="406"/>
      <c r="U32" s="39"/>
      <c r="V32" s="57"/>
      <c r="W32" s="196"/>
      <c r="X32" s="402"/>
      <c r="Y32" s="403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69"/>
      <c r="R33" s="404"/>
      <c r="S33" s="412"/>
      <c r="T33" s="406"/>
      <c r="U33" s="84"/>
      <c r="V33" s="57"/>
      <c r="W33" s="196"/>
      <c r="X33" s="402"/>
      <c r="Y33" s="403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69"/>
      <c r="R34" s="404"/>
      <c r="S34" s="412"/>
      <c r="T34" s="406"/>
      <c r="U34" s="39"/>
      <c r="V34" s="57"/>
      <c r="W34" s="196"/>
      <c r="X34" s="402"/>
      <c r="Y34" s="403"/>
    </row>
    <row r="35">
      <c r="A35" s="294">
        <v>31.0</v>
      </c>
      <c r="B35" s="413"/>
      <c r="C35" s="60" t="s">
        <v>290</v>
      </c>
      <c r="D35" s="413"/>
      <c r="E35" s="413"/>
      <c r="F35" s="413"/>
      <c r="G35" s="414"/>
      <c r="H35" s="414"/>
      <c r="I35" s="413"/>
      <c r="J35" s="414"/>
      <c r="K35" s="413"/>
      <c r="L35" s="415"/>
      <c r="M35" s="414"/>
      <c r="N35" s="416"/>
      <c r="O35" s="416"/>
      <c r="P35" s="414"/>
      <c r="Q35" s="413"/>
      <c r="R35" s="417"/>
      <c r="S35" s="418"/>
      <c r="T35" s="419"/>
      <c r="U35" s="420"/>
      <c r="V35" s="421"/>
      <c r="W35" s="422"/>
      <c r="X35" s="421"/>
      <c r="Y35" s="423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8">
    <mergeCell ref="B23:B24"/>
    <mergeCell ref="B25:B26"/>
    <mergeCell ref="F25:F26"/>
    <mergeCell ref="F27:F28"/>
    <mergeCell ref="F29:F30"/>
    <mergeCell ref="F31:F32"/>
    <mergeCell ref="B17:B18"/>
    <mergeCell ref="C17:C18"/>
    <mergeCell ref="B19:B20"/>
    <mergeCell ref="C19:C20"/>
    <mergeCell ref="B21:B22"/>
    <mergeCell ref="C21:C22"/>
    <mergeCell ref="C23:C24"/>
    <mergeCell ref="B33:B34"/>
    <mergeCell ref="C33:C34"/>
    <mergeCell ref="F33:F34"/>
    <mergeCell ref="C25:C26"/>
    <mergeCell ref="B27:B28"/>
    <mergeCell ref="C27:C28"/>
    <mergeCell ref="B29:B30"/>
    <mergeCell ref="C29:C30"/>
    <mergeCell ref="B31:B32"/>
    <mergeCell ref="C31:C32"/>
    <mergeCell ref="W2:W4"/>
    <mergeCell ref="W5:W6"/>
    <mergeCell ref="X2:X4"/>
    <mergeCell ref="Y2:Y4"/>
    <mergeCell ref="C5:C6"/>
    <mergeCell ref="D5:D6"/>
    <mergeCell ref="F5:F6"/>
    <mergeCell ref="U5:U6"/>
    <mergeCell ref="X5:X6"/>
    <mergeCell ref="B5:B6"/>
    <mergeCell ref="B7:B8"/>
    <mergeCell ref="C7:C8"/>
    <mergeCell ref="F7:F8"/>
    <mergeCell ref="B9:B10"/>
    <mergeCell ref="C9:C10"/>
    <mergeCell ref="F9:F10"/>
    <mergeCell ref="F13:F14"/>
    <mergeCell ref="F15:F16"/>
    <mergeCell ref="F17:F18"/>
    <mergeCell ref="F19:F20"/>
    <mergeCell ref="F21:F22"/>
    <mergeCell ref="F23:F24"/>
    <mergeCell ref="B11:B12"/>
    <mergeCell ref="C11:C12"/>
    <mergeCell ref="F11:F12"/>
    <mergeCell ref="B13:B14"/>
    <mergeCell ref="C13:C14"/>
    <mergeCell ref="B15:B16"/>
    <mergeCell ref="C15:C16"/>
    <mergeCell ref="R5:R6"/>
    <mergeCell ref="S5:S6"/>
    <mergeCell ref="U7:U8"/>
    <mergeCell ref="U9:U10"/>
    <mergeCell ref="U11:U12"/>
    <mergeCell ref="U13:U14"/>
    <mergeCell ref="U15:U16"/>
    <mergeCell ref="U31:U32"/>
    <mergeCell ref="U33:U34"/>
    <mergeCell ref="U17:U18"/>
    <mergeCell ref="U19:U20"/>
    <mergeCell ref="U21:U22"/>
    <mergeCell ref="U23:U24"/>
    <mergeCell ref="U25:U26"/>
    <mergeCell ref="U27:U28"/>
    <mergeCell ref="U29:U30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2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1176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</row>
    <row r="5">
      <c r="A5" s="60">
        <v>1.0</v>
      </c>
      <c r="B5" s="84"/>
      <c r="C5" s="84"/>
      <c r="D5" s="43"/>
      <c r="E5" s="43"/>
      <c r="F5" s="42" t="s">
        <v>43</v>
      </c>
      <c r="G5" s="340" t="s">
        <v>44</v>
      </c>
      <c r="H5" s="340" t="s">
        <v>1190</v>
      </c>
      <c r="I5" s="424" t="s">
        <v>1191</v>
      </c>
      <c r="J5" s="45"/>
      <c r="K5" s="46" t="s">
        <v>57</v>
      </c>
      <c r="L5" s="425">
        <v>14823.0</v>
      </c>
      <c r="M5" s="340" t="s">
        <v>1192</v>
      </c>
      <c r="N5" s="426">
        <v>44726.0</v>
      </c>
      <c r="O5" s="426">
        <v>46521.0</v>
      </c>
      <c r="P5" s="69"/>
      <c r="Q5" s="43"/>
      <c r="R5" s="388">
        <v>46152.0</v>
      </c>
      <c r="S5" s="389" t="s">
        <v>514</v>
      </c>
      <c r="T5" s="282">
        <v>1890000.0</v>
      </c>
      <c r="U5" s="42" t="s">
        <v>75</v>
      </c>
      <c r="V5" s="52"/>
      <c r="W5" s="310"/>
      <c r="X5" s="427"/>
    </row>
    <row r="6">
      <c r="A6" s="60">
        <v>2.0</v>
      </c>
      <c r="B6" s="39"/>
      <c r="C6" s="39"/>
      <c r="D6" s="43"/>
      <c r="E6" s="43"/>
      <c r="F6" s="39"/>
      <c r="G6" s="340" t="s">
        <v>44</v>
      </c>
      <c r="H6" s="340" t="s">
        <v>1193</v>
      </c>
      <c r="I6" s="424" t="s">
        <v>1194</v>
      </c>
      <c r="J6" s="45"/>
      <c r="K6" s="46" t="s">
        <v>57</v>
      </c>
      <c r="L6" s="425">
        <v>18451.0</v>
      </c>
      <c r="M6" s="340" t="s">
        <v>1195</v>
      </c>
      <c r="N6" s="426">
        <v>45953.0</v>
      </c>
      <c r="O6" s="426">
        <v>49605.0</v>
      </c>
      <c r="P6" s="43"/>
      <c r="Q6" s="43"/>
      <c r="R6" s="388">
        <v>46152.0</v>
      </c>
      <c r="S6" s="389" t="s">
        <v>514</v>
      </c>
      <c r="T6" s="282">
        <v>1890000.0</v>
      </c>
      <c r="U6" s="39"/>
      <c r="V6" s="57"/>
      <c r="W6" s="80"/>
      <c r="X6" s="392"/>
    </row>
    <row r="7">
      <c r="A7" s="60">
        <v>3.0</v>
      </c>
      <c r="B7" s="84"/>
      <c r="C7" s="84"/>
      <c r="D7" s="43"/>
      <c r="E7" s="43"/>
      <c r="F7" s="42" t="s">
        <v>43</v>
      </c>
      <c r="G7" s="340" t="s">
        <v>44</v>
      </c>
      <c r="H7" s="340" t="s">
        <v>1196</v>
      </c>
      <c r="I7" s="424" t="s">
        <v>1197</v>
      </c>
      <c r="J7" s="68"/>
      <c r="K7" s="46" t="s">
        <v>47</v>
      </c>
      <c r="L7" s="425">
        <v>17373.0</v>
      </c>
      <c r="M7" s="340" t="s">
        <v>1198</v>
      </c>
      <c r="N7" s="426">
        <v>43845.0</v>
      </c>
      <c r="O7" s="426">
        <v>47498.0</v>
      </c>
      <c r="P7" s="43" t="s">
        <v>1199</v>
      </c>
      <c r="Q7" s="43"/>
      <c r="R7" s="388">
        <v>46152.0</v>
      </c>
      <c r="S7" s="389" t="s">
        <v>514</v>
      </c>
      <c r="T7" s="282">
        <v>1890000.0</v>
      </c>
      <c r="U7" s="42" t="s">
        <v>75</v>
      </c>
      <c r="V7" s="52"/>
      <c r="W7" s="80"/>
      <c r="X7" s="392"/>
    </row>
    <row r="8">
      <c r="A8" s="60">
        <v>4.0</v>
      </c>
      <c r="B8" s="39"/>
      <c r="C8" s="39"/>
      <c r="D8" s="43"/>
      <c r="E8" s="43"/>
      <c r="F8" s="39"/>
      <c r="G8" s="340" t="s">
        <v>44</v>
      </c>
      <c r="H8" s="340" t="s">
        <v>1200</v>
      </c>
      <c r="I8" s="424" t="s">
        <v>1197</v>
      </c>
      <c r="J8" s="68"/>
      <c r="K8" s="46" t="s">
        <v>47</v>
      </c>
      <c r="L8" s="76">
        <v>19739.0</v>
      </c>
      <c r="M8" s="340" t="s">
        <v>1201</v>
      </c>
      <c r="N8" s="426">
        <v>43717.0</v>
      </c>
      <c r="O8" s="426">
        <v>47370.0</v>
      </c>
      <c r="P8" s="69"/>
      <c r="Q8" s="43"/>
      <c r="R8" s="388">
        <v>46152.0</v>
      </c>
      <c r="S8" s="389" t="s">
        <v>514</v>
      </c>
      <c r="T8" s="282">
        <v>1890000.0</v>
      </c>
      <c r="U8" s="39"/>
      <c r="V8" s="57"/>
      <c r="W8" s="56"/>
      <c r="X8" s="392"/>
    </row>
    <row r="9">
      <c r="A9" s="60">
        <v>5.0</v>
      </c>
      <c r="B9" s="84"/>
      <c r="C9" s="84"/>
      <c r="D9" s="69"/>
      <c r="E9" s="69"/>
      <c r="F9" s="42" t="s">
        <v>43</v>
      </c>
      <c r="G9" s="340" t="s">
        <v>44</v>
      </c>
      <c r="H9" s="340" t="s">
        <v>1202</v>
      </c>
      <c r="I9" s="424" t="s">
        <v>1203</v>
      </c>
      <c r="J9" s="68"/>
      <c r="K9" s="46" t="s">
        <v>47</v>
      </c>
      <c r="L9" s="76">
        <v>24559.0</v>
      </c>
      <c r="M9" s="340" t="s">
        <v>1204</v>
      </c>
      <c r="N9" s="426">
        <v>46091.0</v>
      </c>
      <c r="O9" s="426">
        <v>49744.0</v>
      </c>
      <c r="P9" s="43" t="s">
        <v>1205</v>
      </c>
      <c r="Q9" s="57"/>
      <c r="R9" s="428">
        <v>46153.0</v>
      </c>
      <c r="S9" s="389" t="s">
        <v>514</v>
      </c>
      <c r="T9" s="429">
        <v>1890000.0</v>
      </c>
      <c r="U9" s="42" t="s">
        <v>75</v>
      </c>
      <c r="V9" s="57"/>
      <c r="W9" s="196"/>
      <c r="X9" s="392"/>
    </row>
    <row r="10">
      <c r="A10" s="60">
        <v>6.0</v>
      </c>
      <c r="B10" s="39"/>
      <c r="C10" s="39"/>
      <c r="D10" s="69"/>
      <c r="E10" s="69"/>
      <c r="F10" s="39"/>
      <c r="G10" s="340" t="s">
        <v>31</v>
      </c>
      <c r="H10" s="340" t="s">
        <v>1206</v>
      </c>
      <c r="I10" s="424" t="s">
        <v>1207</v>
      </c>
      <c r="J10" s="68"/>
      <c r="K10" s="46" t="str">
        <f>IF(MOD(MID(J10,8,1),2)=1,"M","F")</f>
        <v>F</v>
      </c>
      <c r="L10" s="76">
        <v>25402.0</v>
      </c>
      <c r="M10" s="340" t="s">
        <v>1208</v>
      </c>
      <c r="N10" s="426">
        <v>45736.0</v>
      </c>
      <c r="O10" s="426">
        <v>49388.0</v>
      </c>
      <c r="P10" s="69"/>
      <c r="Q10" s="57"/>
      <c r="R10" s="428">
        <v>46153.0</v>
      </c>
      <c r="S10" s="389" t="s">
        <v>514</v>
      </c>
      <c r="T10" s="429">
        <v>1890000.0</v>
      </c>
      <c r="U10" s="39"/>
      <c r="V10" s="57"/>
      <c r="W10" s="196"/>
      <c r="X10" s="392"/>
    </row>
    <row r="11">
      <c r="A11" s="60">
        <v>7.0</v>
      </c>
      <c r="B11" s="84"/>
      <c r="C11" s="84"/>
      <c r="D11" s="69"/>
      <c r="E11" s="69"/>
      <c r="F11" s="42" t="s">
        <v>43</v>
      </c>
      <c r="G11" s="340" t="s">
        <v>31</v>
      </c>
      <c r="H11" s="340" t="s">
        <v>1209</v>
      </c>
      <c r="I11" s="430" t="s">
        <v>1210</v>
      </c>
      <c r="J11" s="68"/>
      <c r="K11" s="46" t="s">
        <v>47</v>
      </c>
      <c r="L11" s="76">
        <v>29248.0</v>
      </c>
      <c r="M11" s="340" t="s">
        <v>1211</v>
      </c>
      <c r="N11" s="426">
        <v>45827.0</v>
      </c>
      <c r="O11" s="426">
        <v>49479.0</v>
      </c>
      <c r="P11" s="220" t="s">
        <v>1212</v>
      </c>
      <c r="Q11" s="69"/>
      <c r="R11" s="291"/>
      <c r="S11" s="431" t="s">
        <v>228</v>
      </c>
      <c r="T11" s="429">
        <v>1890000.0</v>
      </c>
      <c r="U11" s="42" t="s">
        <v>75</v>
      </c>
      <c r="V11" s="48"/>
      <c r="W11" s="186"/>
      <c r="X11" s="432" t="s">
        <v>42</v>
      </c>
    </row>
    <row r="12">
      <c r="A12" s="60">
        <v>8.0</v>
      </c>
      <c r="B12" s="39"/>
      <c r="C12" s="39"/>
      <c r="D12" s="69"/>
      <c r="E12" s="69"/>
      <c r="F12" s="39"/>
      <c r="G12" s="340" t="s">
        <v>44</v>
      </c>
      <c r="H12" s="340" t="s">
        <v>1213</v>
      </c>
      <c r="I12" s="424" t="s">
        <v>1214</v>
      </c>
      <c r="J12" s="68"/>
      <c r="K12" s="46" t="str">
        <f t="shared" ref="K12:K34" si="1">IF(MOD(MID(J12,8,1),2)=1,"M","F")</f>
        <v>F</v>
      </c>
      <c r="L12" s="76">
        <v>30643.0</v>
      </c>
      <c r="M12" s="340" t="s">
        <v>1215</v>
      </c>
      <c r="N12" s="426">
        <v>45828.0</v>
      </c>
      <c r="O12" s="426">
        <v>49480.0</v>
      </c>
      <c r="P12" s="426"/>
      <c r="Q12" s="69"/>
      <c r="R12" s="291"/>
      <c r="S12" s="431" t="s">
        <v>228</v>
      </c>
      <c r="T12" s="429">
        <v>1890000.0</v>
      </c>
      <c r="U12" s="39"/>
      <c r="V12" s="48"/>
      <c r="W12" s="186"/>
      <c r="X12" s="432" t="s">
        <v>1216</v>
      </c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69"/>
      <c r="R13" s="291"/>
      <c r="S13" s="292"/>
      <c r="T13" s="283"/>
      <c r="U13" s="84"/>
      <c r="V13" s="57"/>
      <c r="W13" s="196"/>
      <c r="X13" s="392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69"/>
      <c r="R14" s="291"/>
      <c r="S14" s="292"/>
      <c r="T14" s="283"/>
      <c r="U14" s="39"/>
      <c r="V14" s="57"/>
      <c r="W14" s="196"/>
      <c r="X14" s="392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69"/>
      <c r="R15" s="291"/>
      <c r="S15" s="292"/>
      <c r="T15" s="283"/>
      <c r="U15" s="84"/>
      <c r="V15" s="57"/>
      <c r="W15" s="196"/>
      <c r="X15" s="392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69"/>
      <c r="R16" s="291"/>
      <c r="S16" s="292"/>
      <c r="T16" s="283"/>
      <c r="U16" s="39"/>
      <c r="V16" s="57"/>
      <c r="W16" s="196"/>
      <c r="X16" s="392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69"/>
      <c r="R17" s="291"/>
      <c r="S17" s="292"/>
      <c r="T17" s="283"/>
      <c r="U17" s="84"/>
      <c r="V17" s="57"/>
      <c r="W17" s="196"/>
      <c r="X17" s="392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69"/>
      <c r="R18" s="291"/>
      <c r="S18" s="292"/>
      <c r="T18" s="283"/>
      <c r="U18" s="39"/>
      <c r="V18" s="57"/>
      <c r="W18" s="196"/>
      <c r="X18" s="392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69"/>
      <c r="R19" s="291"/>
      <c r="S19" s="292"/>
      <c r="T19" s="283"/>
      <c r="U19" s="84"/>
      <c r="V19" s="57"/>
      <c r="W19" s="196"/>
      <c r="X19" s="392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69"/>
      <c r="R20" s="291"/>
      <c r="S20" s="292"/>
      <c r="T20" s="283"/>
      <c r="U20" s="39"/>
      <c r="V20" s="57"/>
      <c r="W20" s="196"/>
      <c r="X20" s="392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69"/>
      <c r="R21" s="291"/>
      <c r="S21" s="292"/>
      <c r="T21" s="283"/>
      <c r="U21" s="84"/>
      <c r="V21" s="57"/>
      <c r="W21" s="196"/>
      <c r="X21" s="392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69"/>
      <c r="R22" s="291"/>
      <c r="S22" s="292"/>
      <c r="T22" s="283"/>
      <c r="U22" s="39"/>
      <c r="V22" s="57"/>
      <c r="W22" s="196"/>
      <c r="X22" s="392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69"/>
      <c r="R23" s="291"/>
      <c r="S23" s="292"/>
      <c r="T23" s="283"/>
      <c r="U23" s="84"/>
      <c r="V23" s="57"/>
      <c r="W23" s="196"/>
      <c r="X23" s="392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69"/>
      <c r="R24" s="291"/>
      <c r="S24" s="292"/>
      <c r="T24" s="283"/>
      <c r="U24" s="39"/>
      <c r="V24" s="57"/>
      <c r="W24" s="196"/>
      <c r="X24" s="392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69"/>
      <c r="R25" s="291"/>
      <c r="S25" s="292"/>
      <c r="T25" s="283"/>
      <c r="U25" s="84"/>
      <c r="V25" s="57"/>
      <c r="W25" s="196"/>
      <c r="X25" s="392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69"/>
      <c r="R26" s="291"/>
      <c r="S26" s="292"/>
      <c r="T26" s="283"/>
      <c r="U26" s="39"/>
      <c r="V26" s="57"/>
      <c r="W26" s="196"/>
      <c r="X26" s="392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69"/>
      <c r="R27" s="291"/>
      <c r="S27" s="292"/>
      <c r="T27" s="283"/>
      <c r="U27" s="84"/>
      <c r="V27" s="57"/>
      <c r="W27" s="196"/>
      <c r="X27" s="392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69"/>
      <c r="R28" s="291"/>
      <c r="S28" s="292"/>
      <c r="T28" s="283"/>
      <c r="U28" s="39"/>
      <c r="V28" s="57"/>
      <c r="W28" s="196"/>
      <c r="X28" s="392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69"/>
      <c r="R29" s="291"/>
      <c r="S29" s="292"/>
      <c r="T29" s="283"/>
      <c r="U29" s="84"/>
      <c r="V29" s="57"/>
      <c r="W29" s="196"/>
      <c r="X29" s="392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69"/>
      <c r="R30" s="291"/>
      <c r="S30" s="292"/>
      <c r="T30" s="283"/>
      <c r="U30" s="39"/>
      <c r="V30" s="57"/>
      <c r="W30" s="196"/>
      <c r="X30" s="392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69"/>
      <c r="R31" s="291"/>
      <c r="S31" s="292"/>
      <c r="T31" s="283"/>
      <c r="U31" s="84"/>
      <c r="V31" s="57"/>
      <c r="W31" s="196"/>
      <c r="X31" s="392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69"/>
      <c r="R32" s="291"/>
      <c r="S32" s="292"/>
      <c r="T32" s="283"/>
      <c r="U32" s="39"/>
      <c r="V32" s="57"/>
      <c r="W32" s="196"/>
      <c r="X32" s="392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69"/>
      <c r="R33" s="291"/>
      <c r="S33" s="292"/>
      <c r="T33" s="283"/>
      <c r="U33" s="84"/>
      <c r="V33" s="57"/>
      <c r="W33" s="196"/>
      <c r="X33" s="392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69"/>
      <c r="R34" s="291"/>
      <c r="S34" s="292"/>
      <c r="T34" s="283"/>
      <c r="U34" s="39"/>
      <c r="V34" s="57"/>
      <c r="W34" s="196"/>
      <c r="X34" s="392"/>
    </row>
    <row r="35">
      <c r="A35" s="294">
        <v>31.0</v>
      </c>
      <c r="B35" s="293"/>
      <c r="C35" s="294" t="s">
        <v>290</v>
      </c>
      <c r="D35" s="124"/>
      <c r="E35" s="124"/>
      <c r="F35" s="124"/>
      <c r="G35" s="295"/>
      <c r="H35" s="295"/>
      <c r="I35" s="124"/>
      <c r="J35" s="295"/>
      <c r="K35" s="124"/>
      <c r="L35" s="296"/>
      <c r="M35" s="295"/>
      <c r="N35" s="297"/>
      <c r="O35" s="297"/>
      <c r="P35" s="295"/>
      <c r="Q35" s="293"/>
      <c r="R35" s="299"/>
      <c r="S35" s="300"/>
      <c r="T35" s="301"/>
      <c r="U35" s="302"/>
      <c r="V35" s="303"/>
      <c r="W35" s="304"/>
      <c r="X35" s="396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3">
    <mergeCell ref="B11:B12"/>
    <mergeCell ref="B13:B14"/>
    <mergeCell ref="C13:C14"/>
    <mergeCell ref="B15:B16"/>
    <mergeCell ref="C15:C16"/>
    <mergeCell ref="B17:B18"/>
    <mergeCell ref="C17:C18"/>
    <mergeCell ref="B31:B32"/>
    <mergeCell ref="C31:C32"/>
    <mergeCell ref="B33:B34"/>
    <mergeCell ref="C33:C34"/>
    <mergeCell ref="B19:B20"/>
    <mergeCell ref="C19:C20"/>
    <mergeCell ref="B21:B22"/>
    <mergeCell ref="C21:C22"/>
    <mergeCell ref="B23:B24"/>
    <mergeCell ref="C23:C24"/>
    <mergeCell ref="C25:C26"/>
    <mergeCell ref="W2:W4"/>
    <mergeCell ref="X2:X4"/>
    <mergeCell ref="B5:B6"/>
    <mergeCell ref="C5:C6"/>
    <mergeCell ref="F5:F6"/>
    <mergeCell ref="W5:W8"/>
    <mergeCell ref="F7:F8"/>
    <mergeCell ref="B7:B8"/>
    <mergeCell ref="C7:C8"/>
    <mergeCell ref="B9:B10"/>
    <mergeCell ref="C9:C10"/>
    <mergeCell ref="F9:F10"/>
    <mergeCell ref="C11:C12"/>
    <mergeCell ref="F11:F12"/>
    <mergeCell ref="U19:U20"/>
    <mergeCell ref="U21:U22"/>
    <mergeCell ref="U23:U24"/>
    <mergeCell ref="U25:U26"/>
    <mergeCell ref="U27:U28"/>
    <mergeCell ref="U29:U30"/>
    <mergeCell ref="U31:U32"/>
    <mergeCell ref="U33:U34"/>
    <mergeCell ref="U5:U6"/>
    <mergeCell ref="U7:U8"/>
    <mergeCell ref="U9:U10"/>
    <mergeCell ref="U11:U12"/>
    <mergeCell ref="U13:U14"/>
    <mergeCell ref="U15:U16"/>
    <mergeCell ref="U17:U18"/>
    <mergeCell ref="B25:B26"/>
    <mergeCell ref="B27:B28"/>
    <mergeCell ref="B29:B30"/>
    <mergeCell ref="C27:C28"/>
    <mergeCell ref="C29:C30"/>
    <mergeCell ref="F27:F28"/>
    <mergeCell ref="F29:F30"/>
    <mergeCell ref="F31:F32"/>
    <mergeCell ref="F33:F34"/>
    <mergeCell ref="F13:F14"/>
    <mergeCell ref="F15:F16"/>
    <mergeCell ref="F17:F18"/>
    <mergeCell ref="F19:F20"/>
    <mergeCell ref="F21:F22"/>
    <mergeCell ref="F23:F24"/>
    <mergeCell ref="F25:F26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24.5"/>
    <col customWidth="1" min="23" max="23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1217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</row>
    <row r="5">
      <c r="A5" s="60">
        <v>1.0</v>
      </c>
      <c r="B5" s="84"/>
      <c r="C5" s="84"/>
      <c r="D5" s="42"/>
      <c r="E5" s="43"/>
      <c r="F5" s="433" t="s">
        <v>1218</v>
      </c>
      <c r="G5" s="223" t="s">
        <v>1219</v>
      </c>
      <c r="H5" s="223" t="s">
        <v>1220</v>
      </c>
      <c r="I5" s="433" t="s">
        <v>1221</v>
      </c>
      <c r="J5" s="45"/>
      <c r="K5" s="46" t="str">
        <f>IF(MOD(MID(J5,8,1),2)=1,"M","F")</f>
        <v>F</v>
      </c>
      <c r="L5" s="434">
        <v>22182.0</v>
      </c>
      <c r="M5" s="45" t="s">
        <v>1222</v>
      </c>
      <c r="N5" s="435">
        <v>44922.0</v>
      </c>
      <c r="O5" s="435">
        <v>48575.0</v>
      </c>
      <c r="P5" s="43"/>
      <c r="Q5" s="43"/>
      <c r="R5" s="388"/>
      <c r="S5" s="389"/>
      <c r="T5" s="282"/>
      <c r="U5" s="42"/>
      <c r="V5" s="52"/>
      <c r="W5" s="310"/>
      <c r="X5" s="390"/>
    </row>
    <row r="6">
      <c r="A6" s="60">
        <v>2.0</v>
      </c>
      <c r="B6" s="39"/>
      <c r="C6" s="39"/>
      <c r="D6" s="28"/>
      <c r="E6" s="43"/>
      <c r="F6" s="433" t="s">
        <v>1218</v>
      </c>
      <c r="G6" s="223" t="s">
        <v>1223</v>
      </c>
      <c r="H6" s="223" t="s">
        <v>1224</v>
      </c>
      <c r="I6" s="433" t="s">
        <v>1225</v>
      </c>
      <c r="J6" s="45"/>
      <c r="K6" s="46" t="s">
        <v>47</v>
      </c>
      <c r="L6" s="47">
        <v>22399.0</v>
      </c>
      <c r="M6" s="223" t="s">
        <v>1226</v>
      </c>
      <c r="N6" s="426">
        <v>45163.0</v>
      </c>
      <c r="O6" s="426">
        <v>46989.0</v>
      </c>
      <c r="Q6" s="43"/>
      <c r="R6" s="388"/>
      <c r="S6" s="389"/>
      <c r="T6" s="282"/>
      <c r="U6" s="39"/>
      <c r="V6" s="57"/>
      <c r="W6" s="56"/>
      <c r="X6" s="392"/>
    </row>
    <row r="7">
      <c r="A7" s="60">
        <v>3.0</v>
      </c>
      <c r="B7" s="84"/>
      <c r="C7" s="84"/>
      <c r="D7" s="69"/>
      <c r="E7" s="43"/>
      <c r="F7" s="42"/>
      <c r="G7" s="68"/>
      <c r="H7" s="68"/>
      <c r="I7" s="69"/>
      <c r="J7" s="68"/>
      <c r="K7" s="46" t="str">
        <f t="shared" ref="K7:K34" si="1">IF(MOD(MID(J7,8,1),2)=1,"M","F")</f>
        <v>F</v>
      </c>
      <c r="L7" s="71"/>
      <c r="M7" s="68"/>
      <c r="N7" s="71"/>
      <c r="O7" s="71"/>
      <c r="P7" s="69"/>
      <c r="Q7" s="43"/>
      <c r="R7" s="388"/>
      <c r="S7" s="393"/>
      <c r="T7" s="282"/>
      <c r="U7" s="42"/>
      <c r="V7" s="52"/>
      <c r="W7" s="186"/>
      <c r="X7" s="392"/>
    </row>
    <row r="8">
      <c r="A8" s="60">
        <v>4.0</v>
      </c>
      <c r="B8" s="39"/>
      <c r="C8" s="39"/>
      <c r="D8" s="69"/>
      <c r="E8" s="43"/>
      <c r="F8" s="39"/>
      <c r="G8" s="68"/>
      <c r="H8" s="68"/>
      <c r="I8" s="69"/>
      <c r="J8" s="68"/>
      <c r="K8" s="46" t="str">
        <f t="shared" si="1"/>
        <v>F</v>
      </c>
      <c r="L8" s="71"/>
      <c r="M8" s="68"/>
      <c r="N8" s="71"/>
      <c r="O8" s="71"/>
      <c r="P8" s="69"/>
      <c r="Q8" s="43"/>
      <c r="R8" s="388"/>
      <c r="S8" s="393"/>
      <c r="T8" s="282"/>
      <c r="U8" s="39"/>
      <c r="V8" s="57"/>
      <c r="W8" s="186"/>
      <c r="X8" s="392"/>
    </row>
    <row r="9">
      <c r="A9" s="60">
        <v>5.0</v>
      </c>
      <c r="B9" s="84"/>
      <c r="C9" s="84"/>
      <c r="D9" s="69"/>
      <c r="E9" s="69"/>
      <c r="F9" s="84"/>
      <c r="G9" s="68"/>
      <c r="H9" s="68"/>
      <c r="I9" s="69"/>
      <c r="J9" s="68"/>
      <c r="K9" s="46" t="str">
        <f t="shared" si="1"/>
        <v>F</v>
      </c>
      <c r="L9" s="71"/>
      <c r="M9" s="68"/>
      <c r="N9" s="71"/>
      <c r="O9" s="71"/>
      <c r="P9" s="69"/>
      <c r="Q9" s="69"/>
      <c r="R9" s="394"/>
      <c r="S9" s="395"/>
      <c r="T9" s="283"/>
      <c r="U9" s="42"/>
      <c r="V9" s="57"/>
      <c r="W9" s="196"/>
      <c r="X9" s="392"/>
    </row>
    <row r="10">
      <c r="A10" s="60">
        <v>6.0</v>
      </c>
      <c r="B10" s="39"/>
      <c r="C10" s="39"/>
      <c r="D10" s="69"/>
      <c r="E10" s="69"/>
      <c r="F10" s="39"/>
      <c r="G10" s="68"/>
      <c r="H10" s="68"/>
      <c r="I10" s="69"/>
      <c r="J10" s="68"/>
      <c r="K10" s="46" t="str">
        <f t="shared" si="1"/>
        <v>F</v>
      </c>
      <c r="L10" s="71"/>
      <c r="M10" s="69"/>
      <c r="N10" s="71"/>
      <c r="O10" s="71"/>
      <c r="P10" s="69"/>
      <c r="Q10" s="69"/>
      <c r="R10" s="56"/>
      <c r="S10" s="39"/>
      <c r="T10" s="283"/>
      <c r="U10" s="39"/>
      <c r="V10" s="57"/>
      <c r="W10" s="196"/>
      <c r="X10" s="392"/>
    </row>
    <row r="11">
      <c r="A11" s="60">
        <v>7.0</v>
      </c>
      <c r="B11" s="84"/>
      <c r="C11" s="84"/>
      <c r="D11" s="69"/>
      <c r="E11" s="69"/>
      <c r="F11" s="84"/>
      <c r="G11" s="68"/>
      <c r="H11" s="68"/>
      <c r="I11" s="69"/>
      <c r="J11" s="68"/>
      <c r="K11" s="46" t="str">
        <f t="shared" si="1"/>
        <v>F</v>
      </c>
      <c r="L11" s="71"/>
      <c r="M11" s="68"/>
      <c r="N11" s="71"/>
      <c r="O11" s="71"/>
      <c r="P11" s="69"/>
      <c r="Q11" s="69"/>
      <c r="R11" s="291"/>
      <c r="S11" s="395"/>
      <c r="T11" s="283"/>
      <c r="U11" s="42"/>
      <c r="V11" s="48"/>
      <c r="W11" s="186"/>
      <c r="X11" s="392"/>
    </row>
    <row r="12">
      <c r="A12" s="60">
        <v>8.0</v>
      </c>
      <c r="B12" s="39"/>
      <c r="C12" s="39"/>
      <c r="D12" s="69"/>
      <c r="E12" s="69"/>
      <c r="F12" s="39"/>
      <c r="G12" s="68"/>
      <c r="H12" s="68"/>
      <c r="I12" s="69"/>
      <c r="J12" s="68"/>
      <c r="K12" s="46" t="str">
        <f t="shared" si="1"/>
        <v>F</v>
      </c>
      <c r="L12" s="71"/>
      <c r="M12" s="68"/>
      <c r="N12" s="71"/>
      <c r="O12" s="71"/>
      <c r="P12" s="69"/>
      <c r="Q12" s="69"/>
      <c r="R12" s="291"/>
      <c r="S12" s="39"/>
      <c r="T12" s="283"/>
      <c r="U12" s="39"/>
      <c r="V12" s="48"/>
      <c r="W12" s="186"/>
      <c r="X12" s="392"/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69"/>
      <c r="R13" s="291"/>
      <c r="S13" s="292"/>
      <c r="T13" s="283"/>
      <c r="U13" s="84"/>
      <c r="V13" s="57"/>
      <c r="W13" s="196"/>
      <c r="X13" s="392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69"/>
      <c r="R14" s="291"/>
      <c r="S14" s="292"/>
      <c r="T14" s="283"/>
      <c r="U14" s="39"/>
      <c r="V14" s="57"/>
      <c r="W14" s="196"/>
      <c r="X14" s="392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69"/>
      <c r="R15" s="291"/>
      <c r="S15" s="292"/>
      <c r="T15" s="283"/>
      <c r="U15" s="84"/>
      <c r="V15" s="57"/>
      <c r="W15" s="196"/>
      <c r="X15" s="392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69"/>
      <c r="R16" s="291"/>
      <c r="S16" s="292"/>
      <c r="T16" s="283"/>
      <c r="U16" s="39"/>
      <c r="V16" s="57"/>
      <c r="W16" s="196"/>
      <c r="X16" s="392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69"/>
      <c r="R17" s="291"/>
      <c r="S17" s="292"/>
      <c r="T17" s="283"/>
      <c r="U17" s="84"/>
      <c r="V17" s="57"/>
      <c r="W17" s="196"/>
      <c r="X17" s="392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69"/>
      <c r="R18" s="291"/>
      <c r="S18" s="292"/>
      <c r="T18" s="283"/>
      <c r="U18" s="39"/>
      <c r="V18" s="57"/>
      <c r="W18" s="196"/>
      <c r="X18" s="392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69"/>
      <c r="R19" s="291"/>
      <c r="S19" s="292"/>
      <c r="T19" s="283"/>
      <c r="U19" s="84"/>
      <c r="V19" s="57"/>
      <c r="W19" s="196"/>
      <c r="X19" s="392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69"/>
      <c r="R20" s="291"/>
      <c r="S20" s="292"/>
      <c r="T20" s="283"/>
      <c r="U20" s="39"/>
      <c r="V20" s="57"/>
      <c r="W20" s="196"/>
      <c r="X20" s="392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69"/>
      <c r="R21" s="291"/>
      <c r="S21" s="292"/>
      <c r="T21" s="283"/>
      <c r="U21" s="84"/>
      <c r="V21" s="57"/>
      <c r="W21" s="196"/>
      <c r="X21" s="392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69"/>
      <c r="R22" s="291"/>
      <c r="S22" s="292"/>
      <c r="T22" s="283"/>
      <c r="U22" s="39"/>
      <c r="V22" s="57"/>
      <c r="W22" s="196"/>
      <c r="X22" s="392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69"/>
      <c r="R23" s="291"/>
      <c r="S23" s="292"/>
      <c r="T23" s="283"/>
      <c r="U23" s="84"/>
      <c r="V23" s="57"/>
      <c r="W23" s="196"/>
      <c r="X23" s="392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69"/>
      <c r="R24" s="291"/>
      <c r="S24" s="292"/>
      <c r="T24" s="283"/>
      <c r="U24" s="39"/>
      <c r="V24" s="57"/>
      <c r="W24" s="196"/>
      <c r="X24" s="392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69"/>
      <c r="R25" s="291"/>
      <c r="S25" s="292"/>
      <c r="T25" s="283"/>
      <c r="U25" s="84"/>
      <c r="V25" s="57"/>
      <c r="W25" s="196"/>
      <c r="X25" s="392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69"/>
      <c r="R26" s="291"/>
      <c r="S26" s="292"/>
      <c r="T26" s="283"/>
      <c r="U26" s="39"/>
      <c r="V26" s="57"/>
      <c r="W26" s="196"/>
      <c r="X26" s="392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69"/>
      <c r="R27" s="291"/>
      <c r="S27" s="292"/>
      <c r="T27" s="283"/>
      <c r="U27" s="84"/>
      <c r="V27" s="57"/>
      <c r="W27" s="196"/>
      <c r="X27" s="392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69"/>
      <c r="R28" s="291"/>
      <c r="S28" s="292"/>
      <c r="T28" s="283"/>
      <c r="U28" s="39"/>
      <c r="V28" s="57"/>
      <c r="W28" s="196"/>
      <c r="X28" s="392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69"/>
      <c r="R29" s="291"/>
      <c r="S29" s="292"/>
      <c r="T29" s="283"/>
      <c r="U29" s="84"/>
      <c r="V29" s="57"/>
      <c r="W29" s="196"/>
      <c r="X29" s="392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69"/>
      <c r="R30" s="291"/>
      <c r="S30" s="292"/>
      <c r="T30" s="283"/>
      <c r="U30" s="39"/>
      <c r="V30" s="57"/>
      <c r="W30" s="196"/>
      <c r="X30" s="392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69"/>
      <c r="R31" s="291"/>
      <c r="S31" s="292"/>
      <c r="T31" s="283"/>
      <c r="U31" s="84"/>
      <c r="V31" s="57"/>
      <c r="W31" s="196"/>
      <c r="X31" s="392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69"/>
      <c r="R32" s="291"/>
      <c r="S32" s="292"/>
      <c r="T32" s="283"/>
      <c r="U32" s="39"/>
      <c r="V32" s="57"/>
      <c r="W32" s="196"/>
      <c r="X32" s="392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69"/>
      <c r="R33" s="291"/>
      <c r="S33" s="292"/>
      <c r="T33" s="283"/>
      <c r="U33" s="84"/>
      <c r="V33" s="57"/>
      <c r="W33" s="196"/>
      <c r="X33" s="392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69"/>
      <c r="R34" s="291"/>
      <c r="S34" s="292"/>
      <c r="T34" s="283"/>
      <c r="U34" s="39"/>
      <c r="V34" s="57"/>
      <c r="W34" s="196"/>
      <c r="X34" s="392"/>
    </row>
    <row r="35">
      <c r="A35" s="294">
        <v>31.0</v>
      </c>
      <c r="B35" s="293"/>
      <c r="C35" s="294" t="s">
        <v>290</v>
      </c>
      <c r="D35" s="124"/>
      <c r="E35" s="124"/>
      <c r="F35" s="124"/>
      <c r="G35" s="295"/>
      <c r="H35" s="295"/>
      <c r="I35" s="124"/>
      <c r="J35" s="295"/>
      <c r="K35" s="124"/>
      <c r="L35" s="296"/>
      <c r="M35" s="295"/>
      <c r="N35" s="297"/>
      <c r="O35" s="297"/>
      <c r="P35" s="295"/>
      <c r="Q35" s="293"/>
      <c r="R35" s="299"/>
      <c r="S35" s="300"/>
      <c r="T35" s="301"/>
      <c r="U35" s="302"/>
      <c r="V35" s="303"/>
      <c r="W35" s="304"/>
      <c r="X35" s="396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6">
    <mergeCell ref="B27:B28"/>
    <mergeCell ref="B29:B30"/>
    <mergeCell ref="F29:F30"/>
    <mergeCell ref="F31:F32"/>
    <mergeCell ref="F33:F34"/>
    <mergeCell ref="C29:C30"/>
    <mergeCell ref="B31:B32"/>
    <mergeCell ref="C31:C32"/>
    <mergeCell ref="B33:B34"/>
    <mergeCell ref="C33:C34"/>
    <mergeCell ref="B21:B22"/>
    <mergeCell ref="C21:C22"/>
    <mergeCell ref="B23:B24"/>
    <mergeCell ref="C23:C24"/>
    <mergeCell ref="B25:B26"/>
    <mergeCell ref="C25:C26"/>
    <mergeCell ref="C27:C28"/>
    <mergeCell ref="W2:W4"/>
    <mergeCell ref="X2:X4"/>
    <mergeCell ref="B5:B6"/>
    <mergeCell ref="C5:C6"/>
    <mergeCell ref="D5:D6"/>
    <mergeCell ref="U5:U6"/>
    <mergeCell ref="W5:W6"/>
    <mergeCell ref="B7:B8"/>
    <mergeCell ref="C7:C8"/>
    <mergeCell ref="F7:F8"/>
    <mergeCell ref="U7:U8"/>
    <mergeCell ref="C9:C10"/>
    <mergeCell ref="F9:F10"/>
    <mergeCell ref="U9:U10"/>
    <mergeCell ref="B9:B10"/>
    <mergeCell ref="B11:B12"/>
    <mergeCell ref="C11:C12"/>
    <mergeCell ref="F11:F12"/>
    <mergeCell ref="B13:B14"/>
    <mergeCell ref="C13:C14"/>
    <mergeCell ref="F13:F14"/>
    <mergeCell ref="F17:F18"/>
    <mergeCell ref="F19:F20"/>
    <mergeCell ref="F21:F22"/>
    <mergeCell ref="F23:F24"/>
    <mergeCell ref="F25:F26"/>
    <mergeCell ref="F27:F28"/>
    <mergeCell ref="B15:B16"/>
    <mergeCell ref="C15:C16"/>
    <mergeCell ref="F15:F16"/>
    <mergeCell ref="B17:B18"/>
    <mergeCell ref="C17:C18"/>
    <mergeCell ref="B19:B20"/>
    <mergeCell ref="C19:C20"/>
    <mergeCell ref="U19:U20"/>
    <mergeCell ref="U21:U22"/>
    <mergeCell ref="U23:U24"/>
    <mergeCell ref="U25:U26"/>
    <mergeCell ref="U27:U28"/>
    <mergeCell ref="U29:U30"/>
    <mergeCell ref="U31:U32"/>
    <mergeCell ref="U33:U34"/>
    <mergeCell ref="R9:R10"/>
    <mergeCell ref="S9:S10"/>
    <mergeCell ref="S11:S12"/>
    <mergeCell ref="U11:U12"/>
    <mergeCell ref="U13:U14"/>
    <mergeCell ref="U15:U16"/>
    <mergeCell ref="U17:U18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24.5"/>
    <col customWidth="1" min="23" max="23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1227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  <c r="Y2" s="155" t="s">
        <v>4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</row>
    <row r="5">
      <c r="A5" s="60">
        <v>1.0</v>
      </c>
      <c r="B5" s="378"/>
      <c r="C5" s="378"/>
      <c r="D5" s="228">
        <v>1.0</v>
      </c>
      <c r="E5" s="228">
        <v>1.0</v>
      </c>
      <c r="F5" s="72" t="s">
        <v>1228</v>
      </c>
      <c r="G5" s="436" t="s">
        <v>44</v>
      </c>
      <c r="H5" s="436" t="s">
        <v>1229</v>
      </c>
      <c r="I5" s="72" t="s">
        <v>1230</v>
      </c>
      <c r="J5" s="72"/>
      <c r="K5" s="437" t="s">
        <v>57</v>
      </c>
      <c r="L5" s="438">
        <v>25724.0</v>
      </c>
      <c r="M5" s="436" t="s">
        <v>1231</v>
      </c>
      <c r="N5" s="438">
        <v>44893.0</v>
      </c>
      <c r="O5" s="438">
        <v>48546.0</v>
      </c>
      <c r="P5" s="72" t="s">
        <v>1232</v>
      </c>
      <c r="Q5" s="439" t="s">
        <v>1233</v>
      </c>
      <c r="R5" s="440">
        <v>46111.0</v>
      </c>
      <c r="S5" s="72" t="s">
        <v>514</v>
      </c>
      <c r="T5" s="193">
        <v>6500000.0</v>
      </c>
      <c r="U5" s="228" t="s">
        <v>103</v>
      </c>
      <c r="V5" s="441"/>
      <c r="W5" s="442" t="s">
        <v>1234</v>
      </c>
      <c r="X5" s="443"/>
      <c r="Y5" s="259" t="s">
        <v>1235</v>
      </c>
    </row>
    <row r="6">
      <c r="A6" s="60">
        <v>2.0</v>
      </c>
      <c r="B6" s="378"/>
      <c r="C6" s="378"/>
      <c r="D6" s="28"/>
      <c r="E6" s="39"/>
      <c r="F6" s="72" t="s">
        <v>1228</v>
      </c>
      <c r="G6" s="436" t="s">
        <v>149</v>
      </c>
      <c r="H6" s="436" t="s">
        <v>965</v>
      </c>
      <c r="I6" s="378" t="s">
        <v>1236</v>
      </c>
      <c r="J6" s="378"/>
      <c r="K6" s="437" t="s">
        <v>57</v>
      </c>
      <c r="L6" s="444">
        <v>25126.0</v>
      </c>
      <c r="M6" s="436" t="s">
        <v>1237</v>
      </c>
      <c r="N6" s="438">
        <v>45987.0</v>
      </c>
      <c r="O6" s="438">
        <v>49639.0</v>
      </c>
      <c r="P6" s="65" t="s">
        <v>1238</v>
      </c>
      <c r="Q6" s="439" t="s">
        <v>1233</v>
      </c>
      <c r="R6" s="440">
        <v>46111.0</v>
      </c>
      <c r="S6" s="72" t="s">
        <v>514</v>
      </c>
      <c r="T6" s="193">
        <v>6500000.0</v>
      </c>
      <c r="U6" s="28"/>
      <c r="V6" s="445"/>
      <c r="W6" s="446"/>
      <c r="X6" s="447"/>
      <c r="Y6" s="259" t="s">
        <v>1239</v>
      </c>
    </row>
    <row r="7">
      <c r="A7" s="60">
        <v>3.0</v>
      </c>
      <c r="B7" s="378"/>
      <c r="C7" s="378"/>
      <c r="D7" s="28"/>
      <c r="E7" s="228">
        <v>2.0</v>
      </c>
      <c r="F7" s="72" t="s">
        <v>1228</v>
      </c>
      <c r="G7" s="436" t="s">
        <v>458</v>
      </c>
      <c r="H7" s="436" t="s">
        <v>1240</v>
      </c>
      <c r="I7" s="378" t="s">
        <v>1241</v>
      </c>
      <c r="J7" s="378"/>
      <c r="K7" s="437" t="s">
        <v>57</v>
      </c>
      <c r="L7" s="438">
        <v>25506.0</v>
      </c>
      <c r="M7" s="436" t="s">
        <v>1242</v>
      </c>
      <c r="N7" s="438">
        <v>45670.0</v>
      </c>
      <c r="O7" s="438">
        <v>49322.0</v>
      </c>
      <c r="P7" s="65" t="s">
        <v>1243</v>
      </c>
      <c r="Q7" s="439" t="s">
        <v>1233</v>
      </c>
      <c r="R7" s="440">
        <v>46111.0</v>
      </c>
      <c r="S7" s="72" t="s">
        <v>514</v>
      </c>
      <c r="T7" s="193">
        <v>6500000.0</v>
      </c>
      <c r="U7" s="28"/>
      <c r="V7" s="441"/>
      <c r="W7" s="446"/>
      <c r="X7" s="447"/>
      <c r="Y7" s="259" t="s">
        <v>1244</v>
      </c>
    </row>
    <row r="8">
      <c r="A8" s="60">
        <v>4.0</v>
      </c>
      <c r="B8" s="378"/>
      <c r="C8" s="378"/>
      <c r="D8" s="39"/>
      <c r="E8" s="39"/>
      <c r="F8" s="72" t="s">
        <v>1228</v>
      </c>
      <c r="G8" s="436" t="s">
        <v>1245</v>
      </c>
      <c r="H8" s="436" t="s">
        <v>1246</v>
      </c>
      <c r="I8" s="72" t="s">
        <v>1247</v>
      </c>
      <c r="J8" s="72"/>
      <c r="K8" s="437" t="s">
        <v>57</v>
      </c>
      <c r="L8" s="438">
        <v>24050.0</v>
      </c>
      <c r="M8" s="436" t="s">
        <v>1248</v>
      </c>
      <c r="N8" s="438">
        <v>42899.0</v>
      </c>
      <c r="O8" s="438">
        <v>46551.0</v>
      </c>
      <c r="P8" s="65" t="s">
        <v>1249</v>
      </c>
      <c r="Q8" s="439" t="s">
        <v>1233</v>
      </c>
      <c r="R8" s="440">
        <v>46111.0</v>
      </c>
      <c r="S8" s="72" t="s">
        <v>514</v>
      </c>
      <c r="T8" s="193">
        <v>6500000.0</v>
      </c>
      <c r="U8" s="39"/>
      <c r="V8" s="445"/>
      <c r="W8" s="448"/>
      <c r="X8" s="447"/>
      <c r="Y8" s="259" t="s">
        <v>1250</v>
      </c>
    </row>
    <row r="9">
      <c r="A9" s="60">
        <v>5.0</v>
      </c>
      <c r="B9" s="84"/>
      <c r="C9" s="84"/>
      <c r="D9" s="69"/>
      <c r="E9" s="69"/>
      <c r="F9" s="84"/>
      <c r="G9" s="68"/>
      <c r="H9" s="68"/>
      <c r="I9" s="69"/>
      <c r="J9" s="68"/>
      <c r="K9" s="46" t="str">
        <f t="shared" ref="K9:K34" si="1">IF(MOD(MID(J9,8,1),2)=1,"M","F")</f>
        <v>F</v>
      </c>
      <c r="L9" s="71"/>
      <c r="M9" s="68"/>
      <c r="N9" s="71"/>
      <c r="O9" s="71"/>
      <c r="P9" s="69"/>
      <c r="Q9" s="57"/>
      <c r="R9" s="219"/>
      <c r="S9" s="378"/>
      <c r="T9" s="193"/>
      <c r="U9" s="42"/>
      <c r="V9" s="183"/>
      <c r="W9" s="196"/>
      <c r="X9" s="447"/>
    </row>
    <row r="10">
      <c r="A10" s="60">
        <v>6.0</v>
      </c>
      <c r="B10" s="39"/>
      <c r="C10" s="39"/>
      <c r="D10" s="69"/>
      <c r="E10" s="69"/>
      <c r="F10" s="39"/>
      <c r="G10" s="68"/>
      <c r="H10" s="68"/>
      <c r="I10" s="69"/>
      <c r="J10" s="68"/>
      <c r="K10" s="46" t="str">
        <f t="shared" si="1"/>
        <v>F</v>
      </c>
      <c r="L10" s="71"/>
      <c r="M10" s="69"/>
      <c r="N10" s="71"/>
      <c r="O10" s="71"/>
      <c r="P10" s="69"/>
      <c r="Q10" s="57"/>
      <c r="R10" s="219"/>
      <c r="S10" s="378"/>
      <c r="T10" s="193"/>
      <c r="U10" s="39"/>
      <c r="V10" s="183"/>
      <c r="W10" s="196"/>
      <c r="X10" s="447"/>
    </row>
    <row r="11">
      <c r="A11" s="60">
        <v>7.0</v>
      </c>
      <c r="B11" s="84"/>
      <c r="C11" s="84"/>
      <c r="D11" s="69"/>
      <c r="E11" s="69"/>
      <c r="F11" s="84"/>
      <c r="G11" s="68"/>
      <c r="H11" s="68"/>
      <c r="I11" s="69"/>
      <c r="J11" s="68"/>
      <c r="K11" s="46" t="str">
        <f t="shared" si="1"/>
        <v>F</v>
      </c>
      <c r="L11" s="71"/>
      <c r="M11" s="68"/>
      <c r="N11" s="71"/>
      <c r="O11" s="71"/>
      <c r="P11" s="69"/>
      <c r="Q11" s="57"/>
      <c r="R11" s="219"/>
      <c r="S11" s="378"/>
      <c r="T11" s="193"/>
      <c r="U11" s="42"/>
      <c r="V11" s="320"/>
      <c r="W11" s="186"/>
      <c r="X11" s="447"/>
    </row>
    <row r="12">
      <c r="A12" s="60">
        <v>8.0</v>
      </c>
      <c r="B12" s="39"/>
      <c r="C12" s="39"/>
      <c r="D12" s="69"/>
      <c r="E12" s="69"/>
      <c r="F12" s="39"/>
      <c r="G12" s="68"/>
      <c r="H12" s="68"/>
      <c r="I12" s="69"/>
      <c r="J12" s="68"/>
      <c r="K12" s="46" t="str">
        <f t="shared" si="1"/>
        <v>F</v>
      </c>
      <c r="L12" s="71"/>
      <c r="M12" s="68"/>
      <c r="N12" s="71"/>
      <c r="O12" s="71"/>
      <c r="P12" s="69"/>
      <c r="Q12" s="57"/>
      <c r="R12" s="219"/>
      <c r="S12" s="378"/>
      <c r="T12" s="193"/>
      <c r="U12" s="39"/>
      <c r="V12" s="320"/>
      <c r="W12" s="186"/>
      <c r="X12" s="447"/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57"/>
      <c r="R13" s="219"/>
      <c r="S13" s="378"/>
      <c r="T13" s="193"/>
      <c r="U13" s="84"/>
      <c r="V13" s="183"/>
      <c r="W13" s="196"/>
      <c r="X13" s="447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57"/>
      <c r="R14" s="219"/>
      <c r="S14" s="378"/>
      <c r="T14" s="193"/>
      <c r="U14" s="39"/>
      <c r="V14" s="183"/>
      <c r="W14" s="196"/>
      <c r="X14" s="447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57"/>
      <c r="R15" s="219"/>
      <c r="S15" s="378"/>
      <c r="T15" s="193"/>
      <c r="U15" s="84"/>
      <c r="V15" s="183"/>
      <c r="W15" s="196"/>
      <c r="X15" s="447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57"/>
      <c r="R16" s="219"/>
      <c r="S16" s="378"/>
      <c r="T16" s="193"/>
      <c r="U16" s="39"/>
      <c r="V16" s="183"/>
      <c r="W16" s="196"/>
      <c r="X16" s="447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57"/>
      <c r="R17" s="219"/>
      <c r="S17" s="378"/>
      <c r="T17" s="193"/>
      <c r="U17" s="84"/>
      <c r="V17" s="183"/>
      <c r="W17" s="196"/>
      <c r="X17" s="447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57"/>
      <c r="R18" s="219"/>
      <c r="S18" s="378"/>
      <c r="T18" s="193"/>
      <c r="U18" s="39"/>
      <c r="V18" s="183"/>
      <c r="W18" s="196"/>
      <c r="X18" s="447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57"/>
      <c r="R19" s="219"/>
      <c r="S19" s="378"/>
      <c r="T19" s="193"/>
      <c r="U19" s="84"/>
      <c r="V19" s="183"/>
      <c r="W19" s="196"/>
      <c r="X19" s="447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57"/>
      <c r="R20" s="219"/>
      <c r="S20" s="378"/>
      <c r="T20" s="193"/>
      <c r="U20" s="39"/>
      <c r="V20" s="183"/>
      <c r="W20" s="196"/>
      <c r="X20" s="447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57"/>
      <c r="R21" s="219"/>
      <c r="S21" s="378"/>
      <c r="T21" s="193"/>
      <c r="U21" s="84"/>
      <c r="V21" s="183"/>
      <c r="W21" s="196"/>
      <c r="X21" s="447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57"/>
      <c r="R22" s="219"/>
      <c r="S22" s="378"/>
      <c r="T22" s="193"/>
      <c r="U22" s="39"/>
      <c r="V22" s="183"/>
      <c r="W22" s="196"/>
      <c r="X22" s="447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57"/>
      <c r="R23" s="219"/>
      <c r="S23" s="378"/>
      <c r="T23" s="193"/>
      <c r="U23" s="84"/>
      <c r="V23" s="183"/>
      <c r="W23" s="196"/>
      <c r="X23" s="447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57"/>
      <c r="R24" s="219"/>
      <c r="S24" s="378"/>
      <c r="T24" s="193"/>
      <c r="U24" s="39"/>
      <c r="V24" s="183"/>
      <c r="W24" s="196"/>
      <c r="X24" s="447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57"/>
      <c r="R25" s="219"/>
      <c r="S25" s="378"/>
      <c r="T25" s="193"/>
      <c r="U25" s="84"/>
      <c r="V25" s="183"/>
      <c r="W25" s="196"/>
      <c r="X25" s="447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57"/>
      <c r="R26" s="219"/>
      <c r="S26" s="378"/>
      <c r="T26" s="193"/>
      <c r="U26" s="39"/>
      <c r="V26" s="183"/>
      <c r="W26" s="196"/>
      <c r="X26" s="447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57"/>
      <c r="R27" s="219"/>
      <c r="S27" s="378"/>
      <c r="T27" s="193"/>
      <c r="U27" s="84"/>
      <c r="V27" s="183"/>
      <c r="W27" s="196"/>
      <c r="X27" s="447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57"/>
      <c r="R28" s="219"/>
      <c r="S28" s="378"/>
      <c r="T28" s="193"/>
      <c r="U28" s="39"/>
      <c r="V28" s="183"/>
      <c r="W28" s="196"/>
      <c r="X28" s="447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57"/>
      <c r="R29" s="219"/>
      <c r="S29" s="378"/>
      <c r="T29" s="193"/>
      <c r="U29" s="84"/>
      <c r="V29" s="183"/>
      <c r="W29" s="196"/>
      <c r="X29" s="447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57"/>
      <c r="R30" s="219"/>
      <c r="S30" s="378"/>
      <c r="T30" s="193"/>
      <c r="U30" s="39"/>
      <c r="V30" s="183"/>
      <c r="W30" s="196"/>
      <c r="X30" s="447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57"/>
      <c r="R31" s="219"/>
      <c r="S31" s="378"/>
      <c r="T31" s="193"/>
      <c r="U31" s="84"/>
      <c r="V31" s="183"/>
      <c r="W31" s="196"/>
      <c r="X31" s="447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57"/>
      <c r="R32" s="219"/>
      <c r="S32" s="378"/>
      <c r="T32" s="193"/>
      <c r="U32" s="39"/>
      <c r="V32" s="183"/>
      <c r="W32" s="196"/>
      <c r="X32" s="447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57"/>
      <c r="R33" s="219"/>
      <c r="S33" s="378"/>
      <c r="T33" s="193"/>
      <c r="U33" s="84"/>
      <c r="V33" s="183"/>
      <c r="W33" s="196"/>
      <c r="X33" s="447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57"/>
      <c r="R34" s="219"/>
      <c r="S34" s="378"/>
      <c r="T34" s="193"/>
      <c r="U34" s="39"/>
      <c r="V34" s="183"/>
      <c r="W34" s="196"/>
      <c r="X34" s="447"/>
    </row>
    <row r="35">
      <c r="A35" s="60">
        <v>31.0</v>
      </c>
      <c r="B35" s="69"/>
      <c r="C35" s="60" t="s">
        <v>290</v>
      </c>
      <c r="D35" s="69"/>
      <c r="E35" s="69"/>
      <c r="F35" s="69"/>
      <c r="G35" s="68"/>
      <c r="H35" s="68"/>
      <c r="I35" s="69"/>
      <c r="J35" s="68"/>
      <c r="K35" s="69"/>
      <c r="L35" s="71"/>
      <c r="M35" s="68"/>
      <c r="N35" s="130"/>
      <c r="O35" s="130"/>
      <c r="P35" s="68"/>
      <c r="Q35" s="57"/>
      <c r="R35" s="131"/>
      <c r="S35" s="132"/>
      <c r="T35" s="133"/>
      <c r="U35" s="134"/>
      <c r="V35" s="385"/>
      <c r="W35" s="422"/>
      <c r="X35" s="449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0">
    <mergeCell ref="B19:B20"/>
    <mergeCell ref="C19:C20"/>
    <mergeCell ref="B21:B22"/>
    <mergeCell ref="C21:C22"/>
    <mergeCell ref="B23:B24"/>
    <mergeCell ref="C23:C24"/>
    <mergeCell ref="C25:C26"/>
    <mergeCell ref="F31:F32"/>
    <mergeCell ref="F33:F34"/>
    <mergeCell ref="B25:B26"/>
    <mergeCell ref="B27:B28"/>
    <mergeCell ref="B29:B30"/>
    <mergeCell ref="B31:B32"/>
    <mergeCell ref="C31:C32"/>
    <mergeCell ref="B33:B34"/>
    <mergeCell ref="C33:C34"/>
    <mergeCell ref="W2:W4"/>
    <mergeCell ref="X2:X4"/>
    <mergeCell ref="Y2:Y4"/>
    <mergeCell ref="D5:D8"/>
    <mergeCell ref="E5:E6"/>
    <mergeCell ref="U5:U8"/>
    <mergeCell ref="W5:W8"/>
    <mergeCell ref="E7:E8"/>
    <mergeCell ref="B9:B10"/>
    <mergeCell ref="C9:C10"/>
    <mergeCell ref="F9:F10"/>
    <mergeCell ref="B11:B12"/>
    <mergeCell ref="C11:C12"/>
    <mergeCell ref="F11:F12"/>
    <mergeCell ref="F15:F16"/>
    <mergeCell ref="F17:F18"/>
    <mergeCell ref="F19:F20"/>
    <mergeCell ref="F21:F22"/>
    <mergeCell ref="F23:F24"/>
    <mergeCell ref="F25:F26"/>
    <mergeCell ref="F27:F28"/>
    <mergeCell ref="F29:F30"/>
    <mergeCell ref="B13:B14"/>
    <mergeCell ref="C13:C14"/>
    <mergeCell ref="F13:F14"/>
    <mergeCell ref="B15:B16"/>
    <mergeCell ref="C15:C16"/>
    <mergeCell ref="B17:B18"/>
    <mergeCell ref="C17:C18"/>
    <mergeCell ref="U23:U24"/>
    <mergeCell ref="U25:U26"/>
    <mergeCell ref="U27:U28"/>
    <mergeCell ref="U29:U30"/>
    <mergeCell ref="U31:U32"/>
    <mergeCell ref="U33:U34"/>
    <mergeCell ref="U9:U10"/>
    <mergeCell ref="U11:U12"/>
    <mergeCell ref="U13:U14"/>
    <mergeCell ref="U15:U16"/>
    <mergeCell ref="U17:U18"/>
    <mergeCell ref="U19:U20"/>
    <mergeCell ref="U21:U22"/>
    <mergeCell ref="C27:C28"/>
    <mergeCell ref="C29:C30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hyperlinks>
    <hyperlink r:id="rId2" ref="Y5"/>
    <hyperlink r:id="rId3" ref="Y6"/>
    <hyperlink r:id="rId4" ref="Y7"/>
    <hyperlink r:id="rId5" ref="Y8"/>
  </hyperlinks>
  <drawing r:id="rId6"/>
  <legacy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8" max="8" width="15.75"/>
    <col customWidth="1" min="20" max="20" width="37.38"/>
  </cols>
  <sheetData>
    <row r="1">
      <c r="A1" s="1"/>
      <c r="B1" s="1"/>
      <c r="C1" s="1"/>
      <c r="D1" s="1"/>
      <c r="E1" s="1"/>
      <c r="F1" s="1"/>
      <c r="G1" s="1"/>
      <c r="H1" s="1" t="s">
        <v>1251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8"/>
      <c r="B2" s="8"/>
      <c r="C2" s="8"/>
      <c r="D2" s="8"/>
      <c r="E2" s="8"/>
      <c r="F2" s="8"/>
      <c r="G2" s="8"/>
      <c r="H2" s="8" t="s">
        <v>1252</v>
      </c>
      <c r="I2" s="8"/>
      <c r="J2" s="8"/>
      <c r="K2" s="8"/>
      <c r="L2" s="8"/>
      <c r="M2" s="8"/>
      <c r="N2" s="8"/>
      <c r="O2" s="10"/>
      <c r="P2" s="450"/>
      <c r="Q2" s="14"/>
      <c r="R2" s="14"/>
      <c r="S2" s="14"/>
      <c r="T2" s="152"/>
    </row>
    <row r="3">
      <c r="A3" s="19" t="s">
        <v>5</v>
      </c>
      <c r="B3" s="19" t="s">
        <v>6</v>
      </c>
      <c r="C3" s="19" t="s">
        <v>7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16</v>
      </c>
      <c r="K3" s="19" t="s">
        <v>17</v>
      </c>
      <c r="L3" s="19" t="s">
        <v>1253</v>
      </c>
      <c r="M3" s="19" t="s">
        <v>19</v>
      </c>
      <c r="N3" s="19" t="s">
        <v>20</v>
      </c>
      <c r="O3" s="21" t="s">
        <v>21</v>
      </c>
      <c r="P3" s="451" t="s">
        <v>1254</v>
      </c>
      <c r="Q3" s="25" t="s">
        <v>23</v>
      </c>
      <c r="R3" s="25" t="s">
        <v>24</v>
      </c>
      <c r="S3" s="25" t="s">
        <v>25</v>
      </c>
      <c r="T3" s="156" t="s">
        <v>26</v>
      </c>
    </row>
    <row r="4">
      <c r="A4" s="452">
        <v>1.0</v>
      </c>
      <c r="B4" s="452" t="s">
        <v>27</v>
      </c>
      <c r="C4" s="452" t="s">
        <v>27</v>
      </c>
      <c r="D4" s="452" t="s">
        <v>1255</v>
      </c>
      <c r="E4" s="452" t="s">
        <v>31</v>
      </c>
      <c r="F4" s="452" t="s">
        <v>32</v>
      </c>
      <c r="G4" s="452" t="s">
        <v>33</v>
      </c>
      <c r="H4" s="452" t="s">
        <v>34</v>
      </c>
      <c r="I4" s="452" t="s">
        <v>35</v>
      </c>
      <c r="J4" s="452" t="s">
        <v>36</v>
      </c>
      <c r="K4" s="452" t="s">
        <v>37</v>
      </c>
      <c r="L4" s="452" t="s">
        <v>36</v>
      </c>
      <c r="M4" s="452" t="s">
        <v>36</v>
      </c>
      <c r="N4" s="452" t="s">
        <v>38</v>
      </c>
      <c r="O4" s="453"/>
      <c r="P4" s="454" t="s">
        <v>36</v>
      </c>
      <c r="Q4" s="455" t="s">
        <v>39</v>
      </c>
      <c r="R4" s="455" t="s">
        <v>1256</v>
      </c>
      <c r="S4" s="455" t="s">
        <v>1257</v>
      </c>
      <c r="T4" s="456" t="s">
        <v>1258</v>
      </c>
    </row>
    <row r="5">
      <c r="A5" s="60">
        <v>1.0</v>
      </c>
      <c r="B5" s="84"/>
      <c r="C5" s="84"/>
      <c r="D5" s="42" t="s">
        <v>1259</v>
      </c>
      <c r="E5" s="45" t="s">
        <v>902</v>
      </c>
      <c r="F5" s="45" t="s">
        <v>1260</v>
      </c>
      <c r="G5" s="43" t="s">
        <v>1261</v>
      </c>
      <c r="H5" s="45"/>
      <c r="I5" s="46" t="str">
        <f t="shared" ref="I5:I15" si="1">IF(MOD(MID(H5,8,1),2)=1,"M","F")</f>
        <v>F</v>
      </c>
      <c r="J5" s="324">
        <v>20771.0</v>
      </c>
      <c r="K5" s="45" t="s">
        <v>1262</v>
      </c>
      <c r="L5" s="324">
        <v>45405.0</v>
      </c>
      <c r="M5" s="324">
        <v>49057.0</v>
      </c>
      <c r="N5" s="43" t="s">
        <v>1263</v>
      </c>
      <c r="O5" s="48" t="s">
        <v>1264</v>
      </c>
      <c r="P5" s="457">
        <v>45901.0</v>
      </c>
      <c r="Q5" s="43" t="s">
        <v>514</v>
      </c>
      <c r="R5" s="43">
        <v>169.0</v>
      </c>
      <c r="S5" s="42" t="s">
        <v>1265</v>
      </c>
      <c r="T5" s="320" t="s">
        <v>1266</v>
      </c>
    </row>
    <row r="6">
      <c r="A6" s="60">
        <v>2.0</v>
      </c>
      <c r="B6" s="39"/>
      <c r="C6" s="39"/>
      <c r="D6" s="39"/>
      <c r="E6" s="45" t="s">
        <v>149</v>
      </c>
      <c r="F6" s="45" t="s">
        <v>1267</v>
      </c>
      <c r="G6" s="43" t="s">
        <v>1268</v>
      </c>
      <c r="H6" s="45"/>
      <c r="I6" s="46" t="str">
        <f t="shared" si="1"/>
        <v>F</v>
      </c>
      <c r="J6" s="324">
        <v>19421.0</v>
      </c>
      <c r="K6" s="45" t="s">
        <v>1269</v>
      </c>
      <c r="L6" s="324">
        <v>45405.0</v>
      </c>
      <c r="M6" s="324">
        <v>49057.0</v>
      </c>
      <c r="N6" s="43" t="s">
        <v>1270</v>
      </c>
      <c r="O6" s="48" t="s">
        <v>1264</v>
      </c>
      <c r="P6" s="457">
        <v>45901.0</v>
      </c>
      <c r="Q6" s="43" t="s">
        <v>514</v>
      </c>
      <c r="R6" s="43">
        <v>169.0</v>
      </c>
      <c r="S6" s="39"/>
      <c r="T6" s="320" t="s">
        <v>1266</v>
      </c>
    </row>
    <row r="7">
      <c r="A7" s="60">
        <v>3.0</v>
      </c>
      <c r="B7" s="84"/>
      <c r="C7" s="84"/>
      <c r="D7" s="42" t="s">
        <v>1271</v>
      </c>
      <c r="E7" s="45" t="s">
        <v>1272</v>
      </c>
      <c r="F7" s="45" t="s">
        <v>1273</v>
      </c>
      <c r="G7" s="43" t="s">
        <v>1274</v>
      </c>
      <c r="H7" s="45" t="s">
        <v>1275</v>
      </c>
      <c r="I7" s="46" t="str">
        <f t="shared" si="1"/>
        <v>M</v>
      </c>
      <c r="J7" s="324">
        <v>24985.0</v>
      </c>
      <c r="K7" s="45" t="s">
        <v>1276</v>
      </c>
      <c r="L7" s="324">
        <v>42920.0</v>
      </c>
      <c r="M7" s="324">
        <v>46572.0</v>
      </c>
      <c r="N7" s="43" t="s">
        <v>1277</v>
      </c>
      <c r="O7" s="48" t="s">
        <v>1264</v>
      </c>
      <c r="P7" s="457">
        <v>45922.0</v>
      </c>
      <c r="Q7" s="43" t="s">
        <v>132</v>
      </c>
      <c r="R7" s="43">
        <v>181.0</v>
      </c>
      <c r="S7" s="42" t="s">
        <v>1265</v>
      </c>
      <c r="T7" s="320" t="s">
        <v>1266</v>
      </c>
    </row>
    <row r="8">
      <c r="A8" s="60">
        <v>4.0</v>
      </c>
      <c r="B8" s="39"/>
      <c r="C8" s="39"/>
      <c r="D8" s="39"/>
      <c r="E8" s="45" t="s">
        <v>1278</v>
      </c>
      <c r="F8" s="45" t="s">
        <v>1279</v>
      </c>
      <c r="G8" s="43" t="s">
        <v>1280</v>
      </c>
      <c r="H8" s="45" t="s">
        <v>1281</v>
      </c>
      <c r="I8" s="46" t="str">
        <f t="shared" si="1"/>
        <v>F</v>
      </c>
      <c r="J8" s="324">
        <v>29603.0</v>
      </c>
      <c r="K8" s="45" t="s">
        <v>1282</v>
      </c>
      <c r="L8" s="324">
        <v>43353.0</v>
      </c>
      <c r="M8" s="324">
        <v>47006.0</v>
      </c>
      <c r="N8" s="43"/>
      <c r="O8" s="48" t="s">
        <v>1264</v>
      </c>
      <c r="P8" s="457">
        <v>45922.0</v>
      </c>
      <c r="Q8" s="43" t="s">
        <v>132</v>
      </c>
      <c r="R8" s="43">
        <v>181.0</v>
      </c>
      <c r="S8" s="39"/>
      <c r="T8" s="320" t="s">
        <v>1266</v>
      </c>
    </row>
    <row r="9">
      <c r="A9" s="60">
        <v>5.0</v>
      </c>
      <c r="B9" s="84"/>
      <c r="C9" s="84"/>
      <c r="D9" s="42" t="s">
        <v>1283</v>
      </c>
      <c r="E9" s="45" t="s">
        <v>440</v>
      </c>
      <c r="F9" s="45" t="s">
        <v>1284</v>
      </c>
      <c r="G9" s="43" t="s">
        <v>1285</v>
      </c>
      <c r="H9" s="45" t="s">
        <v>1286</v>
      </c>
      <c r="I9" s="46" t="str">
        <f t="shared" si="1"/>
        <v>M</v>
      </c>
      <c r="J9" s="324">
        <v>27411.0</v>
      </c>
      <c r="K9" s="45" t="s">
        <v>1287</v>
      </c>
      <c r="L9" s="324">
        <v>43788.0</v>
      </c>
      <c r="M9" s="324">
        <v>47441.0</v>
      </c>
      <c r="N9" s="43" t="s">
        <v>1288</v>
      </c>
      <c r="O9" s="48" t="s">
        <v>1289</v>
      </c>
      <c r="P9" s="458">
        <v>45892.0</v>
      </c>
      <c r="Q9" s="42" t="s">
        <v>132</v>
      </c>
      <c r="R9" s="43">
        <v>95.0</v>
      </c>
      <c r="S9" s="42" t="s">
        <v>1290</v>
      </c>
      <c r="T9" s="459" t="s">
        <v>1291</v>
      </c>
    </row>
    <row r="10">
      <c r="A10" s="60">
        <v>6.0</v>
      </c>
      <c r="B10" s="39"/>
      <c r="C10" s="39"/>
      <c r="D10" s="39"/>
      <c r="E10" s="45" t="s">
        <v>1292</v>
      </c>
      <c r="F10" s="45" t="s">
        <v>1293</v>
      </c>
      <c r="G10" s="43" t="s">
        <v>1294</v>
      </c>
      <c r="H10" s="45">
        <v>730804.0</v>
      </c>
      <c r="I10" s="46" t="str">
        <f t="shared" si="1"/>
        <v>F</v>
      </c>
      <c r="J10" s="324">
        <v>26880.0</v>
      </c>
      <c r="K10" s="43" t="s">
        <v>1295</v>
      </c>
      <c r="L10" s="324">
        <v>44991.0</v>
      </c>
      <c r="M10" s="324">
        <v>48644.0</v>
      </c>
      <c r="N10" s="43"/>
      <c r="O10" s="48" t="s">
        <v>1289</v>
      </c>
      <c r="P10" s="56"/>
      <c r="Q10" s="39"/>
      <c r="R10" s="43">
        <v>95.0</v>
      </c>
      <c r="S10" s="39"/>
      <c r="T10" s="122"/>
    </row>
    <row r="11">
      <c r="A11" s="60">
        <v>7.0</v>
      </c>
      <c r="B11" s="84"/>
      <c r="C11" s="84"/>
      <c r="D11" s="42" t="s">
        <v>1271</v>
      </c>
      <c r="E11" s="45" t="s">
        <v>115</v>
      </c>
      <c r="F11" s="45" t="s">
        <v>1296</v>
      </c>
      <c r="G11" s="43" t="s">
        <v>1297</v>
      </c>
      <c r="H11" s="45">
        <v>740923.0</v>
      </c>
      <c r="I11" s="46" t="str">
        <f t="shared" si="1"/>
        <v>F</v>
      </c>
      <c r="J11" s="324">
        <v>27295.0</v>
      </c>
      <c r="K11" s="45" t="s">
        <v>1298</v>
      </c>
      <c r="L11" s="324">
        <v>45922.0</v>
      </c>
      <c r="M11" s="324">
        <v>49574.0</v>
      </c>
      <c r="N11" s="43" t="s">
        <v>1299</v>
      </c>
      <c r="O11" s="48" t="s">
        <v>1300</v>
      </c>
      <c r="P11" s="457">
        <v>45917.0</v>
      </c>
      <c r="Q11" s="42" t="s">
        <v>228</v>
      </c>
      <c r="R11" s="43">
        <v>176.0</v>
      </c>
      <c r="S11" s="42" t="s">
        <v>1301</v>
      </c>
      <c r="T11" s="320" t="s">
        <v>1300</v>
      </c>
    </row>
    <row r="12">
      <c r="A12" s="60">
        <v>8.0</v>
      </c>
      <c r="B12" s="39"/>
      <c r="C12" s="39"/>
      <c r="D12" s="39"/>
      <c r="E12" s="45" t="s">
        <v>1302</v>
      </c>
      <c r="F12" s="45" t="s">
        <v>1303</v>
      </c>
      <c r="G12" s="43" t="s">
        <v>1304</v>
      </c>
      <c r="H12" s="45">
        <v>770710.0</v>
      </c>
      <c r="I12" s="46" t="str">
        <f t="shared" si="1"/>
        <v>F</v>
      </c>
      <c r="J12" s="324">
        <v>28316.0</v>
      </c>
      <c r="K12" s="45" t="s">
        <v>1305</v>
      </c>
      <c r="L12" s="324">
        <v>45883.0</v>
      </c>
      <c r="M12" s="324">
        <v>49535.0</v>
      </c>
      <c r="N12" s="43" t="s">
        <v>163</v>
      </c>
      <c r="O12" s="48" t="s">
        <v>1300</v>
      </c>
      <c r="P12" s="457">
        <v>45917.0</v>
      </c>
      <c r="Q12" s="39"/>
      <c r="R12" s="43">
        <v>176.0</v>
      </c>
      <c r="S12" s="39"/>
      <c r="T12" s="320" t="s">
        <v>1300</v>
      </c>
    </row>
    <row r="13">
      <c r="A13" s="60">
        <v>9.0</v>
      </c>
      <c r="B13" s="84"/>
      <c r="C13" s="84"/>
      <c r="D13" s="42" t="s">
        <v>1271</v>
      </c>
      <c r="E13" s="68" t="s">
        <v>1306</v>
      </c>
      <c r="F13" s="45" t="s">
        <v>1307</v>
      </c>
      <c r="G13" s="74" t="s">
        <v>1308</v>
      </c>
      <c r="H13" s="68"/>
      <c r="I13" s="46" t="str">
        <f t="shared" si="1"/>
        <v>F</v>
      </c>
      <c r="J13" s="91">
        <v>21554.0</v>
      </c>
      <c r="K13" s="68" t="s">
        <v>1309</v>
      </c>
      <c r="L13" s="77">
        <v>42590.0</v>
      </c>
      <c r="M13" s="77">
        <v>46242.0</v>
      </c>
      <c r="N13" s="43"/>
      <c r="O13" s="57"/>
      <c r="P13" s="457">
        <v>45932.0</v>
      </c>
      <c r="Q13" s="62" t="s">
        <v>1310</v>
      </c>
      <c r="R13" s="43">
        <v>181.0</v>
      </c>
      <c r="S13" s="42" t="s">
        <v>1301</v>
      </c>
      <c r="T13" s="460" t="s">
        <v>1311</v>
      </c>
    </row>
    <row r="14">
      <c r="A14" s="60">
        <v>10.0</v>
      </c>
      <c r="B14" s="28"/>
      <c r="C14" s="28"/>
      <c r="D14" s="28"/>
      <c r="E14" s="68" t="s">
        <v>1306</v>
      </c>
      <c r="F14" s="68" t="s">
        <v>1312</v>
      </c>
      <c r="G14" s="74" t="s">
        <v>1313</v>
      </c>
      <c r="H14" s="68"/>
      <c r="I14" s="46" t="str">
        <f t="shared" si="1"/>
        <v>F</v>
      </c>
      <c r="J14" s="91">
        <v>19536.0</v>
      </c>
      <c r="K14" s="45" t="s">
        <v>1314</v>
      </c>
      <c r="L14" s="324">
        <v>43727.0</v>
      </c>
      <c r="M14" s="324">
        <v>47380.0</v>
      </c>
      <c r="N14" s="43"/>
      <c r="O14" s="57"/>
      <c r="P14" s="457">
        <v>45932.0</v>
      </c>
      <c r="Q14" s="28"/>
      <c r="R14" s="43">
        <v>181.0</v>
      </c>
      <c r="S14" s="28"/>
      <c r="T14" s="157"/>
    </row>
    <row r="15">
      <c r="A15" s="60">
        <v>11.0</v>
      </c>
      <c r="B15" s="39"/>
      <c r="C15" s="39"/>
      <c r="D15" s="39"/>
      <c r="E15" s="68" t="s">
        <v>1306</v>
      </c>
      <c r="F15" s="68" t="s">
        <v>1315</v>
      </c>
      <c r="G15" s="74" t="s">
        <v>1316</v>
      </c>
      <c r="H15" s="68"/>
      <c r="I15" s="46" t="str">
        <f t="shared" si="1"/>
        <v>F</v>
      </c>
      <c r="J15" s="91">
        <v>23929.0</v>
      </c>
      <c r="K15" s="75" t="s">
        <v>1317</v>
      </c>
      <c r="L15" s="426">
        <v>45943.0</v>
      </c>
      <c r="M15" s="426">
        <v>49595.0</v>
      </c>
      <c r="N15" s="43" t="s">
        <v>1318</v>
      </c>
      <c r="O15" s="57"/>
      <c r="P15" s="457">
        <v>45932.0</v>
      </c>
      <c r="Q15" s="39"/>
      <c r="R15" s="43">
        <v>151.0</v>
      </c>
      <c r="S15" s="39"/>
      <c r="T15" s="122"/>
    </row>
    <row r="16">
      <c r="A16" s="60">
        <v>12.0</v>
      </c>
      <c r="B16" s="84"/>
      <c r="C16" s="84"/>
      <c r="D16" s="42"/>
      <c r="E16" s="68"/>
      <c r="F16" s="68"/>
      <c r="G16" s="69"/>
      <c r="I16" s="46" t="str">
        <f>IF(MOD(MID(H15,8,1),2)=1,"M","F")</f>
        <v>F</v>
      </c>
      <c r="J16" s="69"/>
      <c r="K16" s="68"/>
      <c r="L16" s="69"/>
      <c r="M16" s="69"/>
      <c r="N16" s="43"/>
      <c r="O16" s="57"/>
      <c r="P16" s="196"/>
      <c r="Q16" s="69"/>
      <c r="R16" s="69"/>
      <c r="S16" s="84"/>
      <c r="T16" s="183"/>
    </row>
    <row r="17">
      <c r="A17" s="60">
        <v>13.0</v>
      </c>
      <c r="B17" s="39"/>
      <c r="C17" s="39"/>
      <c r="D17" s="39"/>
      <c r="E17" s="68"/>
      <c r="F17" s="68"/>
      <c r="G17" s="69"/>
      <c r="H17" s="68"/>
      <c r="I17" s="46" t="str">
        <f t="shared" ref="I17:I34" si="2">IF(MOD(MID(H17,8,1),2)=1,"M","F")</f>
        <v>F</v>
      </c>
      <c r="J17" s="69"/>
      <c r="K17" s="68"/>
      <c r="L17" s="69"/>
      <c r="M17" s="69"/>
      <c r="N17" s="43"/>
      <c r="O17" s="57"/>
      <c r="P17" s="196"/>
      <c r="Q17" s="69"/>
      <c r="R17" s="69"/>
      <c r="S17" s="39"/>
      <c r="T17" s="183"/>
    </row>
    <row r="18">
      <c r="A18" s="60">
        <v>14.0</v>
      </c>
      <c r="B18" s="84"/>
      <c r="C18" s="84"/>
      <c r="D18" s="84"/>
      <c r="E18" s="68"/>
      <c r="F18" s="68"/>
      <c r="G18" s="69"/>
      <c r="H18" s="68"/>
      <c r="I18" s="46" t="str">
        <f t="shared" si="2"/>
        <v>F</v>
      </c>
      <c r="J18" s="69"/>
      <c r="K18" s="68"/>
      <c r="L18" s="69"/>
      <c r="M18" s="69"/>
      <c r="N18" s="43"/>
      <c r="O18" s="57"/>
      <c r="P18" s="196"/>
      <c r="Q18" s="69"/>
      <c r="R18" s="69"/>
      <c r="S18" s="84"/>
      <c r="T18" s="183"/>
    </row>
    <row r="19">
      <c r="A19" s="60">
        <v>15.0</v>
      </c>
      <c r="B19" s="39"/>
      <c r="C19" s="39"/>
      <c r="D19" s="39"/>
      <c r="E19" s="68"/>
      <c r="F19" s="68"/>
      <c r="G19" s="69"/>
      <c r="H19" s="68"/>
      <c r="I19" s="46" t="str">
        <f t="shared" si="2"/>
        <v>F</v>
      </c>
      <c r="J19" s="69"/>
      <c r="K19" s="68"/>
      <c r="L19" s="69"/>
      <c r="M19" s="69"/>
      <c r="N19" s="43"/>
      <c r="O19" s="57"/>
      <c r="P19" s="196"/>
      <c r="Q19" s="69"/>
      <c r="R19" s="69"/>
      <c r="S19" s="39"/>
      <c r="T19" s="183"/>
    </row>
    <row r="20">
      <c r="A20" s="60">
        <v>16.0</v>
      </c>
      <c r="B20" s="84"/>
      <c r="C20" s="84"/>
      <c r="D20" s="84"/>
      <c r="E20" s="68"/>
      <c r="F20" s="68"/>
      <c r="G20" s="69"/>
      <c r="H20" s="68"/>
      <c r="I20" s="46" t="str">
        <f t="shared" si="2"/>
        <v>F</v>
      </c>
      <c r="J20" s="69"/>
      <c r="K20" s="68"/>
      <c r="L20" s="69"/>
      <c r="M20" s="69"/>
      <c r="N20" s="43"/>
      <c r="O20" s="57"/>
      <c r="P20" s="196"/>
      <c r="Q20" s="69"/>
      <c r="R20" s="69"/>
      <c r="S20" s="84"/>
      <c r="T20" s="183"/>
    </row>
    <row r="21">
      <c r="A21" s="60">
        <v>17.0</v>
      </c>
      <c r="B21" s="39"/>
      <c r="C21" s="39"/>
      <c r="D21" s="39"/>
      <c r="E21" s="68"/>
      <c r="F21" s="68"/>
      <c r="G21" s="69"/>
      <c r="H21" s="68"/>
      <c r="I21" s="46" t="str">
        <f t="shared" si="2"/>
        <v>F</v>
      </c>
      <c r="J21" s="69"/>
      <c r="K21" s="68"/>
      <c r="L21" s="69"/>
      <c r="M21" s="69"/>
      <c r="N21" s="43"/>
      <c r="O21" s="57"/>
      <c r="P21" s="196"/>
      <c r="Q21" s="69"/>
      <c r="R21" s="69"/>
      <c r="S21" s="39"/>
      <c r="T21" s="183"/>
    </row>
    <row r="22">
      <c r="A22" s="60">
        <v>18.0</v>
      </c>
      <c r="B22" s="84"/>
      <c r="C22" s="84"/>
      <c r="D22" s="84"/>
      <c r="E22" s="68"/>
      <c r="F22" s="68"/>
      <c r="G22" s="69"/>
      <c r="H22" s="68"/>
      <c r="I22" s="46" t="str">
        <f t="shared" si="2"/>
        <v>F</v>
      </c>
      <c r="J22" s="69"/>
      <c r="K22" s="68"/>
      <c r="L22" s="69"/>
      <c r="M22" s="69"/>
      <c r="N22" s="43"/>
      <c r="O22" s="57"/>
      <c r="P22" s="196"/>
      <c r="Q22" s="69"/>
      <c r="R22" s="69"/>
      <c r="S22" s="84"/>
      <c r="T22" s="183"/>
    </row>
    <row r="23">
      <c r="A23" s="60">
        <v>19.0</v>
      </c>
      <c r="B23" s="39"/>
      <c r="C23" s="39"/>
      <c r="D23" s="39"/>
      <c r="E23" s="68"/>
      <c r="F23" s="68"/>
      <c r="G23" s="69"/>
      <c r="H23" s="68"/>
      <c r="I23" s="46" t="str">
        <f t="shared" si="2"/>
        <v>F</v>
      </c>
      <c r="J23" s="69"/>
      <c r="K23" s="68"/>
      <c r="L23" s="69"/>
      <c r="M23" s="69"/>
      <c r="N23" s="43"/>
      <c r="O23" s="57"/>
      <c r="P23" s="196"/>
      <c r="Q23" s="69"/>
      <c r="R23" s="69"/>
      <c r="S23" s="39"/>
      <c r="T23" s="183"/>
    </row>
    <row r="24">
      <c r="A24" s="60">
        <v>20.0</v>
      </c>
      <c r="B24" s="84"/>
      <c r="C24" s="84"/>
      <c r="D24" s="84"/>
      <c r="E24" s="68"/>
      <c r="F24" s="68"/>
      <c r="G24" s="69"/>
      <c r="H24" s="68"/>
      <c r="I24" s="46" t="str">
        <f t="shared" si="2"/>
        <v>F</v>
      </c>
      <c r="J24" s="69"/>
      <c r="K24" s="68"/>
      <c r="L24" s="68"/>
      <c r="M24" s="68"/>
      <c r="N24" s="43"/>
      <c r="O24" s="57"/>
      <c r="P24" s="196"/>
      <c r="Q24" s="69"/>
      <c r="R24" s="69"/>
      <c r="S24" s="84"/>
      <c r="T24" s="183"/>
    </row>
    <row r="25">
      <c r="A25" s="60">
        <v>21.0</v>
      </c>
      <c r="B25" s="39"/>
      <c r="C25" s="39"/>
      <c r="D25" s="39"/>
      <c r="E25" s="69"/>
      <c r="F25" s="69"/>
      <c r="G25" s="69"/>
      <c r="H25" s="68"/>
      <c r="I25" s="46" t="str">
        <f t="shared" si="2"/>
        <v>F</v>
      </c>
      <c r="J25" s="69"/>
      <c r="K25" s="68"/>
      <c r="L25" s="69"/>
      <c r="M25" s="69"/>
      <c r="N25" s="43"/>
      <c r="O25" s="57"/>
      <c r="P25" s="196"/>
      <c r="Q25" s="69"/>
      <c r="R25" s="69"/>
      <c r="S25" s="39"/>
      <c r="T25" s="183"/>
    </row>
    <row r="26">
      <c r="A26" s="60">
        <v>22.0</v>
      </c>
      <c r="B26" s="84"/>
      <c r="C26" s="84"/>
      <c r="D26" s="84"/>
      <c r="E26" s="69"/>
      <c r="F26" s="69"/>
      <c r="G26" s="69"/>
      <c r="H26" s="69"/>
      <c r="I26" s="46" t="str">
        <f t="shared" si="2"/>
        <v>F</v>
      </c>
      <c r="J26" s="69"/>
      <c r="K26" s="69"/>
      <c r="L26" s="69"/>
      <c r="M26" s="69"/>
      <c r="N26" s="43"/>
      <c r="O26" s="57"/>
      <c r="P26" s="196"/>
      <c r="Q26" s="69"/>
      <c r="R26" s="69"/>
      <c r="S26" s="84"/>
      <c r="T26" s="183"/>
    </row>
    <row r="27">
      <c r="A27" s="60">
        <v>23.0</v>
      </c>
      <c r="B27" s="39"/>
      <c r="C27" s="39"/>
      <c r="D27" s="39"/>
      <c r="E27" s="69"/>
      <c r="F27" s="69"/>
      <c r="G27" s="69"/>
      <c r="H27" s="69"/>
      <c r="I27" s="46" t="str">
        <f t="shared" si="2"/>
        <v>F</v>
      </c>
      <c r="J27" s="69"/>
      <c r="K27" s="69"/>
      <c r="L27" s="69"/>
      <c r="M27" s="69"/>
      <c r="N27" s="43"/>
      <c r="O27" s="57"/>
      <c r="P27" s="196"/>
      <c r="Q27" s="69"/>
      <c r="R27" s="69"/>
      <c r="S27" s="39"/>
      <c r="T27" s="183"/>
    </row>
    <row r="28">
      <c r="A28" s="60">
        <v>24.0</v>
      </c>
      <c r="B28" s="84"/>
      <c r="C28" s="84"/>
      <c r="D28" s="84"/>
      <c r="E28" s="69"/>
      <c r="F28" s="69"/>
      <c r="G28" s="69"/>
      <c r="H28" s="68"/>
      <c r="I28" s="46" t="str">
        <f t="shared" si="2"/>
        <v>F</v>
      </c>
      <c r="J28" s="69"/>
      <c r="K28" s="68"/>
      <c r="L28" s="69"/>
      <c r="M28" s="69"/>
      <c r="N28" s="43"/>
      <c r="O28" s="57"/>
      <c r="P28" s="196"/>
      <c r="Q28" s="69"/>
      <c r="R28" s="69"/>
      <c r="S28" s="84"/>
      <c r="T28" s="183"/>
    </row>
    <row r="29">
      <c r="A29" s="60">
        <v>25.0</v>
      </c>
      <c r="B29" s="39"/>
      <c r="C29" s="39"/>
      <c r="D29" s="39"/>
      <c r="E29" s="69"/>
      <c r="F29" s="69"/>
      <c r="G29" s="69"/>
      <c r="H29" s="68"/>
      <c r="I29" s="46" t="str">
        <f t="shared" si="2"/>
        <v>F</v>
      </c>
      <c r="J29" s="69"/>
      <c r="K29" s="68"/>
      <c r="L29" s="69"/>
      <c r="M29" s="69"/>
      <c r="N29" s="43"/>
      <c r="O29" s="57"/>
      <c r="P29" s="196"/>
      <c r="Q29" s="69"/>
      <c r="R29" s="69"/>
      <c r="S29" s="39"/>
      <c r="T29" s="183"/>
    </row>
    <row r="30">
      <c r="A30" s="60">
        <v>26.0</v>
      </c>
      <c r="B30" s="84"/>
      <c r="C30" s="84"/>
      <c r="D30" s="84"/>
      <c r="E30" s="68"/>
      <c r="F30" s="68"/>
      <c r="G30" s="69"/>
      <c r="H30" s="68"/>
      <c r="I30" s="46" t="str">
        <f t="shared" si="2"/>
        <v>F</v>
      </c>
      <c r="J30" s="69"/>
      <c r="K30" s="68"/>
      <c r="L30" s="69"/>
      <c r="M30" s="69"/>
      <c r="N30" s="43"/>
      <c r="O30" s="57"/>
      <c r="P30" s="196"/>
      <c r="Q30" s="69"/>
      <c r="R30" s="69"/>
      <c r="S30" s="84"/>
      <c r="T30" s="183"/>
    </row>
    <row r="31">
      <c r="A31" s="60">
        <v>27.0</v>
      </c>
      <c r="B31" s="39"/>
      <c r="C31" s="39"/>
      <c r="D31" s="39"/>
      <c r="E31" s="68"/>
      <c r="F31" s="68"/>
      <c r="G31" s="69"/>
      <c r="H31" s="68"/>
      <c r="I31" s="46" t="str">
        <f t="shared" si="2"/>
        <v>F</v>
      </c>
      <c r="J31" s="69"/>
      <c r="K31" s="68"/>
      <c r="L31" s="69"/>
      <c r="M31" s="69"/>
      <c r="N31" s="43"/>
      <c r="O31" s="57"/>
      <c r="P31" s="196"/>
      <c r="Q31" s="69"/>
      <c r="R31" s="69"/>
      <c r="S31" s="39"/>
      <c r="T31" s="183"/>
    </row>
    <row r="32">
      <c r="A32" s="60">
        <v>28.0</v>
      </c>
      <c r="B32" s="84"/>
      <c r="C32" s="84"/>
      <c r="D32" s="84"/>
      <c r="E32" s="68"/>
      <c r="F32" s="68"/>
      <c r="G32" s="69"/>
      <c r="H32" s="68"/>
      <c r="I32" s="46" t="str">
        <f t="shared" si="2"/>
        <v>F</v>
      </c>
      <c r="J32" s="69"/>
      <c r="K32" s="68"/>
      <c r="L32" s="69"/>
      <c r="M32" s="69"/>
      <c r="N32" s="43"/>
      <c r="O32" s="57"/>
      <c r="P32" s="196"/>
      <c r="Q32" s="69"/>
      <c r="R32" s="69"/>
      <c r="S32" s="84"/>
      <c r="T32" s="183"/>
    </row>
    <row r="33">
      <c r="A33" s="60">
        <v>29.0</v>
      </c>
      <c r="B33" s="39"/>
      <c r="C33" s="39"/>
      <c r="D33" s="39"/>
      <c r="E33" s="68"/>
      <c r="F33" s="68"/>
      <c r="G33" s="69"/>
      <c r="H33" s="68"/>
      <c r="I33" s="46" t="str">
        <f t="shared" si="2"/>
        <v>F</v>
      </c>
      <c r="J33" s="69"/>
      <c r="K33" s="68"/>
      <c r="L33" s="69"/>
      <c r="M33" s="69"/>
      <c r="N33" s="43"/>
      <c r="O33" s="57"/>
      <c r="P33" s="196"/>
      <c r="Q33" s="69"/>
      <c r="R33" s="69"/>
      <c r="S33" s="39"/>
      <c r="T33" s="183"/>
    </row>
    <row r="34">
      <c r="A34" s="60">
        <v>30.0</v>
      </c>
      <c r="B34" s="69"/>
      <c r="C34" s="69"/>
      <c r="D34" s="69"/>
      <c r="E34" s="68"/>
      <c r="F34" s="68"/>
      <c r="G34" s="69"/>
      <c r="H34" s="68"/>
      <c r="I34" s="46" t="str">
        <f t="shared" si="2"/>
        <v>F</v>
      </c>
      <c r="J34" s="69"/>
      <c r="K34" s="68"/>
      <c r="L34" s="69"/>
      <c r="M34" s="69"/>
      <c r="N34" s="43"/>
      <c r="O34" s="57"/>
      <c r="P34" s="196"/>
      <c r="Q34" s="69"/>
      <c r="R34" s="69"/>
      <c r="S34" s="69"/>
      <c r="T34" s="183"/>
    </row>
    <row r="35">
      <c r="A35" s="294">
        <v>31.0</v>
      </c>
      <c r="B35" s="293"/>
      <c r="C35" s="294" t="s">
        <v>290</v>
      </c>
      <c r="D35" s="124"/>
      <c r="E35" s="295"/>
      <c r="F35" s="295"/>
      <c r="G35" s="124"/>
      <c r="H35" s="295"/>
      <c r="I35" s="124"/>
      <c r="J35" s="124"/>
      <c r="K35" s="295"/>
      <c r="L35" s="295"/>
      <c r="M35" s="295"/>
      <c r="N35" s="43"/>
      <c r="O35" s="298"/>
      <c r="P35" s="304"/>
      <c r="Q35" s="302"/>
      <c r="R35" s="302"/>
      <c r="S35" s="302"/>
      <c r="T35" s="461"/>
    </row>
    <row r="36">
      <c r="A36" s="138"/>
      <c r="B36" s="138"/>
      <c r="C36" s="138"/>
      <c r="D36" s="138"/>
      <c r="E36" s="138"/>
      <c r="F36" s="138"/>
      <c r="G36" s="138"/>
      <c r="H36" s="138" t="s">
        <v>291</v>
      </c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</row>
  </sheetData>
  <mergeCells count="62">
    <mergeCell ref="C24:C25"/>
    <mergeCell ref="D24:D25"/>
    <mergeCell ref="B20:B21"/>
    <mergeCell ref="C20:C21"/>
    <mergeCell ref="D20:D21"/>
    <mergeCell ref="B22:B23"/>
    <mergeCell ref="C22:C23"/>
    <mergeCell ref="D22:D23"/>
    <mergeCell ref="B24:B25"/>
    <mergeCell ref="C32:C33"/>
    <mergeCell ref="D32:D33"/>
    <mergeCell ref="B28:B29"/>
    <mergeCell ref="C28:C29"/>
    <mergeCell ref="D28:D29"/>
    <mergeCell ref="B30:B31"/>
    <mergeCell ref="C30:C31"/>
    <mergeCell ref="D30:D31"/>
    <mergeCell ref="B32:B33"/>
    <mergeCell ref="B5:B6"/>
    <mergeCell ref="C5:C6"/>
    <mergeCell ref="D5:D6"/>
    <mergeCell ref="S5:S6"/>
    <mergeCell ref="C7:C8"/>
    <mergeCell ref="D7:D8"/>
    <mergeCell ref="S7:S8"/>
    <mergeCell ref="B7:B8"/>
    <mergeCell ref="B9:B10"/>
    <mergeCell ref="C9:C10"/>
    <mergeCell ref="D9:D10"/>
    <mergeCell ref="B11:B12"/>
    <mergeCell ref="C11:C12"/>
    <mergeCell ref="D11:D12"/>
    <mergeCell ref="P9:P10"/>
    <mergeCell ref="Q9:Q10"/>
    <mergeCell ref="S9:S10"/>
    <mergeCell ref="T9:T10"/>
    <mergeCell ref="Q11:Q12"/>
    <mergeCell ref="S11:S12"/>
    <mergeCell ref="Q13:Q15"/>
    <mergeCell ref="C18:C19"/>
    <mergeCell ref="D18:D19"/>
    <mergeCell ref="B13:B15"/>
    <mergeCell ref="C13:C15"/>
    <mergeCell ref="D13:D15"/>
    <mergeCell ref="B16:B17"/>
    <mergeCell ref="C16:C17"/>
    <mergeCell ref="D16:D17"/>
    <mergeCell ref="B18:B19"/>
    <mergeCell ref="B26:B27"/>
    <mergeCell ref="C26:C27"/>
    <mergeCell ref="D26:D27"/>
    <mergeCell ref="S26:S27"/>
    <mergeCell ref="S28:S29"/>
    <mergeCell ref="S30:S31"/>
    <mergeCell ref="S32:S33"/>
    <mergeCell ref="S13:S15"/>
    <mergeCell ref="T13:T15"/>
    <mergeCell ref="S16:S17"/>
    <mergeCell ref="S18:S19"/>
    <mergeCell ref="S20:S21"/>
    <mergeCell ref="S22:S23"/>
    <mergeCell ref="S24:S25"/>
  </mergeCells>
  <conditionalFormatting sqref="D4">
    <cfRule type="containsText" dxfId="0" priority="1" operator="containsText" text="3인">
      <formula>NOT(ISERROR(SEARCH(("3인"),(D4))))</formula>
    </cfRule>
  </conditionalFormatting>
  <conditionalFormatting sqref="D4">
    <cfRule type="containsText" dxfId="1" priority="2" operator="containsText" text="4인">
      <formula>NOT(ISERROR(SEARCH(("4인"),(D4))))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8" max="8" width="15.75"/>
    <col customWidth="1" min="20" max="20" width="25.38"/>
  </cols>
  <sheetData>
    <row r="1">
      <c r="A1" s="1"/>
      <c r="B1" s="1"/>
      <c r="C1" s="1"/>
      <c r="D1" s="1"/>
      <c r="E1" s="1"/>
      <c r="F1" s="1"/>
      <c r="G1" s="1"/>
      <c r="H1" s="1" t="s">
        <v>1319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8"/>
      <c r="B2" s="8"/>
      <c r="C2" s="8"/>
      <c r="D2" s="8"/>
      <c r="E2" s="8"/>
      <c r="F2" s="8"/>
      <c r="G2" s="8"/>
      <c r="H2" s="8" t="s">
        <v>1252</v>
      </c>
      <c r="I2" s="8"/>
      <c r="J2" s="8"/>
      <c r="K2" s="8"/>
      <c r="L2" s="8"/>
      <c r="M2" s="8"/>
      <c r="N2" s="8"/>
      <c r="O2" s="10"/>
      <c r="P2" s="450"/>
      <c r="Q2" s="14"/>
      <c r="R2" s="14"/>
      <c r="S2" s="14"/>
      <c r="T2" s="152"/>
    </row>
    <row r="3">
      <c r="A3" s="19" t="s">
        <v>5</v>
      </c>
      <c r="B3" s="19" t="s">
        <v>6</v>
      </c>
      <c r="C3" s="19" t="s">
        <v>7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16</v>
      </c>
      <c r="K3" s="19" t="s">
        <v>17</v>
      </c>
      <c r="L3" s="19" t="s">
        <v>1253</v>
      </c>
      <c r="M3" s="19" t="s">
        <v>19</v>
      </c>
      <c r="N3" s="19" t="s">
        <v>20</v>
      </c>
      <c r="O3" s="21" t="s">
        <v>21</v>
      </c>
      <c r="P3" s="451" t="s">
        <v>1254</v>
      </c>
      <c r="Q3" s="25" t="s">
        <v>23</v>
      </c>
      <c r="R3" s="25" t="s">
        <v>24</v>
      </c>
      <c r="S3" s="25" t="s">
        <v>25</v>
      </c>
      <c r="T3" s="156" t="s">
        <v>26</v>
      </c>
    </row>
    <row r="4">
      <c r="A4" s="452">
        <v>1.0</v>
      </c>
      <c r="B4" s="452" t="s">
        <v>27</v>
      </c>
      <c r="C4" s="452" t="s">
        <v>27</v>
      </c>
      <c r="D4" s="452" t="s">
        <v>1255</v>
      </c>
      <c r="E4" s="452" t="s">
        <v>31</v>
      </c>
      <c r="F4" s="452" t="s">
        <v>32</v>
      </c>
      <c r="G4" s="452" t="s">
        <v>33</v>
      </c>
      <c r="H4" s="452" t="s">
        <v>34</v>
      </c>
      <c r="I4" s="452" t="s">
        <v>35</v>
      </c>
      <c r="J4" s="452" t="s">
        <v>36</v>
      </c>
      <c r="K4" s="452" t="s">
        <v>37</v>
      </c>
      <c r="L4" s="452" t="s">
        <v>36</v>
      </c>
      <c r="M4" s="452" t="s">
        <v>36</v>
      </c>
      <c r="N4" s="452" t="s">
        <v>38</v>
      </c>
      <c r="O4" s="453"/>
      <c r="P4" s="454" t="s">
        <v>36</v>
      </c>
      <c r="Q4" s="455" t="s">
        <v>39</v>
      </c>
      <c r="R4" s="455" t="s">
        <v>1256</v>
      </c>
      <c r="S4" s="455" t="s">
        <v>1257</v>
      </c>
      <c r="T4" s="456" t="s">
        <v>1258</v>
      </c>
    </row>
    <row r="5">
      <c r="A5" s="462">
        <v>1.0</v>
      </c>
      <c r="B5" s="463"/>
      <c r="C5" s="464">
        <v>1.0</v>
      </c>
      <c r="D5" s="465" t="s">
        <v>1320</v>
      </c>
      <c r="E5" s="466" t="s">
        <v>1321</v>
      </c>
      <c r="F5" s="467" t="s">
        <v>1322</v>
      </c>
      <c r="G5" s="466" t="s">
        <v>1323</v>
      </c>
      <c r="H5" s="467"/>
      <c r="I5" s="468" t="s">
        <v>47</v>
      </c>
      <c r="J5" s="469">
        <v>20111.0</v>
      </c>
      <c r="K5" s="466" t="s">
        <v>1324</v>
      </c>
      <c r="L5" s="470">
        <v>44064.0</v>
      </c>
      <c r="M5" s="470">
        <v>47716.0</v>
      </c>
      <c r="N5" s="467" t="s">
        <v>1325</v>
      </c>
      <c r="O5" s="471"/>
      <c r="P5" s="472">
        <v>45931.0</v>
      </c>
      <c r="Q5" s="467" t="s">
        <v>132</v>
      </c>
      <c r="R5" s="467">
        <v>55.0</v>
      </c>
      <c r="S5" s="465" t="s">
        <v>1301</v>
      </c>
      <c r="T5" s="473" t="s">
        <v>1326</v>
      </c>
    </row>
    <row r="6">
      <c r="A6" s="462">
        <v>2.0</v>
      </c>
      <c r="B6" s="39"/>
      <c r="C6" s="28"/>
      <c r="D6" s="39"/>
      <c r="E6" s="466" t="s">
        <v>31</v>
      </c>
      <c r="F6" s="467" t="s">
        <v>1327</v>
      </c>
      <c r="G6" s="466" t="s">
        <v>1328</v>
      </c>
      <c r="H6" s="467"/>
      <c r="I6" s="468" t="str">
        <f>IF(MOD(MID(H6,8,1),2)=1,"M","F")</f>
        <v>F</v>
      </c>
      <c r="J6" s="469">
        <v>21172.0</v>
      </c>
      <c r="K6" s="466" t="s">
        <v>1329</v>
      </c>
      <c r="L6" s="470">
        <v>44553.0</v>
      </c>
      <c r="M6" s="470">
        <v>48205.0</v>
      </c>
      <c r="N6" s="467"/>
      <c r="O6" s="471"/>
      <c r="P6" s="472">
        <v>45931.0</v>
      </c>
      <c r="Q6" s="467" t="s">
        <v>132</v>
      </c>
      <c r="R6" s="467">
        <v>55.0</v>
      </c>
      <c r="S6" s="39"/>
      <c r="T6" s="474"/>
    </row>
    <row r="7">
      <c r="A7" s="462">
        <v>3.0</v>
      </c>
      <c r="B7" s="463"/>
      <c r="C7" s="28"/>
      <c r="D7" s="465" t="s">
        <v>1320</v>
      </c>
      <c r="E7" s="467" t="s">
        <v>764</v>
      </c>
      <c r="F7" s="467" t="s">
        <v>1330</v>
      </c>
      <c r="G7" s="467" t="s">
        <v>1331</v>
      </c>
      <c r="H7" s="467"/>
      <c r="I7" s="468" t="s">
        <v>47</v>
      </c>
      <c r="J7" s="467" t="s">
        <v>1332</v>
      </c>
      <c r="K7" s="467" t="s">
        <v>1333</v>
      </c>
      <c r="L7" s="475">
        <v>43612.0</v>
      </c>
      <c r="M7" s="475">
        <v>47265.0</v>
      </c>
      <c r="N7" s="467" t="s">
        <v>1334</v>
      </c>
      <c r="O7" s="471"/>
      <c r="P7" s="472">
        <v>45932.0</v>
      </c>
      <c r="Q7" s="467" t="s">
        <v>132</v>
      </c>
      <c r="R7" s="467">
        <v>55.0</v>
      </c>
      <c r="S7" s="465" t="s">
        <v>1301</v>
      </c>
      <c r="T7" s="473" t="s">
        <v>1335</v>
      </c>
    </row>
    <row r="8">
      <c r="A8" s="462">
        <v>4.0</v>
      </c>
      <c r="B8" s="39"/>
      <c r="C8" s="28"/>
      <c r="D8" s="39"/>
      <c r="E8" s="467" t="s">
        <v>1336</v>
      </c>
      <c r="F8" s="467" t="s">
        <v>1337</v>
      </c>
      <c r="G8" s="467" t="s">
        <v>1338</v>
      </c>
      <c r="H8" s="467"/>
      <c r="I8" s="468" t="s">
        <v>57</v>
      </c>
      <c r="J8" s="475">
        <v>22290.0</v>
      </c>
      <c r="K8" s="467" t="s">
        <v>1339</v>
      </c>
      <c r="L8" s="475">
        <v>44890.0</v>
      </c>
      <c r="M8" s="475">
        <v>48543.0</v>
      </c>
      <c r="N8" s="467"/>
      <c r="O8" s="471"/>
      <c r="P8" s="472">
        <v>45932.0</v>
      </c>
      <c r="Q8" s="467" t="s">
        <v>132</v>
      </c>
      <c r="R8" s="467">
        <v>55.0</v>
      </c>
      <c r="S8" s="39"/>
      <c r="T8" s="474"/>
    </row>
    <row r="9">
      <c r="A9" s="462">
        <v>5.0</v>
      </c>
      <c r="B9" s="463"/>
      <c r="C9" s="28"/>
      <c r="D9" s="465" t="s">
        <v>1320</v>
      </c>
      <c r="E9" s="466" t="s">
        <v>44</v>
      </c>
      <c r="F9" s="466" t="s">
        <v>1340</v>
      </c>
      <c r="G9" s="467" t="s">
        <v>1341</v>
      </c>
      <c r="H9" s="467"/>
      <c r="I9" s="476" t="s">
        <v>47</v>
      </c>
      <c r="J9" s="469">
        <v>24381.0</v>
      </c>
      <c r="K9" s="467" t="s">
        <v>1342</v>
      </c>
      <c r="L9" s="475">
        <v>42954.0</v>
      </c>
      <c r="M9" s="475">
        <v>46606.0</v>
      </c>
      <c r="N9" s="477" t="s">
        <v>1343</v>
      </c>
      <c r="O9" s="471"/>
      <c r="P9" s="478">
        <v>45933.0</v>
      </c>
      <c r="Q9" s="465" t="s">
        <v>132</v>
      </c>
      <c r="R9" s="467">
        <v>55.0</v>
      </c>
      <c r="S9" s="465" t="s">
        <v>1301</v>
      </c>
      <c r="T9" s="473"/>
    </row>
    <row r="10">
      <c r="A10" s="462">
        <v>6.0</v>
      </c>
      <c r="B10" s="39"/>
      <c r="C10" s="39"/>
      <c r="D10" s="39"/>
      <c r="E10" s="466" t="s">
        <v>44</v>
      </c>
      <c r="F10" s="466" t="s">
        <v>1344</v>
      </c>
      <c r="G10" s="467" t="s">
        <v>1345</v>
      </c>
      <c r="H10" s="467"/>
      <c r="I10" s="476" t="s">
        <v>47</v>
      </c>
      <c r="J10" s="479">
        <v>38705.0</v>
      </c>
      <c r="K10" s="467" t="s">
        <v>1346</v>
      </c>
      <c r="L10" s="475">
        <v>45258.0</v>
      </c>
      <c r="M10" s="475">
        <v>47085.0</v>
      </c>
      <c r="N10" s="467"/>
      <c r="O10" s="471"/>
      <c r="P10" s="56"/>
      <c r="Q10" s="39"/>
      <c r="R10" s="467">
        <v>55.0</v>
      </c>
      <c r="S10" s="39"/>
      <c r="T10" s="473"/>
    </row>
    <row r="11">
      <c r="A11" s="480">
        <v>7.0</v>
      </c>
      <c r="B11" s="481"/>
      <c r="C11" s="482">
        <v>3.0</v>
      </c>
      <c r="D11" s="483" t="s">
        <v>1320</v>
      </c>
      <c r="E11" s="484" t="s">
        <v>165</v>
      </c>
      <c r="F11" s="484" t="s">
        <v>1347</v>
      </c>
      <c r="G11" s="484" t="s">
        <v>1348</v>
      </c>
      <c r="H11" s="485"/>
      <c r="I11" s="486" t="str">
        <f>IF(MOD(MID(H11,8,1),2)=1,"M","F")</f>
        <v>F</v>
      </c>
      <c r="J11" s="487">
        <v>22331.0</v>
      </c>
      <c r="K11" s="484" t="s">
        <v>1349</v>
      </c>
      <c r="L11" s="488">
        <v>45895.0</v>
      </c>
      <c r="M11" s="488">
        <v>49547.0</v>
      </c>
      <c r="N11" s="484" t="s">
        <v>1350</v>
      </c>
      <c r="O11" s="489"/>
      <c r="P11" s="490">
        <v>45933.0</v>
      </c>
      <c r="Q11" s="483" t="s">
        <v>228</v>
      </c>
      <c r="R11" s="484">
        <v>55.0</v>
      </c>
      <c r="S11" s="483" t="s">
        <v>67</v>
      </c>
      <c r="T11" s="491"/>
      <c r="U11" s="492"/>
      <c r="V11" s="492"/>
      <c r="W11" s="492"/>
      <c r="X11" s="492"/>
      <c r="Y11" s="492"/>
      <c r="Z11" s="492"/>
      <c r="AA11" s="492"/>
    </row>
    <row r="12">
      <c r="A12" s="480">
        <v>8.0</v>
      </c>
      <c r="B12" s="39"/>
      <c r="C12" s="39"/>
      <c r="D12" s="39"/>
      <c r="E12" s="484" t="s">
        <v>242</v>
      </c>
      <c r="F12" s="484" t="s">
        <v>1351</v>
      </c>
      <c r="G12" s="484" t="s">
        <v>1352</v>
      </c>
      <c r="H12" s="485"/>
      <c r="I12" s="486" t="s">
        <v>47</v>
      </c>
      <c r="J12" s="493">
        <v>23006.0</v>
      </c>
      <c r="K12" s="484" t="s">
        <v>1353</v>
      </c>
      <c r="L12" s="488">
        <v>45895.0</v>
      </c>
      <c r="M12" s="488">
        <v>49547.0</v>
      </c>
      <c r="N12" s="484"/>
      <c r="O12" s="489"/>
      <c r="P12" s="56"/>
      <c r="Q12" s="39"/>
      <c r="R12" s="484">
        <v>55.0</v>
      </c>
      <c r="S12" s="39"/>
      <c r="T12" s="491"/>
      <c r="U12" s="492"/>
      <c r="V12" s="492"/>
      <c r="W12" s="492"/>
      <c r="X12" s="492"/>
      <c r="Y12" s="492"/>
      <c r="Z12" s="492"/>
      <c r="AA12" s="492"/>
    </row>
    <row r="13">
      <c r="A13" s="494">
        <v>9.0</v>
      </c>
      <c r="B13" s="495"/>
      <c r="C13" s="496">
        <v>4.0</v>
      </c>
      <c r="D13" s="497" t="s">
        <v>1320</v>
      </c>
      <c r="E13" s="498" t="s">
        <v>127</v>
      </c>
      <c r="F13" s="498" t="s">
        <v>1354</v>
      </c>
      <c r="G13" s="498" t="s">
        <v>1355</v>
      </c>
      <c r="H13" s="499"/>
      <c r="I13" s="500" t="s">
        <v>47</v>
      </c>
      <c r="J13" s="501">
        <v>21131.0</v>
      </c>
      <c r="K13" s="498" t="s">
        <v>1356</v>
      </c>
      <c r="L13" s="502">
        <v>45734.0</v>
      </c>
      <c r="M13" s="502">
        <v>49386.0</v>
      </c>
      <c r="N13" s="498" t="s">
        <v>1357</v>
      </c>
      <c r="O13" s="503"/>
      <c r="P13" s="504">
        <v>45935.0</v>
      </c>
      <c r="Q13" s="497" t="s">
        <v>132</v>
      </c>
      <c r="R13" s="498">
        <v>55.0</v>
      </c>
      <c r="S13" s="497" t="s">
        <v>67</v>
      </c>
      <c r="T13" s="505"/>
      <c r="U13" s="506"/>
      <c r="V13" s="506"/>
      <c r="W13" s="506"/>
      <c r="X13" s="506"/>
      <c r="Y13" s="506"/>
      <c r="Z13" s="506"/>
      <c r="AA13" s="506"/>
    </row>
    <row r="14">
      <c r="A14" s="494">
        <v>10.0</v>
      </c>
      <c r="B14" s="39"/>
      <c r="C14" s="39"/>
      <c r="D14" s="39"/>
      <c r="E14" s="498" t="s">
        <v>1358</v>
      </c>
      <c r="F14" s="498" t="s">
        <v>1359</v>
      </c>
      <c r="G14" s="498" t="s">
        <v>1360</v>
      </c>
      <c r="H14" s="499"/>
      <c r="I14" s="500" t="str">
        <f>IF(MOD(MID(H14,8,1),2)=1,"M","F")</f>
        <v>F</v>
      </c>
      <c r="J14" s="507">
        <v>22245.0</v>
      </c>
      <c r="K14" s="498" t="s">
        <v>1361</v>
      </c>
      <c r="L14" s="502">
        <v>45734.0</v>
      </c>
      <c r="M14" s="502">
        <v>49386.0</v>
      </c>
      <c r="N14" s="498"/>
      <c r="O14" s="503"/>
      <c r="P14" s="56"/>
      <c r="Q14" s="39"/>
      <c r="R14" s="498">
        <v>55.0</v>
      </c>
      <c r="S14" s="39"/>
      <c r="T14" s="505"/>
      <c r="U14" s="506"/>
      <c r="V14" s="506"/>
      <c r="W14" s="506"/>
      <c r="X14" s="506"/>
      <c r="Y14" s="506"/>
      <c r="Z14" s="506"/>
      <c r="AA14" s="506"/>
    </row>
    <row r="15">
      <c r="A15" s="508">
        <v>11.0</v>
      </c>
      <c r="B15" s="509"/>
      <c r="C15" s="510">
        <v>5.0</v>
      </c>
      <c r="D15" s="511" t="s">
        <v>1320</v>
      </c>
      <c r="E15" s="512" t="s">
        <v>31</v>
      </c>
      <c r="F15" s="512" t="s">
        <v>1362</v>
      </c>
      <c r="G15" s="512" t="s">
        <v>1363</v>
      </c>
      <c r="H15" s="513"/>
      <c r="I15" s="514" t="s">
        <v>47</v>
      </c>
      <c r="J15" s="515">
        <v>20250.0</v>
      </c>
      <c r="K15" s="512" t="s">
        <v>1364</v>
      </c>
      <c r="L15" s="516">
        <v>43879.0</v>
      </c>
      <c r="M15" s="516">
        <v>47532.0</v>
      </c>
      <c r="N15" s="512" t="s">
        <v>1365</v>
      </c>
      <c r="O15" s="517"/>
      <c r="P15" s="518">
        <v>45936.0</v>
      </c>
      <c r="Q15" s="511" t="s">
        <v>132</v>
      </c>
      <c r="R15" s="512">
        <v>55.0</v>
      </c>
      <c r="S15" s="511" t="s">
        <v>67</v>
      </c>
      <c r="T15" s="519" t="s">
        <v>1366</v>
      </c>
      <c r="U15" s="520"/>
      <c r="V15" s="520"/>
      <c r="W15" s="520"/>
      <c r="X15" s="520"/>
      <c r="Y15" s="520"/>
      <c r="Z15" s="520"/>
      <c r="AA15" s="520"/>
    </row>
    <row r="16">
      <c r="A16" s="508">
        <v>12.0</v>
      </c>
      <c r="B16" s="39"/>
      <c r="C16" s="28"/>
      <c r="D16" s="39"/>
      <c r="E16" s="512" t="s">
        <v>31</v>
      </c>
      <c r="F16" s="512" t="s">
        <v>1367</v>
      </c>
      <c r="G16" s="512" t="s">
        <v>1368</v>
      </c>
      <c r="H16" s="513"/>
      <c r="I16" s="514" t="str">
        <f>IF(MOD(MID(H16,8,1),2)=1,"M","F")</f>
        <v>F</v>
      </c>
      <c r="J16" s="515">
        <v>22906.0</v>
      </c>
      <c r="K16" s="512" t="s">
        <v>1369</v>
      </c>
      <c r="L16" s="516">
        <v>42635.0</v>
      </c>
      <c r="M16" s="516">
        <v>46287.0</v>
      </c>
      <c r="N16" s="512"/>
      <c r="O16" s="517"/>
      <c r="P16" s="56"/>
      <c r="Q16" s="39"/>
      <c r="R16" s="512">
        <v>55.0</v>
      </c>
      <c r="S16" s="39"/>
      <c r="T16" s="519" t="s">
        <v>1366</v>
      </c>
      <c r="U16" s="520"/>
      <c r="V16" s="520"/>
      <c r="W16" s="520"/>
      <c r="X16" s="520"/>
      <c r="Y16" s="520"/>
      <c r="Z16" s="520"/>
      <c r="AA16" s="520"/>
    </row>
    <row r="17">
      <c r="A17" s="508">
        <v>13.0</v>
      </c>
      <c r="B17" s="509"/>
      <c r="C17" s="28"/>
      <c r="D17" s="511" t="s">
        <v>1320</v>
      </c>
      <c r="E17" s="512" t="s">
        <v>31</v>
      </c>
      <c r="F17" s="512" t="s">
        <v>1370</v>
      </c>
      <c r="G17" s="512" t="s">
        <v>1371</v>
      </c>
      <c r="H17" s="513"/>
      <c r="I17" s="514" t="s">
        <v>47</v>
      </c>
      <c r="J17" s="515">
        <v>20483.0</v>
      </c>
      <c r="K17" s="512" t="s">
        <v>1372</v>
      </c>
      <c r="L17" s="516">
        <v>45222.0</v>
      </c>
      <c r="M17" s="516">
        <v>48875.0</v>
      </c>
      <c r="N17" s="512"/>
      <c r="O17" s="517"/>
      <c r="P17" s="518">
        <v>45936.0</v>
      </c>
      <c r="Q17" s="511" t="s">
        <v>132</v>
      </c>
      <c r="R17" s="512">
        <v>55.0</v>
      </c>
      <c r="S17" s="511" t="s">
        <v>67</v>
      </c>
      <c r="T17" s="519" t="s">
        <v>1366</v>
      </c>
      <c r="U17" s="520"/>
      <c r="V17" s="520"/>
      <c r="W17" s="520"/>
      <c r="X17" s="520"/>
      <c r="Y17" s="520"/>
      <c r="Z17" s="520"/>
      <c r="AA17" s="520"/>
    </row>
    <row r="18">
      <c r="A18" s="508">
        <v>14.0</v>
      </c>
      <c r="B18" s="39"/>
      <c r="C18" s="28"/>
      <c r="D18" s="39"/>
      <c r="E18" s="512" t="s">
        <v>31</v>
      </c>
      <c r="F18" s="512" t="s">
        <v>1373</v>
      </c>
      <c r="G18" s="512" t="s">
        <v>1374</v>
      </c>
      <c r="H18" s="513"/>
      <c r="I18" s="514" t="s">
        <v>57</v>
      </c>
      <c r="J18" s="515">
        <v>23752.0</v>
      </c>
      <c r="K18" s="512" t="s">
        <v>1375</v>
      </c>
      <c r="L18" s="516">
        <v>42717.0</v>
      </c>
      <c r="M18" s="516">
        <v>46369.0</v>
      </c>
      <c r="N18" s="512"/>
      <c r="O18" s="517"/>
      <c r="P18" s="56"/>
      <c r="Q18" s="39"/>
      <c r="R18" s="512">
        <v>55.0</v>
      </c>
      <c r="S18" s="39"/>
      <c r="T18" s="519" t="s">
        <v>1376</v>
      </c>
      <c r="U18" s="520"/>
      <c r="V18" s="520"/>
      <c r="W18" s="520"/>
      <c r="X18" s="520"/>
      <c r="Y18" s="520"/>
      <c r="Z18" s="520"/>
      <c r="AA18" s="520"/>
    </row>
    <row r="19">
      <c r="A19" s="508">
        <v>15.0</v>
      </c>
      <c r="B19" s="509"/>
      <c r="C19" s="28"/>
      <c r="D19" s="511" t="s">
        <v>1320</v>
      </c>
      <c r="E19" s="512" t="s">
        <v>1377</v>
      </c>
      <c r="F19" s="512" t="s">
        <v>1378</v>
      </c>
      <c r="G19" s="512" t="s">
        <v>1379</v>
      </c>
      <c r="H19" s="513"/>
      <c r="I19" s="514" t="s">
        <v>47</v>
      </c>
      <c r="J19" s="512" t="s">
        <v>1380</v>
      </c>
      <c r="K19" s="512" t="s">
        <v>1381</v>
      </c>
      <c r="L19" s="516">
        <v>43132.0</v>
      </c>
      <c r="M19" s="516">
        <v>46784.0</v>
      </c>
      <c r="N19" s="512"/>
      <c r="O19" s="517"/>
      <c r="P19" s="518">
        <v>45936.0</v>
      </c>
      <c r="Q19" s="511" t="s">
        <v>132</v>
      </c>
      <c r="R19" s="512">
        <v>55.0</v>
      </c>
      <c r="S19" s="511" t="s">
        <v>67</v>
      </c>
      <c r="T19" s="519" t="s">
        <v>1366</v>
      </c>
      <c r="U19" s="520"/>
      <c r="V19" s="520"/>
      <c r="W19" s="520"/>
      <c r="X19" s="520"/>
      <c r="Y19" s="520"/>
      <c r="Z19" s="520"/>
      <c r="AA19" s="520"/>
    </row>
    <row r="20">
      <c r="A20" s="508">
        <v>16.0</v>
      </c>
      <c r="B20" s="39"/>
      <c r="C20" s="28"/>
      <c r="D20" s="39"/>
      <c r="E20" s="512" t="s">
        <v>31</v>
      </c>
      <c r="F20" s="512" t="s">
        <v>1382</v>
      </c>
      <c r="G20" s="512" t="s">
        <v>1383</v>
      </c>
      <c r="H20" s="513"/>
      <c r="I20" s="514" t="str">
        <f>IF(MOD(MID(H20,8,1),2)=1,"M","F")</f>
        <v>F</v>
      </c>
      <c r="J20" s="515">
        <v>21818.0</v>
      </c>
      <c r="K20" s="512" t="s">
        <v>1384</v>
      </c>
      <c r="L20" s="516">
        <v>45299.0</v>
      </c>
      <c r="M20" s="516">
        <v>48952.0</v>
      </c>
      <c r="N20" s="512"/>
      <c r="O20" s="517"/>
      <c r="P20" s="56"/>
      <c r="Q20" s="39"/>
      <c r="R20" s="512">
        <v>55.0</v>
      </c>
      <c r="S20" s="39"/>
      <c r="T20" s="519" t="s">
        <v>1366</v>
      </c>
      <c r="U20" s="520"/>
      <c r="V20" s="520"/>
      <c r="W20" s="520"/>
      <c r="X20" s="520"/>
      <c r="Y20" s="520"/>
      <c r="Z20" s="520"/>
      <c r="AA20" s="520"/>
    </row>
    <row r="21">
      <c r="A21" s="508">
        <v>52.0</v>
      </c>
      <c r="B21" s="513"/>
      <c r="C21" s="28"/>
      <c r="D21" s="521" t="s">
        <v>1320</v>
      </c>
      <c r="E21" s="512" t="s">
        <v>31</v>
      </c>
      <c r="F21" s="512" t="s">
        <v>1385</v>
      </c>
      <c r="G21" s="512" t="s">
        <v>1386</v>
      </c>
      <c r="H21" s="513"/>
      <c r="I21" s="514" t="s">
        <v>47</v>
      </c>
      <c r="J21" s="516">
        <v>21055.0</v>
      </c>
      <c r="K21" s="512" t="s">
        <v>1387</v>
      </c>
      <c r="L21" s="516">
        <v>45664.0</v>
      </c>
      <c r="M21" s="516">
        <v>49316.0</v>
      </c>
      <c r="N21" s="512" t="s">
        <v>1388</v>
      </c>
      <c r="O21" s="517"/>
      <c r="P21" s="518"/>
      <c r="Q21" s="511" t="s">
        <v>132</v>
      </c>
      <c r="R21" s="522">
        <v>55.0</v>
      </c>
      <c r="S21" s="511" t="s">
        <v>67</v>
      </c>
      <c r="T21" s="519" t="s">
        <v>1389</v>
      </c>
      <c r="U21" s="520"/>
      <c r="V21" s="520"/>
      <c r="W21" s="520"/>
      <c r="X21" s="520"/>
      <c r="Y21" s="520"/>
      <c r="Z21" s="520"/>
      <c r="AA21" s="520"/>
    </row>
    <row r="22">
      <c r="A22" s="512">
        <v>53.0</v>
      </c>
      <c r="B22" s="513"/>
      <c r="C22" s="39"/>
      <c r="D22" s="39"/>
      <c r="E22" s="523" t="s">
        <v>509</v>
      </c>
      <c r="F22" s="512" t="s">
        <v>1390</v>
      </c>
      <c r="G22" s="512" t="s">
        <v>1391</v>
      </c>
      <c r="H22" s="513"/>
      <c r="I22" s="514" t="s">
        <v>57</v>
      </c>
      <c r="J22" s="516">
        <v>21314.0</v>
      </c>
      <c r="K22" s="512" t="s">
        <v>1392</v>
      </c>
      <c r="L22" s="516">
        <v>43840.0</v>
      </c>
      <c r="M22" s="516">
        <v>47493.0</v>
      </c>
      <c r="N22" s="512"/>
      <c r="O22" s="517"/>
      <c r="P22" s="56"/>
      <c r="Q22" s="39"/>
      <c r="R22" s="522">
        <v>55.0</v>
      </c>
      <c r="S22" s="39"/>
      <c r="T22" s="524"/>
      <c r="U22" s="520"/>
      <c r="V22" s="520"/>
      <c r="W22" s="520"/>
      <c r="X22" s="520"/>
      <c r="Y22" s="520"/>
      <c r="Z22" s="520"/>
      <c r="AA22" s="520"/>
    </row>
    <row r="23">
      <c r="A23" s="525">
        <v>17.0</v>
      </c>
      <c r="B23" s="191"/>
      <c r="C23" s="526">
        <v>6.0</v>
      </c>
      <c r="D23" s="191" t="s">
        <v>1320</v>
      </c>
      <c r="E23" s="192" t="s">
        <v>44</v>
      </c>
      <c r="F23" s="192" t="s">
        <v>1393</v>
      </c>
      <c r="G23" s="192" t="s">
        <v>1394</v>
      </c>
      <c r="H23" s="527"/>
      <c r="I23" s="528" t="str">
        <f t="shared" ref="I23:I26" si="1">IF(MOD(MID(H23,8,1),2)=1,"M","F")</f>
        <v>F</v>
      </c>
      <c r="J23" s="529">
        <v>21226.0</v>
      </c>
      <c r="K23" s="192" t="s">
        <v>1395</v>
      </c>
      <c r="L23" s="530">
        <v>45950.0</v>
      </c>
      <c r="M23" s="530">
        <v>49602.0</v>
      </c>
      <c r="N23" s="192" t="s">
        <v>1396</v>
      </c>
      <c r="O23" s="531"/>
      <c r="P23" s="532">
        <v>45937.0</v>
      </c>
      <c r="Q23" s="191" t="s">
        <v>228</v>
      </c>
      <c r="R23" s="192">
        <v>55.0</v>
      </c>
      <c r="S23" s="191" t="s">
        <v>67</v>
      </c>
      <c r="T23" s="533"/>
      <c r="U23" s="534"/>
      <c r="V23" s="534"/>
      <c r="W23" s="534"/>
      <c r="X23" s="534"/>
      <c r="Y23" s="534"/>
      <c r="Z23" s="534"/>
      <c r="AA23" s="534"/>
    </row>
    <row r="24">
      <c r="A24" s="525">
        <v>18.0</v>
      </c>
      <c r="B24" s="39"/>
      <c r="C24" s="39"/>
      <c r="D24" s="39"/>
      <c r="E24" s="192" t="s">
        <v>31</v>
      </c>
      <c r="F24" s="192" t="s">
        <v>1397</v>
      </c>
      <c r="G24" s="192" t="s">
        <v>1398</v>
      </c>
      <c r="H24" s="527"/>
      <c r="I24" s="528" t="str">
        <f t="shared" si="1"/>
        <v>F</v>
      </c>
      <c r="J24" s="529">
        <v>21183.0</v>
      </c>
      <c r="K24" s="192" t="s">
        <v>1399</v>
      </c>
      <c r="L24" s="530">
        <v>42825.0</v>
      </c>
      <c r="M24" s="192" t="s">
        <v>1400</v>
      </c>
      <c r="N24" s="192" t="s">
        <v>1401</v>
      </c>
      <c r="O24" s="531"/>
      <c r="P24" s="56"/>
      <c r="Q24" s="39"/>
      <c r="R24" s="192">
        <v>55.0</v>
      </c>
      <c r="S24" s="39"/>
      <c r="T24" s="533"/>
      <c r="U24" s="534"/>
      <c r="V24" s="534"/>
      <c r="W24" s="534"/>
      <c r="X24" s="534"/>
      <c r="Y24" s="534"/>
      <c r="Z24" s="534"/>
      <c r="AA24" s="534"/>
    </row>
    <row r="25">
      <c r="A25" s="535">
        <v>19.0</v>
      </c>
      <c r="B25" s="536"/>
      <c r="C25" s="537">
        <v>7.0</v>
      </c>
      <c r="D25" s="538" t="s">
        <v>1320</v>
      </c>
      <c r="E25" s="539" t="s">
        <v>1402</v>
      </c>
      <c r="F25" s="539" t="s">
        <v>1403</v>
      </c>
      <c r="G25" s="539" t="s">
        <v>1404</v>
      </c>
      <c r="H25" s="540"/>
      <c r="I25" s="541" t="str">
        <f t="shared" si="1"/>
        <v>F</v>
      </c>
      <c r="J25" s="542">
        <v>22431.0</v>
      </c>
      <c r="K25" s="539" t="s">
        <v>1405</v>
      </c>
      <c r="L25" s="543">
        <v>45072.0</v>
      </c>
      <c r="M25" s="543">
        <v>48725.0</v>
      </c>
      <c r="N25" s="539" t="s">
        <v>1406</v>
      </c>
      <c r="O25" s="544"/>
      <c r="P25" s="545">
        <v>45938.0</v>
      </c>
      <c r="Q25" s="538" t="s">
        <v>132</v>
      </c>
      <c r="R25" s="539">
        <v>55.0</v>
      </c>
      <c r="S25" s="538" t="s">
        <v>67</v>
      </c>
      <c r="T25" s="546" t="s">
        <v>1407</v>
      </c>
      <c r="U25" s="547"/>
      <c r="V25" s="547"/>
      <c r="W25" s="547"/>
      <c r="X25" s="547"/>
      <c r="Y25" s="547"/>
      <c r="Z25" s="547"/>
      <c r="AA25" s="547"/>
    </row>
    <row r="26">
      <c r="A26" s="535">
        <v>20.0</v>
      </c>
      <c r="B26" s="39"/>
      <c r="C26" s="39"/>
      <c r="D26" s="39"/>
      <c r="E26" s="539" t="s">
        <v>209</v>
      </c>
      <c r="F26" s="539" t="s">
        <v>1408</v>
      </c>
      <c r="G26" s="539" t="s">
        <v>1409</v>
      </c>
      <c r="H26" s="540"/>
      <c r="I26" s="541" t="str">
        <f t="shared" si="1"/>
        <v>F</v>
      </c>
      <c r="J26" s="542">
        <v>14650.0</v>
      </c>
      <c r="K26" s="539" t="s">
        <v>1410</v>
      </c>
      <c r="L26" s="543">
        <v>44978.0</v>
      </c>
      <c r="M26" s="543">
        <v>48631.0</v>
      </c>
      <c r="N26" s="539"/>
      <c r="O26" s="544"/>
      <c r="P26" s="56"/>
      <c r="Q26" s="39"/>
      <c r="R26" s="539">
        <v>55.0</v>
      </c>
      <c r="S26" s="39"/>
      <c r="T26" s="546" t="s">
        <v>1407</v>
      </c>
      <c r="U26" s="547"/>
      <c r="V26" s="547"/>
      <c r="W26" s="547"/>
      <c r="X26" s="547"/>
      <c r="Y26" s="547"/>
      <c r="Z26" s="547"/>
      <c r="AA26" s="547"/>
    </row>
    <row r="27">
      <c r="A27" s="548">
        <v>21.0</v>
      </c>
      <c r="B27" s="549"/>
      <c r="C27" s="550">
        <v>8.0</v>
      </c>
      <c r="D27" s="551" t="s">
        <v>1320</v>
      </c>
      <c r="E27" s="552" t="s">
        <v>44</v>
      </c>
      <c r="F27" s="552" t="s">
        <v>1411</v>
      </c>
      <c r="G27" s="552" t="s">
        <v>1412</v>
      </c>
      <c r="H27" s="553"/>
      <c r="I27" s="554" t="s">
        <v>47</v>
      </c>
      <c r="J27" s="555">
        <v>24141.0</v>
      </c>
      <c r="K27" s="552" t="s">
        <v>1413</v>
      </c>
      <c r="L27" s="556">
        <v>44714.0</v>
      </c>
      <c r="M27" s="556">
        <v>48367.0</v>
      </c>
      <c r="N27" s="552" t="s">
        <v>1414</v>
      </c>
      <c r="O27" s="557"/>
      <c r="P27" s="558">
        <v>45942.0</v>
      </c>
      <c r="Q27" s="549" t="s">
        <v>132</v>
      </c>
      <c r="R27" s="552">
        <v>55.0</v>
      </c>
      <c r="S27" s="549" t="s">
        <v>67</v>
      </c>
      <c r="T27" s="559"/>
      <c r="U27" s="560"/>
      <c r="V27" s="560"/>
      <c r="W27" s="560"/>
      <c r="X27" s="560"/>
      <c r="Y27" s="560"/>
      <c r="Z27" s="560"/>
      <c r="AA27" s="560"/>
    </row>
    <row r="28">
      <c r="A28" s="548">
        <v>22.0</v>
      </c>
      <c r="B28" s="39"/>
      <c r="C28" s="39"/>
      <c r="D28" s="39"/>
      <c r="E28" s="552" t="s">
        <v>44</v>
      </c>
      <c r="F28" s="552" t="s">
        <v>1415</v>
      </c>
      <c r="G28" s="552" t="s">
        <v>588</v>
      </c>
      <c r="H28" s="553"/>
      <c r="I28" s="554" t="s">
        <v>57</v>
      </c>
      <c r="J28" s="555">
        <v>25332.0</v>
      </c>
      <c r="K28" s="552" t="s">
        <v>1416</v>
      </c>
      <c r="L28" s="556">
        <v>44991.0</v>
      </c>
      <c r="M28" s="556">
        <v>48644.0</v>
      </c>
      <c r="N28" s="552"/>
      <c r="O28" s="557"/>
      <c r="P28" s="56"/>
      <c r="Q28" s="39"/>
      <c r="R28" s="552">
        <v>55.0</v>
      </c>
      <c r="S28" s="39"/>
      <c r="T28" s="559"/>
      <c r="U28" s="560"/>
      <c r="V28" s="560"/>
      <c r="W28" s="560"/>
      <c r="X28" s="560"/>
      <c r="Y28" s="560"/>
      <c r="Z28" s="560"/>
      <c r="AA28" s="560"/>
    </row>
    <row r="29">
      <c r="A29" s="29">
        <v>23.0</v>
      </c>
      <c r="B29" s="561"/>
      <c r="C29" s="562">
        <v>9.0</v>
      </c>
      <c r="D29" s="563" t="s">
        <v>1320</v>
      </c>
      <c r="E29" s="564" t="s">
        <v>337</v>
      </c>
      <c r="F29" s="564" t="s">
        <v>1417</v>
      </c>
      <c r="G29" s="35" t="s">
        <v>1418</v>
      </c>
      <c r="H29" s="564"/>
      <c r="I29" s="565" t="s">
        <v>47</v>
      </c>
      <c r="J29" s="566">
        <v>29937.0</v>
      </c>
      <c r="K29" s="564" t="s">
        <v>1419</v>
      </c>
      <c r="L29" s="567">
        <v>45082.0</v>
      </c>
      <c r="M29" s="567">
        <v>48735.0</v>
      </c>
      <c r="N29" s="568" t="s">
        <v>1420</v>
      </c>
      <c r="O29" s="159"/>
      <c r="P29" s="569">
        <v>45939.0</v>
      </c>
      <c r="Q29" s="563" t="s">
        <v>132</v>
      </c>
      <c r="R29" s="35">
        <v>55.0</v>
      </c>
      <c r="S29" s="563" t="s">
        <v>1301</v>
      </c>
      <c r="T29" s="570" t="s">
        <v>1421</v>
      </c>
    </row>
    <row r="30">
      <c r="A30" s="29">
        <v>24.0</v>
      </c>
      <c r="B30" s="28"/>
      <c r="C30" s="28"/>
      <c r="D30" s="28"/>
      <c r="E30" s="564" t="s">
        <v>337</v>
      </c>
      <c r="F30" s="564" t="s">
        <v>1422</v>
      </c>
      <c r="G30" s="35" t="s">
        <v>1423</v>
      </c>
      <c r="H30" s="564"/>
      <c r="I30" s="565" t="s">
        <v>47</v>
      </c>
      <c r="J30" s="571">
        <v>42086.0</v>
      </c>
      <c r="K30" s="564" t="s">
        <v>1424</v>
      </c>
      <c r="L30" s="567">
        <v>45084.0</v>
      </c>
      <c r="M30" s="567">
        <v>46880.0</v>
      </c>
      <c r="N30" s="35"/>
      <c r="O30" s="159"/>
      <c r="P30" s="80"/>
      <c r="Q30" s="28"/>
      <c r="R30" s="35">
        <v>55.0</v>
      </c>
      <c r="S30" s="28"/>
      <c r="T30" s="157"/>
    </row>
    <row r="31">
      <c r="A31" s="29">
        <v>25.0</v>
      </c>
      <c r="B31" s="39"/>
      <c r="C31" s="28"/>
      <c r="D31" s="39"/>
      <c r="E31" s="564" t="s">
        <v>337</v>
      </c>
      <c r="F31" s="564" t="s">
        <v>1425</v>
      </c>
      <c r="G31" s="35" t="s">
        <v>1426</v>
      </c>
      <c r="H31" s="564"/>
      <c r="I31" s="565" t="s">
        <v>47</v>
      </c>
      <c r="J31" s="571">
        <v>41133.0</v>
      </c>
      <c r="K31" s="564" t="s">
        <v>1427</v>
      </c>
      <c r="L31" s="567">
        <v>45084.0</v>
      </c>
      <c r="M31" s="567">
        <v>46880.0</v>
      </c>
      <c r="N31" s="35"/>
      <c r="O31" s="159"/>
      <c r="P31" s="80"/>
      <c r="Q31" s="28"/>
      <c r="R31" s="35">
        <v>55.0</v>
      </c>
      <c r="S31" s="28"/>
      <c r="T31" s="157"/>
    </row>
    <row r="32">
      <c r="A32" s="29">
        <v>26.0</v>
      </c>
      <c r="B32" s="561"/>
      <c r="C32" s="28"/>
      <c r="D32" s="563" t="s">
        <v>1320</v>
      </c>
      <c r="E32" s="564" t="s">
        <v>127</v>
      </c>
      <c r="F32" s="564" t="s">
        <v>1428</v>
      </c>
      <c r="G32" s="35" t="s">
        <v>1429</v>
      </c>
      <c r="H32" s="564"/>
      <c r="I32" s="565" t="str">
        <f t="shared" ref="I32:I33" si="2">IF(MOD(MID(H32,8,1),2)=1,"M","F")</f>
        <v>F</v>
      </c>
      <c r="J32" s="571">
        <v>30003.0</v>
      </c>
      <c r="K32" s="564" t="s">
        <v>1430</v>
      </c>
      <c r="L32" s="567">
        <v>45082.0</v>
      </c>
      <c r="M32" s="567">
        <v>48735.0</v>
      </c>
      <c r="N32" s="35"/>
      <c r="O32" s="159"/>
      <c r="P32" s="80"/>
      <c r="Q32" s="28"/>
      <c r="R32" s="35">
        <v>55.0</v>
      </c>
      <c r="S32" s="28"/>
      <c r="T32" s="157"/>
    </row>
    <row r="33">
      <c r="A33" s="29">
        <v>27.0</v>
      </c>
      <c r="B33" s="39"/>
      <c r="C33" s="39"/>
      <c r="D33" s="39"/>
      <c r="E33" s="564" t="s">
        <v>337</v>
      </c>
      <c r="F33" s="564" t="s">
        <v>1431</v>
      </c>
      <c r="G33" s="35" t="s">
        <v>1432</v>
      </c>
      <c r="H33" s="564"/>
      <c r="I33" s="565" t="str">
        <f t="shared" si="2"/>
        <v>F</v>
      </c>
      <c r="J33" s="572">
        <v>43438.0</v>
      </c>
      <c r="K33" s="564" t="s">
        <v>1433</v>
      </c>
      <c r="L33" s="567">
        <v>45084.0</v>
      </c>
      <c r="M33" s="567">
        <v>46880.0</v>
      </c>
      <c r="N33" s="35"/>
      <c r="O33" s="159"/>
      <c r="P33" s="56"/>
      <c r="Q33" s="39"/>
      <c r="R33" s="35">
        <v>55.0</v>
      </c>
      <c r="S33" s="39"/>
      <c r="T33" s="122"/>
    </row>
    <row r="34">
      <c r="A34" s="573">
        <v>28.0</v>
      </c>
      <c r="B34" s="574"/>
      <c r="C34" s="575">
        <v>10.0</v>
      </c>
      <c r="D34" s="576" t="s">
        <v>1320</v>
      </c>
      <c r="E34" s="577" t="s">
        <v>31</v>
      </c>
      <c r="F34" s="577" t="s">
        <v>1434</v>
      </c>
      <c r="G34" s="577" t="s">
        <v>1435</v>
      </c>
      <c r="H34" s="574"/>
      <c r="I34" s="578" t="s">
        <v>47</v>
      </c>
      <c r="J34" s="579">
        <v>27697.0</v>
      </c>
      <c r="K34" s="577" t="s">
        <v>1436</v>
      </c>
      <c r="L34" s="580">
        <v>45040.0</v>
      </c>
      <c r="M34" s="580">
        <v>48693.0</v>
      </c>
      <c r="N34" s="577" t="s">
        <v>1437</v>
      </c>
      <c r="O34" s="581"/>
      <c r="P34" s="582">
        <v>45940.0</v>
      </c>
      <c r="Q34" s="576" t="s">
        <v>132</v>
      </c>
      <c r="R34" s="577">
        <v>55.0</v>
      </c>
      <c r="S34" s="576" t="s">
        <v>67</v>
      </c>
      <c r="T34" s="583"/>
      <c r="U34" s="584"/>
      <c r="V34" s="584"/>
      <c r="W34" s="584"/>
      <c r="X34" s="584"/>
      <c r="Y34" s="584"/>
      <c r="Z34" s="584"/>
      <c r="AA34" s="584"/>
    </row>
    <row r="35">
      <c r="A35" s="573">
        <v>29.0</v>
      </c>
      <c r="B35" s="574"/>
      <c r="C35" s="28"/>
      <c r="D35" s="28"/>
      <c r="E35" s="577" t="s">
        <v>1438</v>
      </c>
      <c r="F35" s="577" t="s">
        <v>1439</v>
      </c>
      <c r="G35" s="577" t="s">
        <v>1440</v>
      </c>
      <c r="H35" s="584"/>
      <c r="I35" s="578" t="str">
        <f t="shared" ref="I35:I36" si="3">IF(MOD(MID(H35,8,1),2)=1,"M","F")</f>
        <v>F</v>
      </c>
      <c r="J35" s="585">
        <v>36698.0</v>
      </c>
      <c r="K35" s="577" t="s">
        <v>1441</v>
      </c>
      <c r="L35" s="586">
        <v>43461.0</v>
      </c>
      <c r="M35" s="586">
        <v>47114.0</v>
      </c>
      <c r="N35" s="577"/>
      <c r="O35" s="581"/>
      <c r="P35" s="80"/>
      <c r="Q35" s="28"/>
      <c r="R35" s="577">
        <v>55.0</v>
      </c>
      <c r="S35" s="28"/>
      <c r="T35" s="583"/>
      <c r="U35" s="584"/>
      <c r="V35" s="584"/>
      <c r="W35" s="584"/>
      <c r="X35" s="584"/>
      <c r="Y35" s="584"/>
      <c r="Z35" s="584"/>
      <c r="AA35" s="584"/>
    </row>
    <row r="36">
      <c r="A36" s="573">
        <v>30.0</v>
      </c>
      <c r="B36" s="574"/>
      <c r="C36" s="28"/>
      <c r="D36" s="576" t="s">
        <v>1320</v>
      </c>
      <c r="E36" s="577" t="s">
        <v>1306</v>
      </c>
      <c r="F36" s="577" t="s">
        <v>1442</v>
      </c>
      <c r="G36" s="587" t="s">
        <v>1443</v>
      </c>
      <c r="H36" s="574"/>
      <c r="I36" s="578" t="str">
        <f t="shared" si="3"/>
        <v>F</v>
      </c>
      <c r="J36" s="580">
        <v>18441.0</v>
      </c>
      <c r="K36" s="577" t="s">
        <v>1444</v>
      </c>
      <c r="L36" s="579">
        <v>45950.0</v>
      </c>
      <c r="M36" s="579">
        <v>49602.0</v>
      </c>
      <c r="N36" s="577"/>
      <c r="O36" s="581"/>
      <c r="P36" s="56"/>
      <c r="Q36" s="28"/>
      <c r="R36" s="577">
        <v>55.0</v>
      </c>
      <c r="S36" s="39"/>
      <c r="T36" s="583"/>
      <c r="U36" s="584"/>
      <c r="V36" s="584"/>
      <c r="W36" s="584"/>
      <c r="X36" s="584"/>
      <c r="Y36" s="584"/>
      <c r="Z36" s="584"/>
      <c r="AA36" s="584"/>
    </row>
    <row r="37">
      <c r="A37" s="573">
        <v>31.0</v>
      </c>
      <c r="B37" s="574"/>
      <c r="C37" s="39"/>
      <c r="D37" s="28"/>
      <c r="E37" s="577" t="s">
        <v>31</v>
      </c>
      <c r="F37" s="577" t="s">
        <v>1445</v>
      </c>
      <c r="G37" s="577" t="s">
        <v>1446</v>
      </c>
      <c r="H37" s="574"/>
      <c r="I37" s="578" t="str">
        <f>IF(MOD(MID(H36,8,1),2)=1,"M","F")</f>
        <v>F</v>
      </c>
      <c r="J37" s="580">
        <v>25966.0</v>
      </c>
      <c r="K37" s="577" t="s">
        <v>1447</v>
      </c>
      <c r="L37" s="586">
        <v>42786.0</v>
      </c>
      <c r="M37" s="586">
        <v>46438.0</v>
      </c>
      <c r="N37" s="577"/>
      <c r="O37" s="581"/>
      <c r="P37" s="588">
        <v>45942.0</v>
      </c>
      <c r="Q37" s="39"/>
      <c r="R37" s="577">
        <v>55.0</v>
      </c>
      <c r="S37" s="577" t="s">
        <v>67</v>
      </c>
      <c r="T37" s="583" t="s">
        <v>1448</v>
      </c>
      <c r="U37" s="584"/>
      <c r="V37" s="584"/>
      <c r="W37" s="584"/>
      <c r="X37" s="584"/>
      <c r="Y37" s="584"/>
      <c r="Z37" s="584"/>
      <c r="AA37" s="584"/>
    </row>
    <row r="38">
      <c r="A38" s="589">
        <v>32.0</v>
      </c>
      <c r="B38" s="590"/>
      <c r="C38" s="591">
        <v>11.0</v>
      </c>
      <c r="D38" s="592" t="s">
        <v>43</v>
      </c>
      <c r="E38" s="593" t="s">
        <v>121</v>
      </c>
      <c r="F38" s="593" t="s">
        <v>1449</v>
      </c>
      <c r="G38" s="593" t="s">
        <v>1450</v>
      </c>
      <c r="H38" s="590"/>
      <c r="I38" s="594" t="s">
        <v>57</v>
      </c>
      <c r="J38" s="595">
        <v>33183.0</v>
      </c>
      <c r="K38" s="596" t="s">
        <v>1451</v>
      </c>
      <c r="L38" s="597">
        <v>44782.0</v>
      </c>
      <c r="M38" s="597">
        <v>48435.0</v>
      </c>
      <c r="N38" s="598" t="s">
        <v>1452</v>
      </c>
      <c r="O38" s="599"/>
      <c r="P38" s="600" t="s">
        <v>1453</v>
      </c>
      <c r="Q38" s="601" t="s">
        <v>132</v>
      </c>
      <c r="R38" s="596">
        <v>55.0</v>
      </c>
      <c r="S38" s="123" t="s">
        <v>1454</v>
      </c>
      <c r="T38" s="602" t="s">
        <v>1455</v>
      </c>
      <c r="U38" s="603"/>
    </row>
    <row r="39">
      <c r="A39" s="589">
        <v>33.0</v>
      </c>
      <c r="B39" s="590"/>
      <c r="C39" s="28"/>
      <c r="D39" s="39"/>
      <c r="E39" s="593" t="s">
        <v>1377</v>
      </c>
      <c r="F39" s="593" t="s">
        <v>1456</v>
      </c>
      <c r="G39" s="593" t="s">
        <v>1457</v>
      </c>
      <c r="H39" s="590"/>
      <c r="I39" s="594" t="s">
        <v>57</v>
      </c>
      <c r="J39" s="595">
        <v>32384.0</v>
      </c>
      <c r="K39" s="596" t="s">
        <v>1458</v>
      </c>
      <c r="L39" s="597">
        <v>45215.0</v>
      </c>
      <c r="M39" s="597">
        <v>48868.0</v>
      </c>
      <c r="N39" s="598" t="s">
        <v>1459</v>
      </c>
      <c r="O39" s="599"/>
      <c r="P39" s="600" t="s">
        <v>1453</v>
      </c>
      <c r="Q39" s="28"/>
      <c r="R39" s="596">
        <v>55.0</v>
      </c>
      <c r="S39" s="28"/>
      <c r="T39" s="604" t="s">
        <v>1460</v>
      </c>
      <c r="U39" s="603"/>
    </row>
    <row r="40">
      <c r="A40" s="589">
        <v>34.0</v>
      </c>
      <c r="B40" s="590"/>
      <c r="C40" s="28"/>
      <c r="D40" s="592" t="s">
        <v>43</v>
      </c>
      <c r="E40" s="593" t="s">
        <v>31</v>
      </c>
      <c r="F40" s="593" t="s">
        <v>770</v>
      </c>
      <c r="G40" s="593" t="s">
        <v>1461</v>
      </c>
      <c r="H40" s="590"/>
      <c r="I40" s="594" t="s">
        <v>47</v>
      </c>
      <c r="J40" s="597">
        <v>44042.0</v>
      </c>
      <c r="K40" s="596" t="s">
        <v>1462</v>
      </c>
      <c r="L40" s="597">
        <v>45216.0</v>
      </c>
      <c r="M40" s="597">
        <v>47013.0</v>
      </c>
      <c r="N40" s="598" t="s">
        <v>1459</v>
      </c>
      <c r="O40" s="599"/>
      <c r="P40" s="600" t="s">
        <v>1453</v>
      </c>
      <c r="Q40" s="28"/>
      <c r="R40" s="596">
        <v>55.0</v>
      </c>
      <c r="S40" s="28"/>
      <c r="T40" s="604" t="s">
        <v>1460</v>
      </c>
      <c r="U40" s="603"/>
    </row>
    <row r="41">
      <c r="A41" s="589">
        <v>35.0</v>
      </c>
      <c r="B41" s="590"/>
      <c r="C41" s="39"/>
      <c r="D41" s="39"/>
      <c r="E41" s="593" t="s">
        <v>44</v>
      </c>
      <c r="F41" s="593" t="s">
        <v>1463</v>
      </c>
      <c r="G41" s="593" t="s">
        <v>1464</v>
      </c>
      <c r="H41" s="590"/>
      <c r="I41" s="605" t="s">
        <v>57</v>
      </c>
      <c r="J41" s="606">
        <v>35225.0</v>
      </c>
      <c r="K41" s="593" t="s">
        <v>1465</v>
      </c>
      <c r="L41" s="606">
        <v>42489.0</v>
      </c>
      <c r="M41" s="606">
        <v>46141.0</v>
      </c>
      <c r="N41" s="598" t="s">
        <v>1466</v>
      </c>
      <c r="O41" s="599"/>
      <c r="P41" s="607" t="s">
        <v>1467</v>
      </c>
      <c r="Q41" s="39"/>
      <c r="R41" s="593">
        <v>55.0</v>
      </c>
      <c r="S41" s="39"/>
      <c r="T41" s="604" t="s">
        <v>1460</v>
      </c>
      <c r="U41" s="603"/>
    </row>
    <row r="42">
      <c r="A42" s="60">
        <v>36.0</v>
      </c>
      <c r="B42" s="69"/>
      <c r="C42" s="608">
        <v>12.0</v>
      </c>
      <c r="D42" s="50" t="s">
        <v>1320</v>
      </c>
      <c r="E42" s="45" t="s">
        <v>203</v>
      </c>
      <c r="F42" s="45" t="s">
        <v>1468</v>
      </c>
      <c r="G42" s="43" t="s">
        <v>1469</v>
      </c>
      <c r="H42" s="68"/>
      <c r="I42" s="609" t="s">
        <v>47</v>
      </c>
      <c r="J42" s="324">
        <v>26172.0</v>
      </c>
      <c r="K42" s="45" t="s">
        <v>1470</v>
      </c>
      <c r="L42" s="324">
        <v>43838.0</v>
      </c>
      <c r="M42" s="324">
        <v>47491.0</v>
      </c>
      <c r="N42" s="610" t="s">
        <v>1471</v>
      </c>
      <c r="O42" s="57"/>
      <c r="P42" s="458">
        <v>45941.0</v>
      </c>
      <c r="Q42" s="42" t="s">
        <v>132</v>
      </c>
      <c r="R42" s="378">
        <v>55.0</v>
      </c>
      <c r="S42" s="42" t="s">
        <v>402</v>
      </c>
      <c r="T42" s="320" t="s">
        <v>1472</v>
      </c>
    </row>
    <row r="43">
      <c r="A43" s="60">
        <v>37.0</v>
      </c>
      <c r="B43" s="69"/>
      <c r="C43" s="39"/>
      <c r="D43" s="39"/>
      <c r="E43" s="45" t="s">
        <v>97</v>
      </c>
      <c r="F43" s="45" t="s">
        <v>1473</v>
      </c>
      <c r="G43" s="43" t="s">
        <v>1474</v>
      </c>
      <c r="H43" s="68"/>
      <c r="I43" s="609" t="s">
        <v>57</v>
      </c>
      <c r="J43" s="324">
        <v>27038.0</v>
      </c>
      <c r="K43" s="45" t="s">
        <v>1475</v>
      </c>
      <c r="L43" s="324">
        <v>44698.0</v>
      </c>
      <c r="M43" s="324">
        <v>48351.0</v>
      </c>
      <c r="N43" s="43"/>
      <c r="O43" s="57"/>
      <c r="P43" s="56"/>
      <c r="Q43" s="39"/>
      <c r="R43" s="378">
        <v>55.0</v>
      </c>
      <c r="S43" s="39"/>
      <c r="T43" s="183"/>
    </row>
    <row r="44">
      <c r="A44" s="611">
        <v>38.0</v>
      </c>
      <c r="B44" s="612"/>
      <c r="C44" s="613">
        <v>13.0</v>
      </c>
      <c r="D44" s="614" t="s">
        <v>1320</v>
      </c>
      <c r="E44" s="615" t="s">
        <v>97</v>
      </c>
      <c r="F44" s="615" t="s">
        <v>1476</v>
      </c>
      <c r="G44" s="615" t="s">
        <v>1477</v>
      </c>
      <c r="H44" s="616"/>
      <c r="I44" s="617" t="s">
        <v>47</v>
      </c>
      <c r="J44" s="618">
        <v>25014.0</v>
      </c>
      <c r="K44" s="619" t="s">
        <v>1478</v>
      </c>
      <c r="L44" s="618">
        <v>44207.0</v>
      </c>
      <c r="M44" s="618">
        <v>47859.0</v>
      </c>
      <c r="N44" s="619" t="s">
        <v>1479</v>
      </c>
      <c r="O44" s="620"/>
      <c r="P44" s="621">
        <v>45942.0</v>
      </c>
      <c r="Q44" s="622" t="s">
        <v>132</v>
      </c>
      <c r="R44" s="623">
        <v>55.0</v>
      </c>
      <c r="S44" s="622" t="s">
        <v>67</v>
      </c>
      <c r="T44" s="624"/>
      <c r="U44" s="625"/>
      <c r="V44" s="625"/>
      <c r="W44" s="625"/>
      <c r="X44" s="625"/>
      <c r="Y44" s="625"/>
      <c r="Z44" s="625"/>
      <c r="AA44" s="625"/>
    </row>
    <row r="45">
      <c r="A45" s="611">
        <v>39.0</v>
      </c>
      <c r="B45" s="612"/>
      <c r="C45" s="28"/>
      <c r="D45" s="39"/>
      <c r="E45" s="615" t="s">
        <v>44</v>
      </c>
      <c r="F45" s="615" t="s">
        <v>1480</v>
      </c>
      <c r="G45" s="615" t="s">
        <v>1481</v>
      </c>
      <c r="H45" s="616"/>
      <c r="I45" s="615" t="s">
        <v>57</v>
      </c>
      <c r="J45" s="618">
        <v>25640.0</v>
      </c>
      <c r="K45" s="619" t="s">
        <v>1482</v>
      </c>
      <c r="L45" s="618">
        <v>43437.0</v>
      </c>
      <c r="M45" s="618">
        <v>47090.0</v>
      </c>
      <c r="N45" s="619"/>
      <c r="O45" s="620"/>
      <c r="P45" s="56"/>
      <c r="Q45" s="39"/>
      <c r="R45" s="623">
        <v>55.0</v>
      </c>
      <c r="S45" s="39"/>
      <c r="T45" s="624"/>
      <c r="U45" s="625"/>
      <c r="V45" s="625"/>
      <c r="W45" s="625"/>
      <c r="X45" s="625"/>
      <c r="Y45" s="625"/>
      <c r="Z45" s="625"/>
      <c r="AA45" s="625"/>
    </row>
    <row r="46">
      <c r="A46" s="611">
        <v>46.0</v>
      </c>
      <c r="B46" s="612"/>
      <c r="C46" s="28"/>
      <c r="D46" s="614" t="s">
        <v>1320</v>
      </c>
      <c r="E46" s="619" t="s">
        <v>31</v>
      </c>
      <c r="F46" s="619" t="s">
        <v>1483</v>
      </c>
      <c r="G46" s="619" t="s">
        <v>1484</v>
      </c>
      <c r="H46" s="612"/>
      <c r="I46" s="626" t="s">
        <v>57</v>
      </c>
      <c r="J46" s="618">
        <v>26003.0</v>
      </c>
      <c r="K46" s="619" t="s">
        <v>1485</v>
      </c>
      <c r="L46" s="618">
        <v>43469.0</v>
      </c>
      <c r="M46" s="618">
        <v>47122.0</v>
      </c>
      <c r="N46" s="619" t="s">
        <v>1479</v>
      </c>
      <c r="O46" s="620"/>
      <c r="P46" s="621"/>
      <c r="Q46" s="622" t="s">
        <v>228</v>
      </c>
      <c r="R46" s="623">
        <v>55.0</v>
      </c>
      <c r="S46" s="622" t="s">
        <v>67</v>
      </c>
      <c r="T46" s="627" t="s">
        <v>1486</v>
      </c>
      <c r="U46" s="625"/>
      <c r="V46" s="625"/>
      <c r="W46" s="625"/>
      <c r="X46" s="625"/>
      <c r="Y46" s="625"/>
      <c r="Z46" s="625"/>
      <c r="AA46" s="625"/>
    </row>
    <row r="47">
      <c r="A47" s="611">
        <v>47.0</v>
      </c>
      <c r="B47" s="612"/>
      <c r="C47" s="39"/>
      <c r="D47" s="39"/>
      <c r="E47" s="619" t="s">
        <v>31</v>
      </c>
      <c r="F47" s="619" t="s">
        <v>1487</v>
      </c>
      <c r="G47" s="619" t="s">
        <v>1488</v>
      </c>
      <c r="H47" s="612"/>
      <c r="I47" s="626" t="s">
        <v>47</v>
      </c>
      <c r="J47" s="618">
        <v>25814.0</v>
      </c>
      <c r="K47" s="619" t="s">
        <v>1489</v>
      </c>
      <c r="L47" s="618">
        <v>43424.0</v>
      </c>
      <c r="M47" s="618">
        <v>47077.0</v>
      </c>
      <c r="N47" s="619"/>
      <c r="O47" s="620"/>
      <c r="P47" s="56"/>
      <c r="Q47" s="39"/>
      <c r="R47" s="623">
        <v>55.0</v>
      </c>
      <c r="S47" s="39"/>
      <c r="T47" s="624"/>
      <c r="U47" s="625"/>
      <c r="V47" s="625"/>
      <c r="W47" s="625"/>
      <c r="X47" s="625"/>
      <c r="Y47" s="625"/>
      <c r="Z47" s="625"/>
      <c r="AA47" s="625"/>
    </row>
    <row r="48">
      <c r="A48" s="628">
        <v>40.0</v>
      </c>
      <c r="B48" s="629"/>
      <c r="C48" s="630">
        <v>14.0</v>
      </c>
      <c r="D48" s="631" t="s">
        <v>1320</v>
      </c>
      <c r="E48" s="632" t="s">
        <v>44</v>
      </c>
      <c r="F48" s="632" t="s">
        <v>1490</v>
      </c>
      <c r="G48" s="632" t="s">
        <v>1491</v>
      </c>
      <c r="H48" s="629"/>
      <c r="I48" s="633" t="s">
        <v>47</v>
      </c>
      <c r="J48" s="634">
        <v>21772.0</v>
      </c>
      <c r="K48" s="632" t="s">
        <v>1492</v>
      </c>
      <c r="L48" s="634">
        <v>45412.0</v>
      </c>
      <c r="M48" s="634">
        <v>49064.0</v>
      </c>
      <c r="N48" s="632" t="s">
        <v>1493</v>
      </c>
      <c r="O48" s="635"/>
      <c r="P48" s="636">
        <v>45943.0</v>
      </c>
      <c r="Q48" s="637" t="s">
        <v>132</v>
      </c>
      <c r="R48" s="638">
        <v>55.0</v>
      </c>
      <c r="S48" s="637" t="s">
        <v>67</v>
      </c>
      <c r="T48" s="639"/>
      <c r="U48" s="640"/>
      <c r="V48" s="640"/>
      <c r="W48" s="640"/>
      <c r="X48" s="640"/>
      <c r="Y48" s="640"/>
      <c r="Z48" s="640"/>
      <c r="AA48" s="640"/>
    </row>
    <row r="49">
      <c r="A49" s="628">
        <v>41.0</v>
      </c>
      <c r="B49" s="629"/>
      <c r="C49" s="39"/>
      <c r="D49" s="39"/>
      <c r="E49" s="632" t="s">
        <v>44</v>
      </c>
      <c r="F49" s="632" t="s">
        <v>1494</v>
      </c>
      <c r="G49" s="632" t="s">
        <v>1495</v>
      </c>
      <c r="H49" s="629"/>
      <c r="I49" s="641" t="s">
        <v>57</v>
      </c>
      <c r="J49" s="634">
        <v>22621.0</v>
      </c>
      <c r="K49" s="632" t="s">
        <v>1496</v>
      </c>
      <c r="L49" s="634">
        <v>45946.0</v>
      </c>
      <c r="M49" s="634">
        <v>49598.0</v>
      </c>
      <c r="N49" s="632"/>
      <c r="O49" s="635"/>
      <c r="P49" s="56"/>
      <c r="Q49" s="39"/>
      <c r="R49" s="638">
        <v>55.0</v>
      </c>
      <c r="S49" s="39"/>
      <c r="T49" s="639"/>
      <c r="U49" s="640"/>
      <c r="V49" s="640"/>
      <c r="W49" s="640"/>
      <c r="X49" s="640"/>
      <c r="Y49" s="640"/>
      <c r="Z49" s="640"/>
      <c r="AA49" s="640"/>
    </row>
    <row r="50">
      <c r="A50" s="642">
        <v>42.0</v>
      </c>
      <c r="B50" s="643"/>
      <c r="C50" s="644">
        <v>15.0</v>
      </c>
      <c r="D50" s="645" t="s">
        <v>1320</v>
      </c>
      <c r="E50" s="646" t="s">
        <v>31</v>
      </c>
      <c r="F50" s="646" t="s">
        <v>1497</v>
      </c>
      <c r="G50" s="646" t="s">
        <v>1498</v>
      </c>
      <c r="H50" s="643"/>
      <c r="I50" s="647" t="s">
        <v>47</v>
      </c>
      <c r="J50" s="648">
        <v>21721.0</v>
      </c>
      <c r="K50" s="646" t="s">
        <v>1499</v>
      </c>
      <c r="L50" s="648">
        <v>45757.0</v>
      </c>
      <c r="M50" s="648">
        <v>49409.0</v>
      </c>
      <c r="N50" s="646" t="s">
        <v>1500</v>
      </c>
      <c r="O50" s="649"/>
      <c r="P50" s="650">
        <v>45944.0</v>
      </c>
      <c r="Q50" s="651" t="s">
        <v>132</v>
      </c>
      <c r="R50" s="652">
        <v>55.0</v>
      </c>
      <c r="S50" s="651" t="s">
        <v>67</v>
      </c>
      <c r="T50" s="653"/>
      <c r="U50" s="654"/>
      <c r="V50" s="654"/>
      <c r="W50" s="654"/>
      <c r="X50" s="654"/>
      <c r="Y50" s="654"/>
      <c r="Z50" s="654"/>
      <c r="AA50" s="654"/>
    </row>
    <row r="51">
      <c r="A51" s="642">
        <v>43.0</v>
      </c>
      <c r="B51" s="643"/>
      <c r="C51" s="39"/>
      <c r="D51" s="39"/>
      <c r="E51" s="646" t="s">
        <v>440</v>
      </c>
      <c r="F51" s="646" t="s">
        <v>1501</v>
      </c>
      <c r="G51" s="646" t="s">
        <v>1502</v>
      </c>
      <c r="H51" s="643"/>
      <c r="I51" s="647" t="s">
        <v>57</v>
      </c>
      <c r="J51" s="648">
        <v>23450.0</v>
      </c>
      <c r="K51" s="646" t="s">
        <v>1503</v>
      </c>
      <c r="L51" s="648">
        <v>45659.0</v>
      </c>
      <c r="M51" s="648">
        <v>49311.0</v>
      </c>
      <c r="N51" s="646"/>
      <c r="O51" s="649"/>
      <c r="P51" s="56"/>
      <c r="Q51" s="39"/>
      <c r="R51" s="652">
        <v>55.0</v>
      </c>
      <c r="S51" s="39"/>
      <c r="T51" s="653"/>
      <c r="U51" s="654"/>
      <c r="V51" s="654"/>
      <c r="W51" s="654"/>
      <c r="X51" s="654"/>
      <c r="Y51" s="654"/>
      <c r="Z51" s="654"/>
      <c r="AA51" s="654"/>
    </row>
    <row r="52">
      <c r="A52" s="655">
        <v>44.0</v>
      </c>
      <c r="B52" s="656"/>
      <c r="C52" s="657">
        <v>16.0</v>
      </c>
      <c r="D52" s="658" t="s">
        <v>1320</v>
      </c>
      <c r="E52" s="659" t="s">
        <v>31</v>
      </c>
      <c r="F52" s="659" t="s">
        <v>1504</v>
      </c>
      <c r="G52" s="659" t="s">
        <v>1505</v>
      </c>
      <c r="H52" s="656"/>
      <c r="I52" s="660" t="s">
        <v>47</v>
      </c>
      <c r="J52" s="661">
        <v>24451.0</v>
      </c>
      <c r="K52" s="659" t="s">
        <v>1506</v>
      </c>
      <c r="L52" s="661">
        <v>45859.0</v>
      </c>
      <c r="M52" s="661">
        <v>49511.0</v>
      </c>
      <c r="N52" s="659" t="s">
        <v>1507</v>
      </c>
      <c r="O52" s="662"/>
      <c r="P52" s="663">
        <v>45945.0</v>
      </c>
      <c r="Q52" s="664" t="s">
        <v>132</v>
      </c>
      <c r="R52" s="665">
        <v>55.0</v>
      </c>
      <c r="S52" s="664" t="s">
        <v>67</v>
      </c>
      <c r="T52" s="666"/>
      <c r="U52" s="667"/>
      <c r="V52" s="667"/>
      <c r="W52" s="667"/>
      <c r="X52" s="667"/>
      <c r="Y52" s="667"/>
      <c r="Z52" s="667"/>
      <c r="AA52" s="667"/>
    </row>
    <row r="53">
      <c r="A53" s="655">
        <v>45.0</v>
      </c>
      <c r="B53" s="656"/>
      <c r="C53" s="39"/>
      <c r="D53" s="39"/>
      <c r="E53" s="659" t="s">
        <v>127</v>
      </c>
      <c r="F53" s="659" t="s">
        <v>648</v>
      </c>
      <c r="G53" s="659" t="s">
        <v>1508</v>
      </c>
      <c r="H53" s="656"/>
      <c r="I53" s="660" t="s">
        <v>57</v>
      </c>
      <c r="J53" s="661">
        <v>24217.0</v>
      </c>
      <c r="K53" s="659" t="s">
        <v>1509</v>
      </c>
      <c r="L53" s="661">
        <v>45859.0</v>
      </c>
      <c r="M53" s="661">
        <v>49511.0</v>
      </c>
      <c r="N53" s="659"/>
      <c r="O53" s="662"/>
      <c r="P53" s="56"/>
      <c r="Q53" s="39"/>
      <c r="R53" s="665">
        <v>55.0</v>
      </c>
      <c r="S53" s="39"/>
      <c r="T53" s="666"/>
      <c r="U53" s="667"/>
      <c r="V53" s="667"/>
      <c r="W53" s="667"/>
      <c r="X53" s="667"/>
      <c r="Y53" s="667"/>
      <c r="Z53" s="667"/>
      <c r="AA53" s="667"/>
    </row>
    <row r="54">
      <c r="A54" s="668">
        <v>48.0</v>
      </c>
      <c r="B54" s="669"/>
      <c r="C54" s="670">
        <v>17.0</v>
      </c>
      <c r="D54" s="671" t="s">
        <v>1320</v>
      </c>
      <c r="E54" s="672" t="s">
        <v>944</v>
      </c>
      <c r="F54" s="672" t="s">
        <v>1510</v>
      </c>
      <c r="G54" s="672" t="s">
        <v>1511</v>
      </c>
      <c r="H54" s="669"/>
      <c r="I54" s="673" t="s">
        <v>47</v>
      </c>
      <c r="J54" s="674">
        <v>26242.0</v>
      </c>
      <c r="K54" s="672" t="s">
        <v>1512</v>
      </c>
      <c r="L54" s="674">
        <v>45726.0</v>
      </c>
      <c r="M54" s="674">
        <v>49378.0</v>
      </c>
      <c r="N54" s="672" t="s">
        <v>1513</v>
      </c>
      <c r="O54" s="675"/>
      <c r="P54" s="676">
        <v>45946.0</v>
      </c>
      <c r="Q54" s="677" t="s">
        <v>132</v>
      </c>
      <c r="R54" s="678">
        <v>55.0</v>
      </c>
      <c r="S54" s="677" t="s">
        <v>67</v>
      </c>
      <c r="T54" s="679"/>
      <c r="U54" s="680"/>
      <c r="V54" s="680"/>
      <c r="W54" s="680"/>
      <c r="X54" s="680"/>
      <c r="Y54" s="680"/>
      <c r="Z54" s="680"/>
      <c r="AA54" s="680"/>
    </row>
    <row r="55">
      <c r="A55" s="668">
        <v>49.0</v>
      </c>
      <c r="B55" s="669"/>
      <c r="C55" s="39"/>
      <c r="D55" s="39"/>
      <c r="E55" s="672" t="s">
        <v>44</v>
      </c>
      <c r="F55" s="672" t="s">
        <v>1514</v>
      </c>
      <c r="G55" s="672" t="s">
        <v>1515</v>
      </c>
      <c r="H55" s="669"/>
      <c r="I55" s="673" t="s">
        <v>57</v>
      </c>
      <c r="J55" s="674">
        <v>26912.0</v>
      </c>
      <c r="K55" s="672" t="s">
        <v>1516</v>
      </c>
      <c r="L55" s="674">
        <v>45726.0</v>
      </c>
      <c r="M55" s="674">
        <v>49378.0</v>
      </c>
      <c r="N55" s="672"/>
      <c r="O55" s="675"/>
      <c r="P55" s="56"/>
      <c r="Q55" s="39"/>
      <c r="R55" s="678">
        <v>55.0</v>
      </c>
      <c r="S55" s="39"/>
      <c r="T55" s="679"/>
      <c r="U55" s="680"/>
      <c r="V55" s="680"/>
      <c r="W55" s="680"/>
      <c r="X55" s="680"/>
      <c r="Y55" s="680"/>
      <c r="Z55" s="680"/>
      <c r="AA55" s="680"/>
    </row>
    <row r="56">
      <c r="A56" s="97">
        <v>50.0</v>
      </c>
      <c r="B56" s="101"/>
      <c r="C56" s="681">
        <v>18.0</v>
      </c>
      <c r="D56" s="118" t="s">
        <v>1320</v>
      </c>
      <c r="E56" s="98" t="s">
        <v>149</v>
      </c>
      <c r="F56" s="98" t="s">
        <v>1517</v>
      </c>
      <c r="G56" s="98" t="s">
        <v>1518</v>
      </c>
      <c r="H56" s="101"/>
      <c r="I56" s="102" t="s">
        <v>47</v>
      </c>
      <c r="J56" s="682">
        <v>32201.0</v>
      </c>
      <c r="K56" s="98" t="s">
        <v>1519</v>
      </c>
      <c r="L56" s="682">
        <v>45940.0</v>
      </c>
      <c r="M56" s="682">
        <v>49592.0</v>
      </c>
      <c r="N56" s="98" t="s">
        <v>1520</v>
      </c>
      <c r="O56" s="104"/>
      <c r="P56" s="683">
        <v>45947.0</v>
      </c>
      <c r="Q56" s="100" t="s">
        <v>132</v>
      </c>
      <c r="R56" s="684">
        <v>55.0</v>
      </c>
      <c r="S56" s="100" t="s">
        <v>67</v>
      </c>
      <c r="T56" s="330"/>
      <c r="U56" s="270"/>
      <c r="V56" s="270"/>
      <c r="W56" s="270"/>
      <c r="X56" s="270"/>
      <c r="Y56" s="270"/>
      <c r="Z56" s="270"/>
      <c r="AA56" s="270"/>
    </row>
    <row r="57">
      <c r="A57" s="97">
        <v>51.0</v>
      </c>
      <c r="B57" s="101"/>
      <c r="C57" s="39"/>
      <c r="D57" s="39"/>
      <c r="E57" s="98" t="s">
        <v>386</v>
      </c>
      <c r="F57" s="98" t="s">
        <v>1521</v>
      </c>
      <c r="G57" s="98" t="s">
        <v>1522</v>
      </c>
      <c r="H57" s="101"/>
      <c r="I57" s="102" t="s">
        <v>47</v>
      </c>
      <c r="J57" s="682">
        <v>21306.0</v>
      </c>
      <c r="K57" s="98" t="s">
        <v>1523</v>
      </c>
      <c r="L57" s="682">
        <v>44883.0</v>
      </c>
      <c r="M57" s="682">
        <v>48536.0</v>
      </c>
      <c r="N57" s="98" t="s">
        <v>1524</v>
      </c>
      <c r="O57" s="104"/>
      <c r="P57" s="683">
        <v>45948.0</v>
      </c>
      <c r="Q57" s="39"/>
      <c r="R57" s="684">
        <v>55.0</v>
      </c>
      <c r="S57" s="39"/>
      <c r="T57" s="685"/>
      <c r="U57" s="270"/>
      <c r="V57" s="270"/>
      <c r="W57" s="270"/>
      <c r="X57" s="270"/>
      <c r="Y57" s="270"/>
      <c r="Z57" s="270"/>
      <c r="AA57" s="270"/>
    </row>
    <row r="58">
      <c r="A58" s="686">
        <v>54.0</v>
      </c>
      <c r="B58" s="687"/>
      <c r="C58" s="688">
        <v>19.0</v>
      </c>
      <c r="D58" s="689" t="s">
        <v>1320</v>
      </c>
      <c r="E58" s="687" t="s">
        <v>149</v>
      </c>
      <c r="F58" s="687" t="s">
        <v>720</v>
      </c>
      <c r="G58" s="687" t="s">
        <v>1525</v>
      </c>
      <c r="H58" s="687"/>
      <c r="I58" s="690" t="s">
        <v>57</v>
      </c>
      <c r="J58" s="691">
        <v>29612.0</v>
      </c>
      <c r="K58" s="687" t="s">
        <v>1526</v>
      </c>
      <c r="L58" s="692">
        <v>43797.0</v>
      </c>
      <c r="M58" s="692">
        <v>46181.0</v>
      </c>
      <c r="N58" s="693" t="s">
        <v>1527</v>
      </c>
      <c r="O58" s="694"/>
      <c r="P58" s="695">
        <v>45949.0</v>
      </c>
      <c r="Q58" s="689" t="s">
        <v>132</v>
      </c>
      <c r="R58" s="693">
        <v>55.0</v>
      </c>
      <c r="S58" s="689" t="s">
        <v>1301</v>
      </c>
      <c r="T58" s="696"/>
    </row>
    <row r="59">
      <c r="A59" s="686">
        <v>55.0</v>
      </c>
      <c r="B59" s="687"/>
      <c r="C59" s="28"/>
      <c r="D59" s="28"/>
      <c r="E59" s="687" t="s">
        <v>44</v>
      </c>
      <c r="F59" s="687" t="s">
        <v>1528</v>
      </c>
      <c r="G59" s="687" t="s">
        <v>1529</v>
      </c>
      <c r="H59" s="687"/>
      <c r="I59" s="690" t="s">
        <v>57</v>
      </c>
      <c r="J59" s="691">
        <v>41040.0</v>
      </c>
      <c r="K59" s="687" t="s">
        <v>1530</v>
      </c>
      <c r="L59" s="692">
        <v>45077.0</v>
      </c>
      <c r="M59" s="692">
        <v>46873.0</v>
      </c>
      <c r="N59" s="693"/>
      <c r="O59" s="694"/>
      <c r="P59" s="695">
        <v>45949.0</v>
      </c>
      <c r="Q59" s="28"/>
      <c r="R59" s="693">
        <v>55.0</v>
      </c>
      <c r="S59" s="28"/>
      <c r="T59" s="696"/>
    </row>
    <row r="60">
      <c r="A60" s="686">
        <v>56.0</v>
      </c>
      <c r="B60" s="687"/>
      <c r="C60" s="39"/>
      <c r="D60" s="39"/>
      <c r="E60" s="687" t="s">
        <v>44</v>
      </c>
      <c r="F60" s="687" t="s">
        <v>1531</v>
      </c>
      <c r="G60" s="687" t="s">
        <v>1532</v>
      </c>
      <c r="H60" s="687"/>
      <c r="I60" s="690" t="s">
        <v>47</v>
      </c>
      <c r="J60" s="691">
        <v>41769.0</v>
      </c>
      <c r="K60" s="687" t="s">
        <v>1533</v>
      </c>
      <c r="L60" s="692">
        <v>45300.0</v>
      </c>
      <c r="M60" s="692">
        <v>47127.0</v>
      </c>
      <c r="N60" s="693"/>
      <c r="O60" s="694"/>
      <c r="P60" s="695">
        <v>45949.0</v>
      </c>
      <c r="Q60" s="39"/>
      <c r="R60" s="693">
        <v>55.0</v>
      </c>
      <c r="S60" s="28"/>
      <c r="T60" s="696"/>
    </row>
    <row r="61">
      <c r="A61" s="697">
        <v>57.0</v>
      </c>
      <c r="B61" s="698"/>
      <c r="C61" s="699">
        <v>20.0</v>
      </c>
      <c r="D61" s="700" t="s">
        <v>1320</v>
      </c>
      <c r="E61" s="698" t="s">
        <v>458</v>
      </c>
      <c r="F61" s="698" t="s">
        <v>1534</v>
      </c>
      <c r="G61" s="698" t="s">
        <v>1535</v>
      </c>
      <c r="H61" s="698"/>
      <c r="I61" s="701" t="s">
        <v>47</v>
      </c>
      <c r="J61" s="702">
        <v>30904.0</v>
      </c>
      <c r="K61" s="698" t="s">
        <v>1536</v>
      </c>
      <c r="L61" s="703">
        <v>45070.0</v>
      </c>
      <c r="M61" s="703">
        <v>48723.0</v>
      </c>
      <c r="N61" s="704" t="s">
        <v>1537</v>
      </c>
      <c r="O61" s="705"/>
      <c r="P61" s="706">
        <v>45950.0</v>
      </c>
      <c r="Q61" s="700" t="s">
        <v>132</v>
      </c>
      <c r="R61" s="704">
        <v>55.0</v>
      </c>
      <c r="S61" s="700" t="s">
        <v>1301</v>
      </c>
      <c r="T61" s="707"/>
    </row>
    <row r="62">
      <c r="A62" s="697">
        <v>58.0</v>
      </c>
      <c r="B62" s="698"/>
      <c r="C62" s="39"/>
      <c r="D62" s="39"/>
      <c r="E62" s="698" t="s">
        <v>31</v>
      </c>
      <c r="F62" s="698" t="s">
        <v>1538</v>
      </c>
      <c r="G62" s="698" t="s">
        <v>1539</v>
      </c>
      <c r="H62" s="698"/>
      <c r="I62" s="701" t="s">
        <v>57</v>
      </c>
      <c r="J62" s="702">
        <v>33872.0</v>
      </c>
      <c r="K62" s="698" t="s">
        <v>1540</v>
      </c>
      <c r="L62" s="703">
        <v>43267.0</v>
      </c>
      <c r="M62" s="703">
        <v>46920.0</v>
      </c>
      <c r="N62" s="704"/>
      <c r="O62" s="705"/>
      <c r="P62" s="706">
        <v>45950.0</v>
      </c>
      <c r="Q62" s="39"/>
      <c r="R62" s="704">
        <v>55.0</v>
      </c>
      <c r="S62" s="28"/>
      <c r="T62" s="707"/>
    </row>
    <row r="63">
      <c r="A63" s="708">
        <v>59.0</v>
      </c>
      <c r="B63" s="709"/>
      <c r="C63" s="710">
        <v>21.0</v>
      </c>
      <c r="D63" s="711" t="s">
        <v>1320</v>
      </c>
      <c r="E63" s="709" t="s">
        <v>115</v>
      </c>
      <c r="F63" s="709" t="s">
        <v>1541</v>
      </c>
      <c r="G63" s="712" t="s">
        <v>1542</v>
      </c>
      <c r="H63" s="709"/>
      <c r="I63" s="713" t="s">
        <v>47</v>
      </c>
      <c r="J63" s="714">
        <v>24700.0</v>
      </c>
      <c r="K63" s="709" t="s">
        <v>1543</v>
      </c>
      <c r="L63" s="715">
        <v>44127.0</v>
      </c>
      <c r="M63" s="715">
        <v>47779.0</v>
      </c>
      <c r="N63" s="716" t="s">
        <v>1544</v>
      </c>
      <c r="O63" s="717"/>
      <c r="P63" s="718">
        <v>45953.0</v>
      </c>
      <c r="Q63" s="719" t="s">
        <v>132</v>
      </c>
      <c r="R63" s="720">
        <v>55.0</v>
      </c>
      <c r="S63" s="719" t="s">
        <v>1301</v>
      </c>
      <c r="T63" s="721"/>
    </row>
    <row r="64">
      <c r="A64" s="708">
        <v>60.0</v>
      </c>
      <c r="B64" s="709"/>
      <c r="C64" s="39"/>
      <c r="D64" s="39"/>
      <c r="E64" s="709" t="s">
        <v>31</v>
      </c>
      <c r="F64" s="709" t="s">
        <v>1545</v>
      </c>
      <c r="G64" s="712" t="s">
        <v>1546</v>
      </c>
      <c r="H64" s="709"/>
      <c r="I64" s="713" t="s">
        <v>57</v>
      </c>
      <c r="J64" s="714">
        <v>24571.0</v>
      </c>
      <c r="K64" s="709" t="s">
        <v>1547</v>
      </c>
      <c r="L64" s="715">
        <v>44907.0</v>
      </c>
      <c r="M64" s="715">
        <v>48560.0</v>
      </c>
      <c r="N64" s="720"/>
      <c r="O64" s="717"/>
      <c r="P64" s="718">
        <v>45953.0</v>
      </c>
      <c r="Q64" s="39"/>
      <c r="R64" s="720">
        <v>55.0</v>
      </c>
      <c r="S64" s="28"/>
      <c r="T64" s="721"/>
    </row>
    <row r="65">
      <c r="A65" s="41">
        <v>61.0</v>
      </c>
      <c r="B65" s="722"/>
      <c r="C65" s="723">
        <v>22.0</v>
      </c>
      <c r="D65" s="724" t="s">
        <v>1320</v>
      </c>
      <c r="E65" s="725" t="s">
        <v>209</v>
      </c>
      <c r="F65" s="725" t="s">
        <v>1548</v>
      </c>
      <c r="G65" s="725" t="s">
        <v>1549</v>
      </c>
      <c r="H65" s="722"/>
      <c r="I65" s="726" t="s">
        <v>57</v>
      </c>
      <c r="J65" s="727">
        <v>28062.0</v>
      </c>
      <c r="K65" s="725" t="s">
        <v>1550</v>
      </c>
      <c r="L65" s="727">
        <v>43458.0</v>
      </c>
      <c r="M65" s="727">
        <v>47111.0</v>
      </c>
      <c r="N65" s="725" t="s">
        <v>1551</v>
      </c>
      <c r="O65" s="728"/>
      <c r="P65" s="729">
        <v>45955.0</v>
      </c>
      <c r="Q65" s="724" t="s">
        <v>132</v>
      </c>
      <c r="R65" s="725">
        <v>55.0</v>
      </c>
      <c r="S65" s="724" t="s">
        <v>1290</v>
      </c>
      <c r="T65" s="183"/>
    </row>
    <row r="66">
      <c r="A66" s="41">
        <v>62.0</v>
      </c>
      <c r="B66" s="722"/>
      <c r="C66" s="39"/>
      <c r="D66" s="39"/>
      <c r="E66" s="725" t="s">
        <v>475</v>
      </c>
      <c r="F66" s="725" t="s">
        <v>1552</v>
      </c>
      <c r="G66" s="725" t="s">
        <v>1553</v>
      </c>
      <c r="H66" s="722"/>
      <c r="I66" s="726" t="s">
        <v>47</v>
      </c>
      <c r="J66" s="730">
        <v>28069.0</v>
      </c>
      <c r="K66" s="725" t="s">
        <v>1554</v>
      </c>
      <c r="L66" s="730">
        <v>45511.0</v>
      </c>
      <c r="M66" s="730">
        <v>49163.0</v>
      </c>
      <c r="N66" s="725"/>
      <c r="O66" s="728"/>
      <c r="P66" s="56"/>
      <c r="Q66" s="39"/>
      <c r="R66" s="725">
        <v>55.0</v>
      </c>
      <c r="S66" s="39"/>
      <c r="T66" s="183"/>
    </row>
    <row r="67">
      <c r="A67" s="731">
        <v>63.0</v>
      </c>
      <c r="B67" s="732"/>
      <c r="C67" s="733">
        <v>23.0</v>
      </c>
      <c r="D67" s="734" t="s">
        <v>1320</v>
      </c>
      <c r="E67" s="735" t="s">
        <v>31</v>
      </c>
      <c r="F67" s="735" t="s">
        <v>1555</v>
      </c>
      <c r="G67" s="735" t="s">
        <v>1556</v>
      </c>
      <c r="H67" s="732"/>
      <c r="I67" s="736" t="s">
        <v>47</v>
      </c>
      <c r="J67" s="737">
        <v>23005.0</v>
      </c>
      <c r="K67" s="735" t="s">
        <v>1557</v>
      </c>
      <c r="L67" s="738">
        <v>44439.0</v>
      </c>
      <c r="M67" s="738">
        <v>48091.0</v>
      </c>
      <c r="N67" s="735" t="s">
        <v>1558</v>
      </c>
      <c r="O67" s="739"/>
      <c r="P67" s="740">
        <v>45957.0</v>
      </c>
      <c r="Q67" s="734" t="s">
        <v>132</v>
      </c>
      <c r="R67" s="735">
        <v>55.0</v>
      </c>
      <c r="S67" s="734" t="s">
        <v>67</v>
      </c>
      <c r="T67" s="741"/>
      <c r="U67" s="742"/>
      <c r="V67" s="742"/>
      <c r="W67" s="742"/>
      <c r="X67" s="742"/>
      <c r="Y67" s="742"/>
      <c r="Z67" s="742"/>
      <c r="AA67" s="742"/>
    </row>
    <row r="68">
      <c r="A68" s="731">
        <v>64.0</v>
      </c>
      <c r="B68" s="732"/>
      <c r="C68" s="39"/>
      <c r="D68" s="39"/>
      <c r="E68" s="735" t="s">
        <v>44</v>
      </c>
      <c r="F68" s="735" t="s">
        <v>1559</v>
      </c>
      <c r="G68" s="735" t="s">
        <v>1560</v>
      </c>
      <c r="H68" s="732"/>
      <c r="I68" s="736" t="str">
        <f>IF(MOD(MID(H68,8,1),2)=1,"M","F")</f>
        <v>F</v>
      </c>
      <c r="J68" s="743">
        <v>23933.0</v>
      </c>
      <c r="K68" s="735" t="s">
        <v>1561</v>
      </c>
      <c r="L68" s="738">
        <v>44396.0</v>
      </c>
      <c r="M68" s="738">
        <v>48048.0</v>
      </c>
      <c r="N68" s="735"/>
      <c r="O68" s="739"/>
      <c r="P68" s="56"/>
      <c r="Q68" s="39"/>
      <c r="R68" s="735">
        <v>55.0</v>
      </c>
      <c r="S68" s="39"/>
      <c r="T68" s="741"/>
      <c r="U68" s="742"/>
      <c r="V68" s="742"/>
      <c r="W68" s="742"/>
      <c r="X68" s="742"/>
      <c r="Y68" s="742"/>
      <c r="Z68" s="742"/>
      <c r="AA68" s="742"/>
    </row>
    <row r="69">
      <c r="A69" s="744">
        <v>65.0</v>
      </c>
      <c r="B69" s="745"/>
      <c r="C69" s="746">
        <v>24.0</v>
      </c>
      <c r="D69" s="747" t="s">
        <v>1320</v>
      </c>
      <c r="E69" s="748" t="s">
        <v>1562</v>
      </c>
      <c r="F69" s="748" t="s">
        <v>1563</v>
      </c>
      <c r="G69" s="748" t="s">
        <v>1564</v>
      </c>
      <c r="H69" s="745"/>
      <c r="I69" s="749" t="s">
        <v>47</v>
      </c>
      <c r="J69" s="750">
        <v>26121.0</v>
      </c>
      <c r="K69" s="748" t="s">
        <v>1565</v>
      </c>
      <c r="L69" s="751">
        <v>43518.0</v>
      </c>
      <c r="M69" s="751">
        <v>47171.0</v>
      </c>
      <c r="N69" s="748" t="s">
        <v>1566</v>
      </c>
      <c r="O69" s="752"/>
      <c r="P69" s="753">
        <v>45959.0</v>
      </c>
      <c r="Q69" s="747" t="s">
        <v>132</v>
      </c>
      <c r="R69" s="748">
        <v>55.0</v>
      </c>
      <c r="S69" s="747" t="s">
        <v>67</v>
      </c>
      <c r="T69" s="754"/>
      <c r="U69" s="755"/>
      <c r="V69" s="755"/>
      <c r="W69" s="755"/>
      <c r="X69" s="755"/>
      <c r="Y69" s="755"/>
      <c r="Z69" s="755"/>
      <c r="AA69" s="755"/>
    </row>
    <row r="70">
      <c r="A70" s="744">
        <v>66.0</v>
      </c>
      <c r="B70" s="745"/>
      <c r="C70" s="39"/>
      <c r="D70" s="39"/>
      <c r="E70" s="748" t="s">
        <v>1567</v>
      </c>
      <c r="F70" s="748" t="s">
        <v>1568</v>
      </c>
      <c r="G70" s="748" t="s">
        <v>1569</v>
      </c>
      <c r="H70" s="745"/>
      <c r="I70" s="749" t="str">
        <f>IF(MOD(MID(H70,8,1),2)=1,"M","F")</f>
        <v>F</v>
      </c>
      <c r="J70" s="750">
        <v>26444.0</v>
      </c>
      <c r="K70" s="748" t="s">
        <v>1570</v>
      </c>
      <c r="L70" s="751">
        <v>43592.0</v>
      </c>
      <c r="M70" s="751">
        <v>47245.0</v>
      </c>
      <c r="N70" s="748"/>
      <c r="O70" s="752"/>
      <c r="P70" s="56"/>
      <c r="Q70" s="39"/>
      <c r="R70" s="748">
        <v>55.0</v>
      </c>
      <c r="S70" s="39"/>
      <c r="T70" s="754"/>
      <c r="U70" s="755"/>
      <c r="V70" s="755"/>
      <c r="W70" s="755"/>
      <c r="X70" s="755"/>
      <c r="Y70" s="755"/>
      <c r="Z70" s="755"/>
      <c r="AA70" s="755"/>
    </row>
    <row r="71">
      <c r="A71" s="756">
        <v>67.0</v>
      </c>
      <c r="B71" s="757"/>
      <c r="C71" s="758">
        <v>25.0</v>
      </c>
      <c r="D71" s="759" t="s">
        <v>43</v>
      </c>
      <c r="E71" s="760" t="s">
        <v>31</v>
      </c>
      <c r="F71" s="760" t="s">
        <v>1571</v>
      </c>
      <c r="G71" s="760" t="s">
        <v>1572</v>
      </c>
      <c r="H71" s="757"/>
      <c r="I71" s="761" t="s">
        <v>57</v>
      </c>
      <c r="J71" s="762">
        <v>29278.0</v>
      </c>
      <c r="K71" s="760" t="s">
        <v>1573</v>
      </c>
      <c r="L71" s="763">
        <v>43297.0</v>
      </c>
      <c r="M71" s="763">
        <v>46950.0</v>
      </c>
      <c r="N71" s="764" t="s">
        <v>1574</v>
      </c>
      <c r="O71" s="765"/>
      <c r="P71" s="766" t="s">
        <v>1575</v>
      </c>
      <c r="Q71" s="760" t="s">
        <v>132</v>
      </c>
      <c r="R71" s="760">
        <v>55.0</v>
      </c>
      <c r="S71" s="759" t="s">
        <v>1454</v>
      </c>
      <c r="T71" s="767"/>
    </row>
    <row r="72">
      <c r="A72" s="756">
        <v>68.0</v>
      </c>
      <c r="B72" s="757"/>
      <c r="C72" s="28"/>
      <c r="D72" s="28"/>
      <c r="E72" s="760" t="s">
        <v>1576</v>
      </c>
      <c r="F72" s="760" t="s">
        <v>1577</v>
      </c>
      <c r="G72" s="760" t="s">
        <v>1578</v>
      </c>
      <c r="H72" s="757"/>
      <c r="I72" s="761" t="s">
        <v>57</v>
      </c>
      <c r="J72" s="762">
        <v>18471.0</v>
      </c>
      <c r="K72" s="760" t="s">
        <v>1579</v>
      </c>
      <c r="L72" s="763">
        <v>43076.0</v>
      </c>
      <c r="M72" s="763">
        <v>46728.0</v>
      </c>
      <c r="N72" s="764" t="s">
        <v>1574</v>
      </c>
      <c r="O72" s="765"/>
      <c r="P72" s="766" t="s">
        <v>1575</v>
      </c>
      <c r="Q72" s="760" t="s">
        <v>132</v>
      </c>
      <c r="R72" s="760">
        <v>55.0</v>
      </c>
      <c r="S72" s="28"/>
      <c r="T72" s="768"/>
    </row>
    <row r="73">
      <c r="A73" s="756">
        <v>69.0</v>
      </c>
      <c r="B73" s="757"/>
      <c r="C73" s="39"/>
      <c r="D73" s="39"/>
      <c r="E73" s="760" t="s">
        <v>902</v>
      </c>
      <c r="F73" s="760" t="s">
        <v>1580</v>
      </c>
      <c r="G73" s="760" t="s">
        <v>1581</v>
      </c>
      <c r="H73" s="757"/>
      <c r="I73" s="761" t="s">
        <v>47</v>
      </c>
      <c r="J73" s="762">
        <v>40897.0</v>
      </c>
      <c r="K73" s="760" t="s">
        <v>1582</v>
      </c>
      <c r="L73" s="763">
        <v>44760.0</v>
      </c>
      <c r="M73" s="769">
        <v>46586.0</v>
      </c>
      <c r="N73" s="764" t="s">
        <v>1574</v>
      </c>
      <c r="O73" s="765"/>
      <c r="P73" s="766" t="s">
        <v>1575</v>
      </c>
      <c r="Q73" s="760" t="s">
        <v>132</v>
      </c>
      <c r="R73" s="760">
        <v>55.0</v>
      </c>
      <c r="S73" s="39"/>
      <c r="T73" s="768"/>
    </row>
    <row r="74">
      <c r="A74" s="60">
        <v>70.0</v>
      </c>
      <c r="B74" s="69"/>
      <c r="C74" s="69"/>
      <c r="D74" s="211"/>
      <c r="E74" s="68"/>
      <c r="F74" s="68"/>
      <c r="G74" s="69"/>
      <c r="H74" s="68"/>
      <c r="I74" s="46"/>
      <c r="J74" s="69"/>
      <c r="K74" s="68"/>
      <c r="L74" s="69"/>
      <c r="M74" s="69"/>
      <c r="N74" s="43"/>
      <c r="O74" s="57"/>
      <c r="P74" s="289"/>
      <c r="Q74" s="84"/>
      <c r="R74" s="84"/>
      <c r="S74" s="203"/>
      <c r="T74" s="770"/>
    </row>
    <row r="75">
      <c r="A75" s="60"/>
      <c r="B75" s="69"/>
      <c r="C75" s="69"/>
      <c r="D75" s="211"/>
      <c r="E75" s="68"/>
      <c r="F75" s="68"/>
      <c r="G75" s="69"/>
      <c r="H75" s="68"/>
      <c r="I75" s="46"/>
      <c r="J75" s="69"/>
      <c r="K75" s="68"/>
      <c r="L75" s="69"/>
      <c r="M75" s="69"/>
      <c r="N75" s="43"/>
      <c r="O75" s="57"/>
      <c r="P75" s="289"/>
      <c r="Q75" s="84"/>
      <c r="R75" s="84"/>
      <c r="S75" s="203"/>
      <c r="T75" s="770"/>
    </row>
    <row r="76">
      <c r="A76" s="60"/>
      <c r="B76" s="293"/>
      <c r="C76" s="294" t="s">
        <v>290</v>
      </c>
      <c r="D76" s="124"/>
      <c r="E76" s="295"/>
      <c r="F76" s="295"/>
      <c r="G76" s="124"/>
      <c r="H76" s="295"/>
      <c r="I76" s="124"/>
      <c r="J76" s="124"/>
      <c r="K76" s="295"/>
      <c r="L76" s="295"/>
      <c r="M76" s="295"/>
      <c r="N76" s="43"/>
      <c r="O76" s="298"/>
      <c r="P76" s="304"/>
      <c r="Q76" s="302"/>
      <c r="R76" s="302"/>
      <c r="S76" s="302"/>
      <c r="T76" s="461"/>
    </row>
    <row r="77">
      <c r="A77" s="138"/>
      <c r="B77" s="138"/>
      <c r="C77" s="138"/>
      <c r="D77" s="138"/>
      <c r="E77" s="138"/>
      <c r="F77" s="138"/>
      <c r="G77" s="138"/>
      <c r="H77" s="138" t="s">
        <v>291</v>
      </c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</row>
  </sheetData>
  <mergeCells count="150">
    <mergeCell ref="S15:S16"/>
    <mergeCell ref="S17:S18"/>
    <mergeCell ref="S19:S20"/>
    <mergeCell ref="S21:S22"/>
    <mergeCell ref="S23:S24"/>
    <mergeCell ref="S25:S26"/>
    <mergeCell ref="S27:S28"/>
    <mergeCell ref="S29:S33"/>
    <mergeCell ref="T29:T33"/>
    <mergeCell ref="Q38:Q41"/>
    <mergeCell ref="S38:S41"/>
    <mergeCell ref="P42:P43"/>
    <mergeCell ref="Q42:Q43"/>
    <mergeCell ref="S42:S43"/>
    <mergeCell ref="P44:P45"/>
    <mergeCell ref="Q44:Q45"/>
    <mergeCell ref="S44:S45"/>
    <mergeCell ref="P46:P47"/>
    <mergeCell ref="Q46:Q47"/>
    <mergeCell ref="P48:P49"/>
    <mergeCell ref="Q48:Q49"/>
    <mergeCell ref="P50:P51"/>
    <mergeCell ref="Q50:Q51"/>
    <mergeCell ref="P52:P53"/>
    <mergeCell ref="Q52:Q53"/>
    <mergeCell ref="P54:P55"/>
    <mergeCell ref="Q54:Q55"/>
    <mergeCell ref="Q56:Q57"/>
    <mergeCell ref="S61:S62"/>
    <mergeCell ref="S63:S64"/>
    <mergeCell ref="S65:S66"/>
    <mergeCell ref="S67:S68"/>
    <mergeCell ref="S69:S70"/>
    <mergeCell ref="S71:S73"/>
    <mergeCell ref="S46:S47"/>
    <mergeCell ref="S48:S49"/>
    <mergeCell ref="S50:S51"/>
    <mergeCell ref="S52:S53"/>
    <mergeCell ref="S54:S55"/>
    <mergeCell ref="S56:S57"/>
    <mergeCell ref="S58:S60"/>
    <mergeCell ref="P69:P70"/>
    <mergeCell ref="Q69:Q70"/>
    <mergeCell ref="Q58:Q60"/>
    <mergeCell ref="Q61:Q62"/>
    <mergeCell ref="Q63:Q64"/>
    <mergeCell ref="P65:P66"/>
    <mergeCell ref="Q65:Q66"/>
    <mergeCell ref="P67:P68"/>
    <mergeCell ref="Q67:Q68"/>
    <mergeCell ref="B5:B6"/>
    <mergeCell ref="C5:C10"/>
    <mergeCell ref="D5:D6"/>
    <mergeCell ref="S5:S6"/>
    <mergeCell ref="B7:B8"/>
    <mergeCell ref="S7:S8"/>
    <mergeCell ref="B9:B10"/>
    <mergeCell ref="S9:S10"/>
    <mergeCell ref="D15:D16"/>
    <mergeCell ref="D17:D18"/>
    <mergeCell ref="D19:D20"/>
    <mergeCell ref="D21:D22"/>
    <mergeCell ref="D23:D24"/>
    <mergeCell ref="D7:D8"/>
    <mergeCell ref="D9:D10"/>
    <mergeCell ref="B11:B12"/>
    <mergeCell ref="C11:C12"/>
    <mergeCell ref="D11:D12"/>
    <mergeCell ref="C13:C14"/>
    <mergeCell ref="D13:D14"/>
    <mergeCell ref="P9:P10"/>
    <mergeCell ref="Q9:Q10"/>
    <mergeCell ref="P11:P12"/>
    <mergeCell ref="Q11:Q12"/>
    <mergeCell ref="S11:S12"/>
    <mergeCell ref="Q13:Q14"/>
    <mergeCell ref="S13:S14"/>
    <mergeCell ref="P13:P14"/>
    <mergeCell ref="P15:P16"/>
    <mergeCell ref="Q15:Q16"/>
    <mergeCell ref="P17:P18"/>
    <mergeCell ref="Q17:Q18"/>
    <mergeCell ref="P19:P20"/>
    <mergeCell ref="Q19:Q20"/>
    <mergeCell ref="P27:P28"/>
    <mergeCell ref="P29:P33"/>
    <mergeCell ref="Q29:Q33"/>
    <mergeCell ref="P34:P36"/>
    <mergeCell ref="Q34:Q37"/>
    <mergeCell ref="S34:S36"/>
    <mergeCell ref="P21:P22"/>
    <mergeCell ref="Q21:Q22"/>
    <mergeCell ref="P23:P24"/>
    <mergeCell ref="Q23:Q24"/>
    <mergeCell ref="P25:P26"/>
    <mergeCell ref="Q25:Q26"/>
    <mergeCell ref="Q27:Q28"/>
    <mergeCell ref="D58:D60"/>
    <mergeCell ref="D61:D62"/>
    <mergeCell ref="D44:D45"/>
    <mergeCell ref="D46:D47"/>
    <mergeCell ref="D48:D49"/>
    <mergeCell ref="D50:D51"/>
    <mergeCell ref="D52:D53"/>
    <mergeCell ref="D54:D55"/>
    <mergeCell ref="D56:D57"/>
    <mergeCell ref="C67:C68"/>
    <mergeCell ref="C69:C70"/>
    <mergeCell ref="C71:C73"/>
    <mergeCell ref="C58:C60"/>
    <mergeCell ref="C61:C62"/>
    <mergeCell ref="C63:C64"/>
    <mergeCell ref="D63:D64"/>
    <mergeCell ref="C65:C66"/>
    <mergeCell ref="D65:D66"/>
    <mergeCell ref="D67:D68"/>
    <mergeCell ref="B13:B14"/>
    <mergeCell ref="B15:B16"/>
    <mergeCell ref="C15:C22"/>
    <mergeCell ref="B17:B18"/>
    <mergeCell ref="B19:B20"/>
    <mergeCell ref="B23:B24"/>
    <mergeCell ref="C23:C24"/>
    <mergeCell ref="D27:D28"/>
    <mergeCell ref="D29:D31"/>
    <mergeCell ref="B32:B33"/>
    <mergeCell ref="D32:D33"/>
    <mergeCell ref="B25:B26"/>
    <mergeCell ref="C25:C26"/>
    <mergeCell ref="D25:D26"/>
    <mergeCell ref="B27:B28"/>
    <mergeCell ref="C27:C28"/>
    <mergeCell ref="B29:B31"/>
    <mergeCell ref="C29:C33"/>
    <mergeCell ref="C34:C37"/>
    <mergeCell ref="D34:D35"/>
    <mergeCell ref="D36:D37"/>
    <mergeCell ref="C38:C41"/>
    <mergeCell ref="D38:D39"/>
    <mergeCell ref="D40:D41"/>
    <mergeCell ref="D42:D43"/>
    <mergeCell ref="C42:C43"/>
    <mergeCell ref="C44:C47"/>
    <mergeCell ref="C48:C49"/>
    <mergeCell ref="C50:C51"/>
    <mergeCell ref="C52:C53"/>
    <mergeCell ref="C54:C55"/>
    <mergeCell ref="C56:C57"/>
    <mergeCell ref="D69:D70"/>
    <mergeCell ref="D71:D73"/>
  </mergeCells>
  <conditionalFormatting sqref="D4">
    <cfRule type="containsText" dxfId="0" priority="1" operator="containsText" text="3인">
      <formula>NOT(ISERROR(SEARCH(("3인"),(D4))))</formula>
    </cfRule>
  </conditionalFormatting>
  <conditionalFormatting sqref="D4">
    <cfRule type="containsText" dxfId="1" priority="2" operator="containsText" text="4인">
      <formula>NOT(ISERROR(SEARCH(("4인"),(D4))))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3" width="8.13"/>
    <col customWidth="1" min="4" max="5" width="10.0"/>
    <col customWidth="1" min="10" max="10" width="15.75"/>
    <col customWidth="1" min="17" max="17" width="2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 t="s">
        <v>1176</v>
      </c>
      <c r="K1" s="1"/>
      <c r="L1" s="2"/>
      <c r="M1" s="1"/>
      <c r="N1" s="2"/>
      <c r="O1" s="2"/>
      <c r="P1" s="1"/>
      <c r="Q1" s="1"/>
      <c r="R1" s="239"/>
      <c r="T1" s="240"/>
    </row>
    <row r="2">
      <c r="A2" s="8"/>
      <c r="B2" s="8"/>
      <c r="C2" s="8"/>
      <c r="D2" s="8"/>
      <c r="E2" s="8"/>
      <c r="F2" s="8"/>
      <c r="G2" s="8"/>
      <c r="H2" s="8"/>
      <c r="I2" s="8"/>
      <c r="J2" s="8" t="s">
        <v>1</v>
      </c>
      <c r="K2" s="8"/>
      <c r="L2" s="9"/>
      <c r="M2" s="8"/>
      <c r="N2" s="9"/>
      <c r="O2" s="9"/>
      <c r="P2" s="8"/>
      <c r="Q2" s="10"/>
      <c r="R2" s="11"/>
      <c r="S2" s="12"/>
      <c r="T2" s="13"/>
      <c r="U2" s="14"/>
      <c r="V2" s="152"/>
      <c r="W2" s="16" t="s">
        <v>2</v>
      </c>
      <c r="X2" s="153" t="s">
        <v>3</v>
      </c>
    </row>
    <row r="3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20" t="s">
        <v>16</v>
      </c>
      <c r="M3" s="19" t="s">
        <v>17</v>
      </c>
      <c r="N3" s="20" t="s">
        <v>18</v>
      </c>
      <c r="O3" s="20" t="s">
        <v>19</v>
      </c>
      <c r="P3" s="19" t="s">
        <v>20</v>
      </c>
      <c r="Q3" s="21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156" t="s">
        <v>26</v>
      </c>
      <c r="W3" s="26"/>
      <c r="X3" s="157"/>
    </row>
    <row r="4">
      <c r="A4" s="29">
        <v>1.0</v>
      </c>
      <c r="B4" s="29" t="s">
        <v>27</v>
      </c>
      <c r="C4" s="29" t="s">
        <v>27</v>
      </c>
      <c r="D4" s="30" t="s">
        <v>28</v>
      </c>
      <c r="E4" s="30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31" t="s">
        <v>36</v>
      </c>
      <c r="M4" s="29" t="s">
        <v>37</v>
      </c>
      <c r="N4" s="31" t="s">
        <v>36</v>
      </c>
      <c r="O4" s="31" t="s">
        <v>36</v>
      </c>
      <c r="P4" s="29" t="s">
        <v>38</v>
      </c>
      <c r="Q4" s="159"/>
      <c r="R4" s="32" t="s">
        <v>36</v>
      </c>
      <c r="S4" s="33" t="s">
        <v>39</v>
      </c>
      <c r="T4" s="34" t="s">
        <v>40</v>
      </c>
      <c r="U4" s="35" t="s">
        <v>41</v>
      </c>
      <c r="V4" s="160" t="s">
        <v>42</v>
      </c>
      <c r="W4" s="37"/>
      <c r="X4" s="161"/>
    </row>
    <row r="5">
      <c r="A5" s="60">
        <v>1.0</v>
      </c>
      <c r="B5" s="84"/>
      <c r="C5" s="84"/>
      <c r="D5" s="42">
        <v>1.0</v>
      </c>
      <c r="E5" s="43">
        <v>1.0</v>
      </c>
      <c r="F5" s="42" t="s">
        <v>43</v>
      </c>
      <c r="G5" s="68" t="s">
        <v>44</v>
      </c>
      <c r="H5" s="68" t="s">
        <v>1583</v>
      </c>
      <c r="I5" s="69" t="s">
        <v>1584</v>
      </c>
      <c r="J5" s="45"/>
      <c r="K5" s="46" t="str">
        <f t="shared" ref="K5:K34" si="1">IF(MOD(MID(J5,8,1),2)=1,"M","F")</f>
        <v>F</v>
      </c>
      <c r="L5" s="71">
        <v>17414.0</v>
      </c>
      <c r="M5" s="68" t="s">
        <v>1585</v>
      </c>
      <c r="N5" s="71">
        <v>45882.0</v>
      </c>
      <c r="O5" s="71">
        <v>49534.0</v>
      </c>
      <c r="P5" s="69"/>
      <c r="Q5" s="43" t="s">
        <v>1586</v>
      </c>
      <c r="R5" s="388">
        <v>45882.0</v>
      </c>
      <c r="S5" s="393" t="s">
        <v>228</v>
      </c>
      <c r="T5" s="282">
        <v>345.0</v>
      </c>
      <c r="U5" s="42" t="s">
        <v>1587</v>
      </c>
      <c r="V5" s="52">
        <v>1.063907315E9</v>
      </c>
      <c r="W5" s="310" t="s">
        <v>1588</v>
      </c>
      <c r="X5" s="427" t="s">
        <v>1589</v>
      </c>
    </row>
    <row r="6">
      <c r="A6" s="60">
        <v>2.0</v>
      </c>
      <c r="B6" s="39"/>
      <c r="C6" s="39"/>
      <c r="D6" s="28"/>
      <c r="E6" s="43">
        <v>1.0</v>
      </c>
      <c r="F6" s="39"/>
      <c r="G6" s="68" t="s">
        <v>44</v>
      </c>
      <c r="H6" s="68" t="s">
        <v>1590</v>
      </c>
      <c r="I6" s="69" t="s">
        <v>1591</v>
      </c>
      <c r="J6" s="45"/>
      <c r="K6" s="46" t="str">
        <f t="shared" si="1"/>
        <v>F</v>
      </c>
      <c r="L6" s="71">
        <v>22441.0</v>
      </c>
      <c r="M6" s="68" t="s">
        <v>1592</v>
      </c>
      <c r="N6" s="71">
        <v>45880.0</v>
      </c>
      <c r="O6" s="71">
        <v>49532.0</v>
      </c>
      <c r="P6" s="43" t="s">
        <v>1593</v>
      </c>
      <c r="Q6" s="43" t="s">
        <v>1586</v>
      </c>
      <c r="R6" s="388">
        <v>45881.0</v>
      </c>
      <c r="S6" s="393" t="s">
        <v>228</v>
      </c>
      <c r="T6" s="282">
        <v>345.0</v>
      </c>
      <c r="U6" s="39"/>
      <c r="V6" s="57">
        <v>1.044049874E9</v>
      </c>
      <c r="W6" s="80"/>
      <c r="X6" s="392"/>
    </row>
    <row r="7">
      <c r="A7" s="60">
        <v>3.0</v>
      </c>
      <c r="B7" s="84"/>
      <c r="C7" s="84"/>
      <c r="D7" s="28"/>
      <c r="E7" s="43">
        <v>2.0</v>
      </c>
      <c r="F7" s="42" t="s">
        <v>43</v>
      </c>
      <c r="G7" s="68" t="s">
        <v>44</v>
      </c>
      <c r="H7" s="68" t="s">
        <v>1594</v>
      </c>
      <c r="I7" s="69" t="s">
        <v>1595</v>
      </c>
      <c r="J7" s="68"/>
      <c r="K7" s="46" t="str">
        <f t="shared" si="1"/>
        <v>F</v>
      </c>
      <c r="L7" s="71">
        <v>20881.0</v>
      </c>
      <c r="M7" s="68" t="s">
        <v>1596</v>
      </c>
      <c r="N7" s="71">
        <v>45839.0</v>
      </c>
      <c r="O7" s="71">
        <v>49491.0</v>
      </c>
      <c r="P7" s="69"/>
      <c r="Q7" s="43" t="s">
        <v>1586</v>
      </c>
      <c r="R7" s="388">
        <v>45881.0</v>
      </c>
      <c r="S7" s="393" t="s">
        <v>228</v>
      </c>
      <c r="T7" s="282">
        <v>535.0</v>
      </c>
      <c r="U7" s="42" t="s">
        <v>1587</v>
      </c>
      <c r="V7" s="52">
        <v>1.039815351E9</v>
      </c>
      <c r="W7" s="80"/>
      <c r="X7" s="392"/>
    </row>
    <row r="8">
      <c r="A8" s="60">
        <v>4.0</v>
      </c>
      <c r="B8" s="39"/>
      <c r="C8" s="39"/>
      <c r="D8" s="39"/>
      <c r="E8" s="43">
        <v>2.0</v>
      </c>
      <c r="F8" s="39"/>
      <c r="G8" s="68" t="s">
        <v>44</v>
      </c>
      <c r="H8" s="68" t="s">
        <v>1597</v>
      </c>
      <c r="I8" s="69" t="s">
        <v>1598</v>
      </c>
      <c r="J8" s="68"/>
      <c r="K8" s="46" t="str">
        <f t="shared" si="1"/>
        <v>F</v>
      </c>
      <c r="L8" s="71">
        <v>18545.0</v>
      </c>
      <c r="M8" s="68" t="s">
        <v>1599</v>
      </c>
      <c r="N8" s="71">
        <v>43782.0</v>
      </c>
      <c r="O8" s="71">
        <v>47435.0</v>
      </c>
      <c r="P8" s="69"/>
      <c r="Q8" s="43" t="s">
        <v>1586</v>
      </c>
      <c r="R8" s="388">
        <v>45882.0</v>
      </c>
      <c r="S8" s="393" t="s">
        <v>228</v>
      </c>
      <c r="T8" s="282">
        <v>345.0</v>
      </c>
      <c r="U8" s="39"/>
      <c r="V8" s="57">
        <v>1.039815351E9</v>
      </c>
      <c r="W8" s="56"/>
      <c r="X8" s="392"/>
    </row>
    <row r="9">
      <c r="A9" s="60">
        <v>5.0</v>
      </c>
      <c r="B9" s="84"/>
      <c r="C9" s="84"/>
      <c r="D9" s="69"/>
      <c r="E9" s="69"/>
      <c r="F9" s="84"/>
      <c r="G9" s="68"/>
      <c r="H9" s="68"/>
      <c r="I9" s="69"/>
      <c r="J9" s="68"/>
      <c r="K9" s="46" t="str">
        <f t="shared" si="1"/>
        <v>F</v>
      </c>
      <c r="L9" s="71"/>
      <c r="M9" s="68"/>
      <c r="N9" s="71"/>
      <c r="O9" s="71"/>
      <c r="P9" s="69"/>
      <c r="Q9" s="69"/>
      <c r="R9" s="394"/>
      <c r="S9" s="395"/>
      <c r="T9" s="283"/>
      <c r="U9" s="42"/>
      <c r="V9" s="57"/>
      <c r="W9" s="196"/>
      <c r="X9" s="392"/>
    </row>
    <row r="10">
      <c r="A10" s="60">
        <v>6.0</v>
      </c>
      <c r="B10" s="39"/>
      <c r="C10" s="39"/>
      <c r="D10" s="69"/>
      <c r="E10" s="69"/>
      <c r="F10" s="39"/>
      <c r="G10" s="68"/>
      <c r="H10" s="68"/>
      <c r="I10" s="69"/>
      <c r="J10" s="68"/>
      <c r="K10" s="46" t="str">
        <f t="shared" si="1"/>
        <v>F</v>
      </c>
      <c r="L10" s="71"/>
      <c r="M10" s="69"/>
      <c r="N10" s="71"/>
      <c r="O10" s="71"/>
      <c r="P10" s="69"/>
      <c r="Q10" s="69"/>
      <c r="R10" s="56"/>
      <c r="S10" s="39"/>
      <c r="T10" s="283"/>
      <c r="U10" s="39"/>
      <c r="V10" s="57"/>
      <c r="W10" s="196"/>
      <c r="X10" s="392"/>
    </row>
    <row r="11">
      <c r="A11" s="60">
        <v>7.0</v>
      </c>
      <c r="B11" s="84"/>
      <c r="C11" s="84"/>
      <c r="D11" s="69"/>
      <c r="E11" s="69"/>
      <c r="F11" s="84"/>
      <c r="G11" s="68"/>
      <c r="H11" s="68"/>
      <c r="I11" s="69"/>
      <c r="J11" s="68"/>
      <c r="K11" s="46" t="str">
        <f t="shared" si="1"/>
        <v>F</v>
      </c>
      <c r="L11" s="71"/>
      <c r="M11" s="68"/>
      <c r="N11" s="71"/>
      <c r="O11" s="71"/>
      <c r="P11" s="69"/>
      <c r="Q11" s="69"/>
      <c r="R11" s="291"/>
      <c r="S11" s="395"/>
      <c r="T11" s="283"/>
      <c r="U11" s="42"/>
      <c r="V11" s="48"/>
      <c r="W11" s="186"/>
      <c r="X11" s="392"/>
    </row>
    <row r="12">
      <c r="A12" s="60">
        <v>8.0</v>
      </c>
      <c r="B12" s="39"/>
      <c r="C12" s="39"/>
      <c r="D12" s="69"/>
      <c r="E12" s="69"/>
      <c r="F12" s="39"/>
      <c r="G12" s="68"/>
      <c r="H12" s="68"/>
      <c r="I12" s="69"/>
      <c r="J12" s="68"/>
      <c r="K12" s="46" t="str">
        <f t="shared" si="1"/>
        <v>F</v>
      </c>
      <c r="L12" s="71"/>
      <c r="M12" s="68"/>
      <c r="N12" s="71"/>
      <c r="O12" s="71"/>
      <c r="P12" s="69"/>
      <c r="Q12" s="69"/>
      <c r="R12" s="291"/>
      <c r="S12" s="39"/>
      <c r="T12" s="283"/>
      <c r="U12" s="39"/>
      <c r="V12" s="48"/>
      <c r="W12" s="186"/>
      <c r="X12" s="392"/>
    </row>
    <row r="13">
      <c r="A13" s="60">
        <v>9.0</v>
      </c>
      <c r="B13" s="84"/>
      <c r="C13" s="84"/>
      <c r="D13" s="69"/>
      <c r="E13" s="69"/>
      <c r="F13" s="84"/>
      <c r="G13" s="68"/>
      <c r="H13" s="68"/>
      <c r="I13" s="69"/>
      <c r="J13" s="68"/>
      <c r="K13" s="46" t="str">
        <f t="shared" si="1"/>
        <v>F</v>
      </c>
      <c r="L13" s="71"/>
      <c r="M13" s="68"/>
      <c r="N13" s="71"/>
      <c r="O13" s="71"/>
      <c r="P13" s="69"/>
      <c r="Q13" s="69"/>
      <c r="R13" s="291"/>
      <c r="S13" s="292"/>
      <c r="T13" s="283"/>
      <c r="U13" s="84"/>
      <c r="V13" s="57"/>
      <c r="W13" s="196"/>
      <c r="X13" s="392"/>
    </row>
    <row r="14">
      <c r="A14" s="60">
        <v>10.0</v>
      </c>
      <c r="B14" s="39"/>
      <c r="C14" s="39"/>
      <c r="D14" s="69"/>
      <c r="E14" s="69"/>
      <c r="F14" s="39"/>
      <c r="G14" s="68"/>
      <c r="H14" s="68"/>
      <c r="I14" s="69"/>
      <c r="J14" s="68"/>
      <c r="K14" s="46" t="str">
        <f t="shared" si="1"/>
        <v>F</v>
      </c>
      <c r="L14" s="71"/>
      <c r="M14" s="68"/>
      <c r="N14" s="71"/>
      <c r="O14" s="71"/>
      <c r="P14" s="69"/>
      <c r="Q14" s="69"/>
      <c r="R14" s="291"/>
      <c r="S14" s="292"/>
      <c r="T14" s="283"/>
      <c r="U14" s="39"/>
      <c r="V14" s="57"/>
      <c r="W14" s="196"/>
      <c r="X14" s="392"/>
    </row>
    <row r="15">
      <c r="A15" s="60">
        <v>11.0</v>
      </c>
      <c r="B15" s="84"/>
      <c r="C15" s="84"/>
      <c r="D15" s="69"/>
      <c r="E15" s="69"/>
      <c r="F15" s="84"/>
      <c r="G15" s="68"/>
      <c r="H15" s="68"/>
      <c r="I15" s="69"/>
      <c r="J15" s="68"/>
      <c r="K15" s="46" t="str">
        <f t="shared" si="1"/>
        <v>F</v>
      </c>
      <c r="L15" s="71"/>
      <c r="M15" s="68"/>
      <c r="N15" s="71"/>
      <c r="O15" s="71"/>
      <c r="P15" s="69"/>
      <c r="Q15" s="69"/>
      <c r="R15" s="291"/>
      <c r="S15" s="292"/>
      <c r="T15" s="283"/>
      <c r="U15" s="84"/>
      <c r="V15" s="57"/>
      <c r="W15" s="196"/>
      <c r="X15" s="392"/>
    </row>
    <row r="16">
      <c r="A16" s="60">
        <v>12.0</v>
      </c>
      <c r="B16" s="39"/>
      <c r="C16" s="39"/>
      <c r="D16" s="69"/>
      <c r="E16" s="69"/>
      <c r="F16" s="39"/>
      <c r="G16" s="68"/>
      <c r="H16" s="68"/>
      <c r="I16" s="69"/>
      <c r="J16" s="68"/>
      <c r="K16" s="46" t="str">
        <f t="shared" si="1"/>
        <v>F</v>
      </c>
      <c r="L16" s="71"/>
      <c r="M16" s="68"/>
      <c r="N16" s="71"/>
      <c r="O16" s="71"/>
      <c r="P16" s="69"/>
      <c r="Q16" s="69"/>
      <c r="R16" s="291"/>
      <c r="S16" s="292"/>
      <c r="T16" s="283"/>
      <c r="U16" s="39"/>
      <c r="V16" s="57"/>
      <c r="W16" s="196"/>
      <c r="X16" s="392"/>
    </row>
    <row r="17">
      <c r="A17" s="60">
        <v>13.0</v>
      </c>
      <c r="B17" s="84"/>
      <c r="C17" s="84"/>
      <c r="D17" s="69"/>
      <c r="E17" s="69"/>
      <c r="F17" s="84"/>
      <c r="G17" s="68"/>
      <c r="H17" s="68"/>
      <c r="I17" s="69"/>
      <c r="J17" s="68"/>
      <c r="K17" s="46" t="str">
        <f t="shared" si="1"/>
        <v>F</v>
      </c>
      <c r="L17" s="71"/>
      <c r="M17" s="68"/>
      <c r="N17" s="71"/>
      <c r="O17" s="71"/>
      <c r="P17" s="69"/>
      <c r="Q17" s="69"/>
      <c r="R17" s="291"/>
      <c r="S17" s="292"/>
      <c r="T17" s="283"/>
      <c r="U17" s="84"/>
      <c r="V17" s="57"/>
      <c r="W17" s="196"/>
      <c r="X17" s="392"/>
    </row>
    <row r="18">
      <c r="A18" s="60">
        <v>14.0</v>
      </c>
      <c r="B18" s="39"/>
      <c r="C18" s="39"/>
      <c r="D18" s="69"/>
      <c r="E18" s="69"/>
      <c r="F18" s="39"/>
      <c r="G18" s="68"/>
      <c r="H18" s="68"/>
      <c r="I18" s="69"/>
      <c r="J18" s="68"/>
      <c r="K18" s="46" t="str">
        <f t="shared" si="1"/>
        <v>F</v>
      </c>
      <c r="L18" s="71"/>
      <c r="M18" s="68"/>
      <c r="N18" s="71"/>
      <c r="O18" s="71"/>
      <c r="P18" s="69"/>
      <c r="Q18" s="69"/>
      <c r="R18" s="291"/>
      <c r="S18" s="292"/>
      <c r="T18" s="283"/>
      <c r="U18" s="39"/>
      <c r="V18" s="57"/>
      <c r="W18" s="196"/>
      <c r="X18" s="392"/>
    </row>
    <row r="19">
      <c r="A19" s="60">
        <v>15.0</v>
      </c>
      <c r="B19" s="84"/>
      <c r="C19" s="84"/>
      <c r="D19" s="69"/>
      <c r="E19" s="69"/>
      <c r="F19" s="84"/>
      <c r="G19" s="68"/>
      <c r="H19" s="68"/>
      <c r="I19" s="69"/>
      <c r="J19" s="68"/>
      <c r="K19" s="46" t="str">
        <f t="shared" si="1"/>
        <v>F</v>
      </c>
      <c r="L19" s="71"/>
      <c r="M19" s="68"/>
      <c r="N19" s="71"/>
      <c r="O19" s="71"/>
      <c r="P19" s="69"/>
      <c r="Q19" s="69"/>
      <c r="R19" s="291"/>
      <c r="S19" s="292"/>
      <c r="T19" s="283"/>
      <c r="U19" s="84"/>
      <c r="V19" s="57"/>
      <c r="W19" s="196"/>
      <c r="X19" s="392"/>
    </row>
    <row r="20">
      <c r="A20" s="60">
        <v>16.0</v>
      </c>
      <c r="B20" s="39"/>
      <c r="C20" s="39"/>
      <c r="D20" s="69"/>
      <c r="E20" s="69"/>
      <c r="F20" s="39"/>
      <c r="G20" s="68"/>
      <c r="H20" s="68"/>
      <c r="I20" s="69"/>
      <c r="J20" s="68"/>
      <c r="K20" s="46" t="str">
        <f t="shared" si="1"/>
        <v>F</v>
      </c>
      <c r="L20" s="71"/>
      <c r="M20" s="68"/>
      <c r="N20" s="71"/>
      <c r="O20" s="71"/>
      <c r="P20" s="69"/>
      <c r="Q20" s="69"/>
      <c r="R20" s="291"/>
      <c r="S20" s="292"/>
      <c r="T20" s="283"/>
      <c r="U20" s="39"/>
      <c r="V20" s="57"/>
      <c r="W20" s="196"/>
      <c r="X20" s="392"/>
    </row>
    <row r="21">
      <c r="A21" s="60">
        <v>17.0</v>
      </c>
      <c r="B21" s="84"/>
      <c r="C21" s="84"/>
      <c r="D21" s="69"/>
      <c r="E21" s="69"/>
      <c r="F21" s="84"/>
      <c r="G21" s="68"/>
      <c r="H21" s="68"/>
      <c r="I21" s="69"/>
      <c r="J21" s="68"/>
      <c r="K21" s="46" t="str">
        <f t="shared" si="1"/>
        <v>F</v>
      </c>
      <c r="L21" s="71"/>
      <c r="M21" s="68"/>
      <c r="N21" s="71"/>
      <c r="O21" s="71"/>
      <c r="P21" s="69"/>
      <c r="Q21" s="69"/>
      <c r="R21" s="291"/>
      <c r="S21" s="292"/>
      <c r="T21" s="283"/>
      <c r="U21" s="84"/>
      <c r="V21" s="57"/>
      <c r="W21" s="196"/>
      <c r="X21" s="392"/>
    </row>
    <row r="22">
      <c r="A22" s="60">
        <v>18.0</v>
      </c>
      <c r="B22" s="39"/>
      <c r="C22" s="39"/>
      <c r="D22" s="69"/>
      <c r="E22" s="69"/>
      <c r="F22" s="39"/>
      <c r="G22" s="68"/>
      <c r="H22" s="68"/>
      <c r="I22" s="69"/>
      <c r="J22" s="68"/>
      <c r="K22" s="46" t="str">
        <f t="shared" si="1"/>
        <v>F</v>
      </c>
      <c r="L22" s="71"/>
      <c r="M22" s="68"/>
      <c r="N22" s="71"/>
      <c r="O22" s="71"/>
      <c r="P22" s="69"/>
      <c r="Q22" s="69"/>
      <c r="R22" s="291"/>
      <c r="S22" s="292"/>
      <c r="T22" s="283"/>
      <c r="U22" s="39"/>
      <c r="V22" s="57"/>
      <c r="W22" s="196"/>
      <c r="X22" s="392"/>
    </row>
    <row r="23">
      <c r="A23" s="60">
        <v>19.0</v>
      </c>
      <c r="B23" s="84"/>
      <c r="C23" s="84"/>
      <c r="D23" s="69"/>
      <c r="E23" s="69"/>
      <c r="F23" s="84"/>
      <c r="G23" s="68"/>
      <c r="H23" s="68"/>
      <c r="I23" s="69"/>
      <c r="J23" s="68"/>
      <c r="K23" s="46" t="str">
        <f t="shared" si="1"/>
        <v>F</v>
      </c>
      <c r="L23" s="71"/>
      <c r="M23" s="68"/>
      <c r="N23" s="130"/>
      <c r="O23" s="130"/>
      <c r="P23" s="68"/>
      <c r="Q23" s="69"/>
      <c r="R23" s="291"/>
      <c r="S23" s="292"/>
      <c r="T23" s="283"/>
      <c r="U23" s="84"/>
      <c r="V23" s="57"/>
      <c r="W23" s="196"/>
      <c r="X23" s="392"/>
    </row>
    <row r="24">
      <c r="A24" s="60">
        <v>20.0</v>
      </c>
      <c r="B24" s="39"/>
      <c r="C24" s="39"/>
      <c r="D24" s="69"/>
      <c r="E24" s="69"/>
      <c r="F24" s="39"/>
      <c r="G24" s="69"/>
      <c r="H24" s="69"/>
      <c r="I24" s="69"/>
      <c r="J24" s="68"/>
      <c r="K24" s="46" t="str">
        <f t="shared" si="1"/>
        <v>F</v>
      </c>
      <c r="L24" s="71"/>
      <c r="M24" s="68"/>
      <c r="N24" s="71"/>
      <c r="O24" s="71"/>
      <c r="P24" s="69"/>
      <c r="Q24" s="69"/>
      <c r="R24" s="291"/>
      <c r="S24" s="292"/>
      <c r="T24" s="283"/>
      <c r="U24" s="39"/>
      <c r="V24" s="57"/>
      <c r="W24" s="196"/>
      <c r="X24" s="392"/>
    </row>
    <row r="25">
      <c r="A25" s="60">
        <v>21.0</v>
      </c>
      <c r="B25" s="84"/>
      <c r="C25" s="84"/>
      <c r="D25" s="69"/>
      <c r="E25" s="69"/>
      <c r="F25" s="84"/>
      <c r="G25" s="69"/>
      <c r="H25" s="69"/>
      <c r="I25" s="69"/>
      <c r="J25" s="69"/>
      <c r="K25" s="46" t="str">
        <f t="shared" si="1"/>
        <v>F</v>
      </c>
      <c r="L25" s="71"/>
      <c r="M25" s="69"/>
      <c r="N25" s="71"/>
      <c r="O25" s="71"/>
      <c r="P25" s="69"/>
      <c r="Q25" s="69"/>
      <c r="R25" s="291"/>
      <c r="S25" s="292"/>
      <c r="T25" s="283"/>
      <c r="U25" s="84"/>
      <c r="V25" s="57"/>
      <c r="W25" s="196"/>
      <c r="X25" s="392"/>
    </row>
    <row r="26">
      <c r="A26" s="60">
        <v>22.0</v>
      </c>
      <c r="B26" s="39"/>
      <c r="C26" s="39"/>
      <c r="D26" s="69"/>
      <c r="E26" s="69"/>
      <c r="F26" s="39"/>
      <c r="G26" s="69"/>
      <c r="H26" s="69"/>
      <c r="I26" s="69"/>
      <c r="J26" s="69"/>
      <c r="K26" s="46" t="str">
        <f t="shared" si="1"/>
        <v>F</v>
      </c>
      <c r="L26" s="71"/>
      <c r="M26" s="69"/>
      <c r="N26" s="71"/>
      <c r="O26" s="71"/>
      <c r="P26" s="69"/>
      <c r="Q26" s="69"/>
      <c r="R26" s="291"/>
      <c r="S26" s="292"/>
      <c r="T26" s="283"/>
      <c r="U26" s="39"/>
      <c r="V26" s="57"/>
      <c r="W26" s="196"/>
      <c r="X26" s="392"/>
    </row>
    <row r="27">
      <c r="A27" s="60">
        <v>23.0</v>
      </c>
      <c r="B27" s="84"/>
      <c r="C27" s="84"/>
      <c r="D27" s="69"/>
      <c r="E27" s="69"/>
      <c r="F27" s="84"/>
      <c r="G27" s="69"/>
      <c r="H27" s="69"/>
      <c r="I27" s="69"/>
      <c r="J27" s="68"/>
      <c r="K27" s="46" t="str">
        <f t="shared" si="1"/>
        <v>F</v>
      </c>
      <c r="L27" s="71"/>
      <c r="M27" s="68"/>
      <c r="N27" s="71"/>
      <c r="O27" s="71"/>
      <c r="P27" s="69"/>
      <c r="Q27" s="69"/>
      <c r="R27" s="291"/>
      <c r="S27" s="292"/>
      <c r="T27" s="283"/>
      <c r="U27" s="84"/>
      <c r="V27" s="57"/>
      <c r="W27" s="196"/>
      <c r="X27" s="392"/>
    </row>
    <row r="28">
      <c r="A28" s="60">
        <v>24.0</v>
      </c>
      <c r="B28" s="39"/>
      <c r="C28" s="39"/>
      <c r="D28" s="69"/>
      <c r="E28" s="69"/>
      <c r="F28" s="39"/>
      <c r="G28" s="69"/>
      <c r="H28" s="69"/>
      <c r="I28" s="69"/>
      <c r="J28" s="68"/>
      <c r="K28" s="46" t="str">
        <f t="shared" si="1"/>
        <v>F</v>
      </c>
      <c r="L28" s="71"/>
      <c r="M28" s="68"/>
      <c r="N28" s="71"/>
      <c r="O28" s="71"/>
      <c r="P28" s="69"/>
      <c r="Q28" s="69"/>
      <c r="R28" s="291"/>
      <c r="S28" s="292"/>
      <c r="T28" s="283"/>
      <c r="U28" s="39"/>
      <c r="V28" s="57"/>
      <c r="W28" s="196"/>
      <c r="X28" s="392"/>
    </row>
    <row r="29">
      <c r="A29" s="60">
        <v>25.0</v>
      </c>
      <c r="B29" s="84"/>
      <c r="C29" s="84"/>
      <c r="D29" s="69"/>
      <c r="E29" s="69"/>
      <c r="F29" s="84"/>
      <c r="G29" s="68"/>
      <c r="H29" s="68"/>
      <c r="I29" s="69"/>
      <c r="J29" s="68"/>
      <c r="K29" s="46" t="str">
        <f t="shared" si="1"/>
        <v>F</v>
      </c>
      <c r="L29" s="71"/>
      <c r="M29" s="68"/>
      <c r="N29" s="71"/>
      <c r="O29" s="71"/>
      <c r="P29" s="69"/>
      <c r="Q29" s="69"/>
      <c r="R29" s="291"/>
      <c r="S29" s="292"/>
      <c r="T29" s="283"/>
      <c r="U29" s="84"/>
      <c r="V29" s="57"/>
      <c r="W29" s="196"/>
      <c r="X29" s="392"/>
    </row>
    <row r="30">
      <c r="A30" s="60">
        <v>26.0</v>
      </c>
      <c r="B30" s="39"/>
      <c r="C30" s="39"/>
      <c r="D30" s="69"/>
      <c r="E30" s="69"/>
      <c r="F30" s="39"/>
      <c r="G30" s="68"/>
      <c r="H30" s="68"/>
      <c r="I30" s="69"/>
      <c r="J30" s="68"/>
      <c r="K30" s="46" t="str">
        <f t="shared" si="1"/>
        <v>F</v>
      </c>
      <c r="L30" s="71"/>
      <c r="M30" s="68"/>
      <c r="N30" s="71"/>
      <c r="O30" s="71"/>
      <c r="P30" s="69"/>
      <c r="Q30" s="69"/>
      <c r="R30" s="291"/>
      <c r="S30" s="292"/>
      <c r="T30" s="283"/>
      <c r="U30" s="39"/>
      <c r="V30" s="57"/>
      <c r="W30" s="196"/>
      <c r="X30" s="392"/>
    </row>
    <row r="31">
      <c r="A31" s="60">
        <v>27.0</v>
      </c>
      <c r="B31" s="84"/>
      <c r="C31" s="84"/>
      <c r="D31" s="69"/>
      <c r="E31" s="69"/>
      <c r="F31" s="84"/>
      <c r="G31" s="68"/>
      <c r="H31" s="68"/>
      <c r="I31" s="69"/>
      <c r="J31" s="68"/>
      <c r="K31" s="46" t="str">
        <f t="shared" si="1"/>
        <v>F</v>
      </c>
      <c r="L31" s="71"/>
      <c r="M31" s="68"/>
      <c r="N31" s="71"/>
      <c r="O31" s="71"/>
      <c r="P31" s="69"/>
      <c r="Q31" s="69"/>
      <c r="R31" s="291"/>
      <c r="S31" s="292"/>
      <c r="T31" s="283"/>
      <c r="U31" s="84"/>
      <c r="V31" s="57"/>
      <c r="W31" s="196"/>
      <c r="X31" s="392"/>
    </row>
    <row r="32">
      <c r="A32" s="60">
        <v>28.0</v>
      </c>
      <c r="B32" s="39"/>
      <c r="C32" s="39"/>
      <c r="D32" s="69"/>
      <c r="E32" s="69"/>
      <c r="F32" s="39"/>
      <c r="G32" s="68"/>
      <c r="H32" s="68"/>
      <c r="I32" s="69"/>
      <c r="J32" s="68"/>
      <c r="K32" s="46" t="str">
        <f t="shared" si="1"/>
        <v>F</v>
      </c>
      <c r="L32" s="71"/>
      <c r="M32" s="68"/>
      <c r="N32" s="71"/>
      <c r="O32" s="71"/>
      <c r="P32" s="69"/>
      <c r="Q32" s="69"/>
      <c r="R32" s="291"/>
      <c r="S32" s="292"/>
      <c r="T32" s="283"/>
      <c r="U32" s="39"/>
      <c r="V32" s="57"/>
      <c r="W32" s="196"/>
      <c r="X32" s="392"/>
    </row>
    <row r="33">
      <c r="A33" s="60">
        <v>29.0</v>
      </c>
      <c r="B33" s="84"/>
      <c r="C33" s="84"/>
      <c r="D33" s="69"/>
      <c r="E33" s="69"/>
      <c r="F33" s="84"/>
      <c r="G33" s="68"/>
      <c r="H33" s="68"/>
      <c r="I33" s="69"/>
      <c r="J33" s="68"/>
      <c r="K33" s="46" t="str">
        <f t="shared" si="1"/>
        <v>F</v>
      </c>
      <c r="L33" s="71"/>
      <c r="M33" s="68"/>
      <c r="N33" s="71"/>
      <c r="O33" s="71"/>
      <c r="P33" s="69"/>
      <c r="Q33" s="69"/>
      <c r="R33" s="291"/>
      <c r="S33" s="292"/>
      <c r="T33" s="283"/>
      <c r="U33" s="84"/>
      <c r="V33" s="57"/>
      <c r="W33" s="196"/>
      <c r="X33" s="392"/>
    </row>
    <row r="34">
      <c r="A34" s="60">
        <v>30.0</v>
      </c>
      <c r="B34" s="39"/>
      <c r="C34" s="39"/>
      <c r="D34" s="69"/>
      <c r="E34" s="69"/>
      <c r="F34" s="39"/>
      <c r="G34" s="68"/>
      <c r="H34" s="68"/>
      <c r="I34" s="69"/>
      <c r="J34" s="68"/>
      <c r="K34" s="46" t="str">
        <f t="shared" si="1"/>
        <v>F</v>
      </c>
      <c r="L34" s="71"/>
      <c r="M34" s="68"/>
      <c r="N34" s="71"/>
      <c r="O34" s="71"/>
      <c r="P34" s="69"/>
      <c r="Q34" s="69"/>
      <c r="R34" s="291"/>
      <c r="S34" s="292"/>
      <c r="T34" s="283"/>
      <c r="U34" s="39"/>
      <c r="V34" s="57"/>
      <c r="W34" s="196"/>
      <c r="X34" s="392"/>
    </row>
    <row r="35">
      <c r="A35" s="294">
        <v>31.0</v>
      </c>
      <c r="B35" s="293"/>
      <c r="C35" s="294" t="s">
        <v>290</v>
      </c>
      <c r="D35" s="124"/>
      <c r="E35" s="124"/>
      <c r="F35" s="124"/>
      <c r="G35" s="295"/>
      <c r="H35" s="295"/>
      <c r="I35" s="124"/>
      <c r="J35" s="295"/>
      <c r="K35" s="124"/>
      <c r="L35" s="296"/>
      <c r="M35" s="295"/>
      <c r="N35" s="297"/>
      <c r="O35" s="297"/>
      <c r="P35" s="295"/>
      <c r="Q35" s="293"/>
      <c r="R35" s="299"/>
      <c r="S35" s="300"/>
      <c r="T35" s="301"/>
      <c r="U35" s="302"/>
      <c r="V35" s="303"/>
      <c r="W35" s="304"/>
      <c r="X35" s="396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 t="s">
        <v>291</v>
      </c>
      <c r="K36" s="138"/>
      <c r="L36" s="139"/>
      <c r="M36" s="138"/>
      <c r="N36" s="139"/>
      <c r="O36" s="139"/>
      <c r="P36" s="138"/>
      <c r="Q36" s="138"/>
      <c r="R36" s="239"/>
      <c r="T36" s="240"/>
    </row>
    <row r="37">
      <c r="L37" s="239"/>
      <c r="N37" s="239"/>
      <c r="O37" s="239"/>
      <c r="R37" s="239"/>
      <c r="T37" s="240"/>
    </row>
    <row r="38">
      <c r="L38" s="239"/>
      <c r="N38" s="239"/>
      <c r="O38" s="239"/>
      <c r="R38" s="239"/>
      <c r="T38" s="240"/>
    </row>
    <row r="39">
      <c r="L39" s="239"/>
      <c r="N39" s="239"/>
      <c r="O39" s="239"/>
      <c r="R39" s="239"/>
      <c r="T39" s="240"/>
    </row>
    <row r="40">
      <c r="L40" s="239"/>
      <c r="N40" s="239"/>
      <c r="O40" s="239"/>
      <c r="R40" s="239"/>
      <c r="T40" s="240"/>
    </row>
    <row r="41">
      <c r="L41" s="239"/>
      <c r="N41" s="239"/>
      <c r="O41" s="239"/>
      <c r="R41" s="239"/>
      <c r="T41" s="240"/>
    </row>
    <row r="42">
      <c r="L42" s="239"/>
      <c r="N42" s="239"/>
      <c r="O42" s="239"/>
      <c r="R42" s="239"/>
      <c r="T42" s="240"/>
    </row>
    <row r="43">
      <c r="L43" s="239"/>
      <c r="N43" s="239"/>
      <c r="O43" s="239"/>
      <c r="R43" s="239"/>
      <c r="T43" s="240"/>
    </row>
    <row r="44">
      <c r="L44" s="239"/>
      <c r="N44" s="239"/>
      <c r="O44" s="239"/>
      <c r="R44" s="239"/>
      <c r="T44" s="240"/>
    </row>
    <row r="45">
      <c r="L45" s="239"/>
      <c r="N45" s="239"/>
      <c r="O45" s="239"/>
      <c r="R45" s="239"/>
      <c r="T45" s="240"/>
    </row>
    <row r="46">
      <c r="L46" s="239"/>
      <c r="N46" s="239"/>
      <c r="O46" s="239"/>
      <c r="R46" s="239"/>
      <c r="T46" s="240"/>
    </row>
    <row r="47">
      <c r="L47" s="239"/>
      <c r="N47" s="239"/>
      <c r="O47" s="239"/>
      <c r="R47" s="239"/>
      <c r="T47" s="240"/>
    </row>
    <row r="48">
      <c r="L48" s="239"/>
      <c r="N48" s="239"/>
      <c r="O48" s="239"/>
      <c r="R48" s="239"/>
      <c r="T48" s="240"/>
    </row>
    <row r="49">
      <c r="L49" s="239"/>
      <c r="N49" s="239"/>
      <c r="O49" s="239"/>
      <c r="R49" s="239"/>
      <c r="T49" s="240"/>
    </row>
    <row r="50">
      <c r="L50" s="239"/>
      <c r="N50" s="239"/>
      <c r="O50" s="239"/>
      <c r="R50" s="239"/>
      <c r="T50" s="240"/>
    </row>
    <row r="51">
      <c r="L51" s="239"/>
      <c r="N51" s="239"/>
      <c r="O51" s="239"/>
      <c r="R51" s="239"/>
      <c r="T51" s="240"/>
    </row>
    <row r="52">
      <c r="L52" s="239"/>
      <c r="N52" s="239"/>
      <c r="O52" s="239"/>
      <c r="R52" s="239"/>
      <c r="T52" s="240"/>
    </row>
    <row r="53">
      <c r="L53" s="239"/>
      <c r="N53" s="239"/>
      <c r="O53" s="239"/>
      <c r="R53" s="239"/>
      <c r="T53" s="240"/>
    </row>
    <row r="54">
      <c r="L54" s="239"/>
      <c r="N54" s="239"/>
      <c r="O54" s="239"/>
      <c r="R54" s="239"/>
      <c r="T54" s="240"/>
    </row>
    <row r="55">
      <c r="L55" s="239"/>
      <c r="N55" s="239"/>
      <c r="O55" s="239"/>
      <c r="R55" s="239"/>
      <c r="T55" s="240"/>
    </row>
    <row r="56">
      <c r="L56" s="239"/>
      <c r="N56" s="239"/>
      <c r="O56" s="239"/>
      <c r="R56" s="239"/>
      <c r="T56" s="240"/>
    </row>
    <row r="57">
      <c r="L57" s="239"/>
      <c r="N57" s="239"/>
      <c r="O57" s="239"/>
      <c r="R57" s="239"/>
      <c r="T57" s="240"/>
    </row>
    <row r="58">
      <c r="L58" s="239"/>
      <c r="N58" s="239"/>
      <c r="O58" s="239"/>
      <c r="R58" s="239"/>
      <c r="T58" s="240"/>
    </row>
    <row r="59">
      <c r="L59" s="239"/>
      <c r="N59" s="239"/>
      <c r="O59" s="239"/>
      <c r="R59" s="239"/>
      <c r="T59" s="240"/>
    </row>
    <row r="60">
      <c r="L60" s="239"/>
      <c r="N60" s="239"/>
      <c r="O60" s="239"/>
      <c r="R60" s="239"/>
      <c r="T60" s="240"/>
    </row>
    <row r="61">
      <c r="L61" s="239"/>
      <c r="N61" s="239"/>
      <c r="O61" s="239"/>
      <c r="R61" s="239"/>
      <c r="T61" s="240"/>
    </row>
    <row r="62">
      <c r="L62" s="239"/>
      <c r="N62" s="239"/>
      <c r="O62" s="239"/>
      <c r="R62" s="239"/>
      <c r="T62" s="240"/>
    </row>
    <row r="63">
      <c r="L63" s="239"/>
      <c r="N63" s="239"/>
      <c r="O63" s="239"/>
      <c r="R63" s="239"/>
      <c r="T63" s="240"/>
    </row>
    <row r="64">
      <c r="L64" s="239"/>
      <c r="N64" s="239"/>
      <c r="O64" s="239"/>
      <c r="R64" s="239"/>
      <c r="T64" s="240"/>
    </row>
    <row r="65">
      <c r="L65" s="239"/>
      <c r="N65" s="239"/>
      <c r="O65" s="239"/>
      <c r="R65" s="239"/>
      <c r="T65" s="240"/>
    </row>
    <row r="66">
      <c r="L66" s="239"/>
      <c r="N66" s="239"/>
      <c r="O66" s="239"/>
      <c r="R66" s="239"/>
      <c r="T66" s="240"/>
    </row>
    <row r="67">
      <c r="L67" s="239"/>
      <c r="N67" s="239"/>
      <c r="O67" s="239"/>
      <c r="R67" s="239"/>
      <c r="T67" s="240"/>
    </row>
    <row r="68">
      <c r="L68" s="239"/>
      <c r="N68" s="239"/>
      <c r="O68" s="239"/>
      <c r="R68" s="239"/>
      <c r="T68" s="240"/>
    </row>
    <row r="69">
      <c r="L69" s="239"/>
      <c r="N69" s="239"/>
      <c r="O69" s="239"/>
      <c r="R69" s="239"/>
      <c r="T69" s="240"/>
    </row>
    <row r="70">
      <c r="L70" s="239"/>
      <c r="N70" s="239"/>
      <c r="O70" s="239"/>
      <c r="R70" s="239"/>
      <c r="T70" s="240"/>
    </row>
    <row r="71">
      <c r="L71" s="239"/>
      <c r="N71" s="239"/>
      <c r="O71" s="239"/>
      <c r="R71" s="239"/>
      <c r="T71" s="240"/>
    </row>
    <row r="72">
      <c r="L72" s="239"/>
      <c r="N72" s="239"/>
      <c r="O72" s="239"/>
      <c r="R72" s="239"/>
      <c r="T72" s="240"/>
    </row>
    <row r="73">
      <c r="L73" s="239"/>
      <c r="N73" s="239"/>
      <c r="O73" s="239"/>
      <c r="R73" s="239"/>
      <c r="T73" s="240"/>
    </row>
    <row r="74">
      <c r="L74" s="239"/>
      <c r="N74" s="239"/>
      <c r="O74" s="239"/>
      <c r="R74" s="239"/>
      <c r="T74" s="240"/>
    </row>
    <row r="75">
      <c r="L75" s="239"/>
      <c r="N75" s="239"/>
      <c r="O75" s="239"/>
      <c r="R75" s="239"/>
      <c r="T75" s="240"/>
    </row>
    <row r="76">
      <c r="L76" s="239"/>
      <c r="N76" s="239"/>
      <c r="O76" s="239"/>
      <c r="R76" s="239"/>
      <c r="T76" s="240"/>
    </row>
    <row r="77">
      <c r="L77" s="239"/>
      <c r="N77" s="239"/>
      <c r="O77" s="239"/>
      <c r="R77" s="239"/>
      <c r="T77" s="240"/>
    </row>
    <row r="78">
      <c r="L78" s="239"/>
      <c r="N78" s="239"/>
      <c r="O78" s="239"/>
      <c r="R78" s="239"/>
      <c r="T78" s="240"/>
    </row>
    <row r="79">
      <c r="L79" s="239"/>
      <c r="N79" s="239"/>
      <c r="O79" s="239"/>
      <c r="R79" s="239"/>
      <c r="T79" s="240"/>
    </row>
    <row r="80">
      <c r="L80" s="239"/>
      <c r="N80" s="239"/>
      <c r="O80" s="239"/>
      <c r="R80" s="239"/>
      <c r="T80" s="240"/>
    </row>
    <row r="81">
      <c r="L81" s="239"/>
      <c r="N81" s="239"/>
      <c r="O81" s="239"/>
      <c r="R81" s="239"/>
      <c r="T81" s="240"/>
    </row>
    <row r="82">
      <c r="L82" s="239"/>
      <c r="N82" s="239"/>
      <c r="O82" s="239"/>
      <c r="R82" s="239"/>
      <c r="T82" s="240"/>
    </row>
    <row r="83">
      <c r="L83" s="239"/>
      <c r="N83" s="239"/>
      <c r="O83" s="239"/>
      <c r="R83" s="239"/>
      <c r="T83" s="240"/>
    </row>
    <row r="84">
      <c r="L84" s="239"/>
      <c r="N84" s="239"/>
      <c r="O84" s="239"/>
      <c r="R84" s="239"/>
      <c r="T84" s="240"/>
    </row>
    <row r="85">
      <c r="L85" s="239"/>
      <c r="N85" s="239"/>
      <c r="O85" s="239"/>
      <c r="R85" s="239"/>
      <c r="T85" s="240"/>
    </row>
    <row r="86">
      <c r="L86" s="239"/>
      <c r="N86" s="239"/>
      <c r="O86" s="239"/>
      <c r="R86" s="239"/>
      <c r="T86" s="240"/>
    </row>
    <row r="87">
      <c r="L87" s="239"/>
      <c r="N87" s="239"/>
      <c r="O87" s="239"/>
      <c r="R87" s="239"/>
      <c r="T87" s="240"/>
    </row>
    <row r="88">
      <c r="L88" s="239"/>
      <c r="N88" s="239"/>
      <c r="O88" s="239"/>
      <c r="R88" s="239"/>
      <c r="T88" s="240"/>
    </row>
    <row r="89">
      <c r="L89" s="239"/>
      <c r="N89" s="239"/>
      <c r="O89" s="239"/>
      <c r="R89" s="239"/>
      <c r="T89" s="240"/>
    </row>
    <row r="90">
      <c r="L90" s="239"/>
      <c r="N90" s="239"/>
      <c r="O90" s="239"/>
      <c r="R90" s="239"/>
      <c r="T90" s="240"/>
    </row>
    <row r="91">
      <c r="L91" s="239"/>
      <c r="N91" s="239"/>
      <c r="O91" s="239"/>
      <c r="R91" s="239"/>
      <c r="T91" s="240"/>
    </row>
    <row r="92">
      <c r="L92" s="239"/>
      <c r="N92" s="239"/>
      <c r="O92" s="239"/>
      <c r="R92" s="239"/>
      <c r="T92" s="240"/>
    </row>
    <row r="93">
      <c r="L93" s="239"/>
      <c r="N93" s="239"/>
      <c r="O93" s="239"/>
      <c r="R93" s="239"/>
      <c r="T93" s="240"/>
    </row>
    <row r="94">
      <c r="L94" s="239"/>
      <c r="N94" s="239"/>
      <c r="O94" s="239"/>
      <c r="R94" s="239"/>
      <c r="T94" s="240"/>
    </row>
    <row r="95">
      <c r="L95" s="239"/>
      <c r="N95" s="239"/>
      <c r="O95" s="239"/>
      <c r="R95" s="239"/>
      <c r="T95" s="240"/>
    </row>
    <row r="96">
      <c r="L96" s="239"/>
      <c r="N96" s="239"/>
      <c r="O96" s="239"/>
      <c r="R96" s="239"/>
      <c r="T96" s="240"/>
    </row>
    <row r="97">
      <c r="L97" s="239"/>
      <c r="N97" s="239"/>
      <c r="O97" s="239"/>
      <c r="R97" s="239"/>
      <c r="T97" s="240"/>
    </row>
    <row r="98">
      <c r="L98" s="239"/>
      <c r="N98" s="239"/>
      <c r="O98" s="239"/>
      <c r="R98" s="239"/>
      <c r="T98" s="240"/>
    </row>
    <row r="99">
      <c r="L99" s="239"/>
      <c r="N99" s="239"/>
      <c r="O99" s="239"/>
      <c r="R99" s="239"/>
      <c r="T99" s="240"/>
    </row>
    <row r="100">
      <c r="L100" s="239"/>
      <c r="N100" s="239"/>
      <c r="O100" s="239"/>
      <c r="R100" s="239"/>
      <c r="T100" s="240"/>
    </row>
    <row r="101">
      <c r="L101" s="239"/>
      <c r="N101" s="239"/>
      <c r="O101" s="239"/>
      <c r="R101" s="239"/>
      <c r="T101" s="240"/>
    </row>
    <row r="102">
      <c r="L102" s="239"/>
      <c r="N102" s="239"/>
      <c r="O102" s="239"/>
      <c r="R102" s="239"/>
      <c r="T102" s="240"/>
    </row>
    <row r="103">
      <c r="L103" s="239"/>
      <c r="N103" s="239"/>
      <c r="O103" s="239"/>
      <c r="R103" s="239"/>
      <c r="T103" s="240"/>
    </row>
    <row r="104">
      <c r="L104" s="239"/>
      <c r="N104" s="239"/>
      <c r="O104" s="239"/>
      <c r="R104" s="239"/>
      <c r="T104" s="240"/>
    </row>
    <row r="105">
      <c r="L105" s="239"/>
      <c r="N105" s="239"/>
      <c r="O105" s="239"/>
      <c r="R105" s="239"/>
      <c r="T105" s="240"/>
    </row>
    <row r="106">
      <c r="L106" s="239"/>
      <c r="N106" s="239"/>
      <c r="O106" s="239"/>
      <c r="R106" s="239"/>
      <c r="T106" s="240"/>
    </row>
    <row r="107">
      <c r="L107" s="239"/>
      <c r="N107" s="239"/>
      <c r="O107" s="239"/>
      <c r="R107" s="239"/>
      <c r="T107" s="240"/>
    </row>
    <row r="108">
      <c r="L108" s="239"/>
      <c r="N108" s="239"/>
      <c r="O108" s="239"/>
      <c r="R108" s="239"/>
      <c r="T108" s="240"/>
    </row>
    <row r="109">
      <c r="L109" s="239"/>
      <c r="N109" s="239"/>
      <c r="O109" s="239"/>
      <c r="R109" s="239"/>
      <c r="T109" s="240"/>
    </row>
    <row r="110">
      <c r="L110" s="239"/>
      <c r="N110" s="239"/>
      <c r="O110" s="239"/>
      <c r="R110" s="239"/>
      <c r="T110" s="240"/>
    </row>
    <row r="111">
      <c r="L111" s="239"/>
      <c r="N111" s="239"/>
      <c r="O111" s="239"/>
      <c r="R111" s="239"/>
      <c r="T111" s="240"/>
    </row>
    <row r="112">
      <c r="L112" s="239"/>
      <c r="N112" s="239"/>
      <c r="O112" s="239"/>
      <c r="R112" s="239"/>
      <c r="T112" s="240"/>
    </row>
    <row r="113">
      <c r="L113" s="239"/>
      <c r="N113" s="239"/>
      <c r="O113" s="239"/>
      <c r="R113" s="239"/>
      <c r="T113" s="240"/>
    </row>
    <row r="114">
      <c r="L114" s="239"/>
      <c r="N114" s="239"/>
      <c r="O114" s="239"/>
      <c r="R114" s="239"/>
      <c r="T114" s="240"/>
    </row>
    <row r="115">
      <c r="L115" s="239"/>
      <c r="N115" s="239"/>
      <c r="O115" s="239"/>
      <c r="R115" s="239"/>
      <c r="T115" s="240"/>
    </row>
    <row r="116">
      <c r="L116" s="239"/>
      <c r="N116" s="239"/>
      <c r="O116" s="239"/>
      <c r="R116" s="239"/>
      <c r="T116" s="240"/>
    </row>
    <row r="117">
      <c r="L117" s="239"/>
      <c r="N117" s="239"/>
      <c r="O117" s="239"/>
      <c r="R117" s="239"/>
      <c r="T117" s="240"/>
    </row>
    <row r="118">
      <c r="L118" s="239"/>
      <c r="N118" s="239"/>
      <c r="O118" s="239"/>
      <c r="R118" s="239"/>
      <c r="T118" s="240"/>
    </row>
    <row r="119">
      <c r="L119" s="239"/>
      <c r="N119" s="239"/>
      <c r="O119" s="239"/>
      <c r="R119" s="239"/>
      <c r="T119" s="240"/>
    </row>
    <row r="120">
      <c r="L120" s="239"/>
      <c r="N120" s="239"/>
      <c r="O120" s="239"/>
      <c r="R120" s="239"/>
      <c r="T120" s="240"/>
    </row>
    <row r="121">
      <c r="L121" s="239"/>
      <c r="N121" s="239"/>
      <c r="O121" s="239"/>
      <c r="R121" s="239"/>
      <c r="T121" s="240"/>
    </row>
    <row r="122">
      <c r="L122" s="239"/>
      <c r="N122" s="239"/>
      <c r="O122" s="239"/>
      <c r="R122" s="239"/>
      <c r="T122" s="240"/>
    </row>
    <row r="123">
      <c r="L123" s="239"/>
      <c r="N123" s="239"/>
      <c r="O123" s="239"/>
      <c r="R123" s="239"/>
      <c r="T123" s="240"/>
    </row>
    <row r="124">
      <c r="L124" s="239"/>
      <c r="N124" s="239"/>
      <c r="O124" s="239"/>
      <c r="R124" s="239"/>
      <c r="T124" s="240"/>
    </row>
    <row r="125">
      <c r="L125" s="239"/>
      <c r="N125" s="239"/>
      <c r="O125" s="239"/>
      <c r="R125" s="239"/>
      <c r="T125" s="240"/>
    </row>
    <row r="126">
      <c r="L126" s="239"/>
      <c r="N126" s="239"/>
      <c r="O126" s="239"/>
      <c r="R126" s="239"/>
      <c r="T126" s="240"/>
    </row>
    <row r="127">
      <c r="L127" s="239"/>
      <c r="N127" s="239"/>
      <c r="O127" s="239"/>
      <c r="R127" s="239"/>
      <c r="T127" s="240"/>
    </row>
    <row r="128">
      <c r="L128" s="239"/>
      <c r="N128" s="239"/>
      <c r="O128" s="239"/>
      <c r="R128" s="239"/>
      <c r="T128" s="240"/>
    </row>
    <row r="129">
      <c r="L129" s="239"/>
      <c r="N129" s="239"/>
      <c r="O129" s="239"/>
      <c r="R129" s="239"/>
      <c r="T129" s="240"/>
    </row>
    <row r="130">
      <c r="L130" s="239"/>
      <c r="N130" s="239"/>
      <c r="O130" s="239"/>
      <c r="R130" s="239"/>
      <c r="T130" s="240"/>
    </row>
    <row r="131">
      <c r="L131" s="239"/>
      <c r="N131" s="239"/>
      <c r="O131" s="239"/>
      <c r="R131" s="239"/>
      <c r="T131" s="240"/>
    </row>
    <row r="132">
      <c r="L132" s="239"/>
      <c r="N132" s="239"/>
      <c r="O132" s="239"/>
      <c r="R132" s="239"/>
      <c r="T132" s="240"/>
    </row>
    <row r="133">
      <c r="L133" s="239"/>
      <c r="N133" s="239"/>
      <c r="O133" s="239"/>
      <c r="R133" s="239"/>
      <c r="T133" s="240"/>
    </row>
    <row r="134">
      <c r="L134" s="239"/>
      <c r="N134" s="239"/>
      <c r="O134" s="239"/>
      <c r="R134" s="239"/>
      <c r="T134" s="240"/>
    </row>
    <row r="135">
      <c r="L135" s="239"/>
      <c r="N135" s="239"/>
      <c r="O135" s="239"/>
      <c r="R135" s="239"/>
      <c r="T135" s="240"/>
    </row>
    <row r="136">
      <c r="L136" s="239"/>
      <c r="N136" s="239"/>
      <c r="O136" s="239"/>
      <c r="R136" s="239"/>
      <c r="T136" s="240"/>
    </row>
    <row r="137">
      <c r="L137" s="239"/>
      <c r="N137" s="239"/>
      <c r="O137" s="239"/>
      <c r="R137" s="239"/>
      <c r="T137" s="240"/>
    </row>
    <row r="138">
      <c r="L138" s="239"/>
      <c r="N138" s="239"/>
      <c r="O138" s="239"/>
      <c r="R138" s="239"/>
      <c r="T138" s="240"/>
    </row>
    <row r="139">
      <c r="L139" s="239"/>
      <c r="N139" s="239"/>
      <c r="O139" s="239"/>
      <c r="R139" s="239"/>
      <c r="T139" s="240"/>
    </row>
    <row r="140">
      <c r="L140" s="239"/>
      <c r="N140" s="239"/>
      <c r="O140" s="239"/>
      <c r="R140" s="239"/>
      <c r="T140" s="240"/>
    </row>
    <row r="141">
      <c r="L141" s="239"/>
      <c r="N141" s="239"/>
      <c r="O141" s="239"/>
      <c r="R141" s="239"/>
      <c r="T141" s="240"/>
    </row>
    <row r="142">
      <c r="L142" s="239"/>
      <c r="N142" s="239"/>
      <c r="O142" s="239"/>
      <c r="R142" s="239"/>
      <c r="T142" s="240"/>
    </row>
    <row r="143">
      <c r="L143" s="239"/>
      <c r="N143" s="239"/>
      <c r="O143" s="239"/>
      <c r="R143" s="239"/>
      <c r="T143" s="240"/>
    </row>
    <row r="144">
      <c r="L144" s="239"/>
      <c r="N144" s="239"/>
      <c r="O144" s="239"/>
      <c r="R144" s="239"/>
      <c r="T144" s="240"/>
    </row>
    <row r="145">
      <c r="L145" s="239"/>
      <c r="N145" s="239"/>
      <c r="O145" s="239"/>
      <c r="R145" s="239"/>
      <c r="T145" s="240"/>
    </row>
    <row r="146">
      <c r="L146" s="239"/>
      <c r="N146" s="239"/>
      <c r="O146" s="239"/>
      <c r="R146" s="239"/>
      <c r="T146" s="240"/>
    </row>
    <row r="147">
      <c r="L147" s="239"/>
      <c r="N147" s="239"/>
      <c r="O147" s="239"/>
      <c r="R147" s="239"/>
      <c r="T147" s="240"/>
    </row>
    <row r="148">
      <c r="L148" s="239"/>
      <c r="N148" s="239"/>
      <c r="O148" s="239"/>
      <c r="R148" s="239"/>
      <c r="T148" s="240"/>
    </row>
    <row r="149">
      <c r="L149" s="239"/>
      <c r="N149" s="239"/>
      <c r="O149" s="239"/>
      <c r="R149" s="239"/>
      <c r="T149" s="240"/>
    </row>
    <row r="150">
      <c r="L150" s="239"/>
      <c r="N150" s="239"/>
      <c r="O150" s="239"/>
      <c r="R150" s="239"/>
      <c r="T150" s="240"/>
    </row>
    <row r="151">
      <c r="L151" s="239"/>
      <c r="N151" s="239"/>
      <c r="O151" s="239"/>
      <c r="R151" s="239"/>
      <c r="T151" s="240"/>
    </row>
    <row r="152">
      <c r="L152" s="239"/>
      <c r="N152" s="239"/>
      <c r="O152" s="239"/>
      <c r="R152" s="239"/>
      <c r="T152" s="240"/>
    </row>
    <row r="153">
      <c r="L153" s="239"/>
      <c r="N153" s="239"/>
      <c r="O153" s="239"/>
      <c r="R153" s="239"/>
      <c r="T153" s="240"/>
    </row>
    <row r="154">
      <c r="L154" s="239"/>
      <c r="N154" s="239"/>
      <c r="O154" s="239"/>
      <c r="R154" s="239"/>
      <c r="T154" s="240"/>
    </row>
    <row r="155">
      <c r="L155" s="239"/>
      <c r="N155" s="239"/>
      <c r="O155" s="239"/>
      <c r="R155" s="239"/>
      <c r="T155" s="240"/>
    </row>
    <row r="156">
      <c r="L156" s="239"/>
      <c r="N156" s="239"/>
      <c r="O156" s="239"/>
      <c r="R156" s="239"/>
      <c r="T156" s="240"/>
    </row>
    <row r="157">
      <c r="L157" s="239"/>
      <c r="N157" s="239"/>
      <c r="O157" s="239"/>
      <c r="R157" s="239"/>
      <c r="T157" s="240"/>
    </row>
    <row r="158">
      <c r="L158" s="239"/>
      <c r="N158" s="239"/>
      <c r="O158" s="239"/>
      <c r="R158" s="239"/>
      <c r="T158" s="240"/>
    </row>
    <row r="159">
      <c r="L159" s="239"/>
      <c r="N159" s="239"/>
      <c r="O159" s="239"/>
      <c r="R159" s="239"/>
      <c r="T159" s="240"/>
    </row>
    <row r="160">
      <c r="L160" s="239"/>
      <c r="N160" s="239"/>
      <c r="O160" s="239"/>
      <c r="R160" s="239"/>
      <c r="T160" s="240"/>
    </row>
    <row r="161">
      <c r="L161" s="239"/>
      <c r="N161" s="239"/>
      <c r="O161" s="239"/>
      <c r="R161" s="239"/>
      <c r="T161" s="240"/>
    </row>
    <row r="162">
      <c r="L162" s="239"/>
      <c r="N162" s="239"/>
      <c r="O162" s="239"/>
      <c r="R162" s="239"/>
      <c r="T162" s="240"/>
    </row>
    <row r="163">
      <c r="L163" s="239"/>
      <c r="N163" s="239"/>
      <c r="O163" s="239"/>
      <c r="R163" s="239"/>
      <c r="T163" s="240"/>
    </row>
    <row r="164">
      <c r="L164" s="239"/>
      <c r="N164" s="239"/>
      <c r="O164" s="239"/>
      <c r="R164" s="239"/>
      <c r="T164" s="240"/>
    </row>
    <row r="165">
      <c r="L165" s="239"/>
      <c r="N165" s="239"/>
      <c r="O165" s="239"/>
      <c r="R165" s="239"/>
      <c r="T165" s="240"/>
    </row>
    <row r="166">
      <c r="L166" s="239"/>
      <c r="N166" s="239"/>
      <c r="O166" s="239"/>
      <c r="R166" s="239"/>
      <c r="T166" s="240"/>
    </row>
    <row r="167">
      <c r="L167" s="239"/>
      <c r="N167" s="239"/>
      <c r="O167" s="239"/>
      <c r="R167" s="239"/>
      <c r="T167" s="240"/>
    </row>
    <row r="168">
      <c r="L168" s="239"/>
      <c r="N168" s="239"/>
      <c r="O168" s="239"/>
      <c r="R168" s="239"/>
      <c r="T168" s="240"/>
    </row>
    <row r="169">
      <c r="L169" s="239"/>
      <c r="N169" s="239"/>
      <c r="O169" s="239"/>
      <c r="R169" s="239"/>
      <c r="T169" s="240"/>
    </row>
    <row r="170">
      <c r="L170" s="239"/>
      <c r="N170" s="239"/>
      <c r="O170" s="239"/>
      <c r="R170" s="239"/>
      <c r="T170" s="240"/>
    </row>
    <row r="171">
      <c r="L171" s="239"/>
      <c r="N171" s="239"/>
      <c r="O171" s="239"/>
      <c r="R171" s="239"/>
      <c r="T171" s="240"/>
    </row>
    <row r="172">
      <c r="L172" s="239"/>
      <c r="N172" s="239"/>
      <c r="O172" s="239"/>
      <c r="R172" s="239"/>
      <c r="T172" s="240"/>
    </row>
    <row r="173">
      <c r="L173" s="239"/>
      <c r="N173" s="239"/>
      <c r="O173" s="239"/>
      <c r="R173" s="239"/>
      <c r="T173" s="240"/>
    </row>
    <row r="174">
      <c r="L174" s="239"/>
      <c r="N174" s="239"/>
      <c r="O174" s="239"/>
      <c r="R174" s="239"/>
      <c r="T174" s="240"/>
    </row>
    <row r="175">
      <c r="L175" s="239"/>
      <c r="N175" s="239"/>
      <c r="O175" s="239"/>
      <c r="R175" s="239"/>
      <c r="T175" s="240"/>
    </row>
    <row r="176">
      <c r="L176" s="239"/>
      <c r="N176" s="239"/>
      <c r="O176" s="239"/>
      <c r="R176" s="239"/>
      <c r="T176" s="240"/>
    </row>
    <row r="177">
      <c r="L177" s="239"/>
      <c r="N177" s="239"/>
      <c r="O177" s="239"/>
      <c r="R177" s="239"/>
      <c r="T177" s="240"/>
    </row>
    <row r="178">
      <c r="L178" s="239"/>
      <c r="N178" s="239"/>
      <c r="O178" s="239"/>
      <c r="R178" s="239"/>
      <c r="T178" s="240"/>
    </row>
    <row r="179">
      <c r="L179" s="239"/>
      <c r="N179" s="239"/>
      <c r="O179" s="239"/>
      <c r="R179" s="239"/>
      <c r="T179" s="240"/>
    </row>
    <row r="180">
      <c r="L180" s="239"/>
      <c r="N180" s="239"/>
      <c r="O180" s="239"/>
      <c r="R180" s="239"/>
      <c r="T180" s="240"/>
    </row>
    <row r="181">
      <c r="L181" s="239"/>
      <c r="N181" s="239"/>
      <c r="O181" s="239"/>
      <c r="R181" s="239"/>
      <c r="T181" s="240"/>
    </row>
    <row r="182">
      <c r="L182" s="239"/>
      <c r="N182" s="239"/>
      <c r="O182" s="239"/>
      <c r="R182" s="239"/>
      <c r="T182" s="240"/>
    </row>
    <row r="183">
      <c r="L183" s="239"/>
      <c r="N183" s="239"/>
      <c r="O183" s="239"/>
      <c r="R183" s="239"/>
      <c r="T183" s="240"/>
    </row>
    <row r="184">
      <c r="L184" s="239"/>
      <c r="N184" s="239"/>
      <c r="O184" s="239"/>
      <c r="R184" s="239"/>
      <c r="T184" s="240"/>
    </row>
    <row r="185">
      <c r="L185" s="239"/>
      <c r="N185" s="239"/>
      <c r="O185" s="239"/>
      <c r="R185" s="239"/>
      <c r="T185" s="240"/>
    </row>
    <row r="186">
      <c r="L186" s="239"/>
      <c r="N186" s="239"/>
      <c r="O186" s="239"/>
      <c r="R186" s="239"/>
      <c r="T186" s="240"/>
    </row>
    <row r="187">
      <c r="L187" s="239"/>
      <c r="N187" s="239"/>
      <c r="O187" s="239"/>
      <c r="R187" s="239"/>
      <c r="T187" s="240"/>
    </row>
    <row r="188">
      <c r="L188" s="239"/>
      <c r="N188" s="239"/>
      <c r="O188" s="239"/>
      <c r="R188" s="239"/>
      <c r="T188" s="240"/>
    </row>
    <row r="189">
      <c r="L189" s="239"/>
      <c r="N189" s="239"/>
      <c r="O189" s="239"/>
      <c r="R189" s="239"/>
      <c r="T189" s="240"/>
    </row>
    <row r="190">
      <c r="L190" s="239"/>
      <c r="N190" s="239"/>
      <c r="O190" s="239"/>
      <c r="R190" s="239"/>
      <c r="T190" s="240"/>
    </row>
    <row r="191">
      <c r="L191" s="239"/>
      <c r="N191" s="239"/>
      <c r="O191" s="239"/>
      <c r="R191" s="239"/>
      <c r="T191" s="240"/>
    </row>
    <row r="192">
      <c r="L192" s="239"/>
      <c r="N192" s="239"/>
      <c r="O192" s="239"/>
      <c r="R192" s="239"/>
      <c r="T192" s="240"/>
    </row>
    <row r="193">
      <c r="L193" s="239"/>
      <c r="N193" s="239"/>
      <c r="O193" s="239"/>
      <c r="R193" s="239"/>
      <c r="T193" s="240"/>
    </row>
    <row r="194">
      <c r="L194" s="239"/>
      <c r="N194" s="239"/>
      <c r="O194" s="239"/>
      <c r="R194" s="239"/>
      <c r="T194" s="240"/>
    </row>
    <row r="195">
      <c r="L195" s="239"/>
      <c r="N195" s="239"/>
      <c r="O195" s="239"/>
      <c r="R195" s="239"/>
      <c r="T195" s="240"/>
    </row>
    <row r="196">
      <c r="L196" s="239"/>
      <c r="N196" s="239"/>
      <c r="O196" s="239"/>
      <c r="R196" s="239"/>
      <c r="T196" s="240"/>
    </row>
    <row r="197">
      <c r="L197" s="239"/>
      <c r="N197" s="239"/>
      <c r="O197" s="239"/>
      <c r="R197" s="239"/>
      <c r="T197" s="240"/>
    </row>
    <row r="198">
      <c r="L198" s="239"/>
      <c r="N198" s="239"/>
      <c r="O198" s="239"/>
      <c r="R198" s="239"/>
      <c r="T198" s="240"/>
    </row>
    <row r="199">
      <c r="L199" s="239"/>
      <c r="N199" s="239"/>
      <c r="O199" s="239"/>
      <c r="R199" s="239"/>
      <c r="T199" s="240"/>
    </row>
    <row r="200">
      <c r="L200" s="239"/>
      <c r="N200" s="239"/>
      <c r="O200" s="239"/>
      <c r="R200" s="239"/>
      <c r="T200" s="240"/>
    </row>
    <row r="201">
      <c r="L201" s="239"/>
      <c r="N201" s="239"/>
      <c r="O201" s="239"/>
      <c r="R201" s="239"/>
      <c r="T201" s="240"/>
    </row>
    <row r="202">
      <c r="L202" s="239"/>
      <c r="N202" s="239"/>
      <c r="O202" s="239"/>
      <c r="R202" s="239"/>
      <c r="T202" s="240"/>
    </row>
    <row r="203">
      <c r="L203" s="239"/>
      <c r="N203" s="239"/>
      <c r="O203" s="239"/>
      <c r="R203" s="239"/>
      <c r="T203" s="240"/>
    </row>
    <row r="204">
      <c r="L204" s="239"/>
      <c r="N204" s="239"/>
      <c r="O204" s="239"/>
      <c r="R204" s="239"/>
      <c r="T204" s="240"/>
    </row>
    <row r="205">
      <c r="L205" s="239"/>
      <c r="N205" s="239"/>
      <c r="O205" s="239"/>
      <c r="R205" s="239"/>
      <c r="T205" s="240"/>
    </row>
    <row r="206">
      <c r="L206" s="239"/>
      <c r="N206" s="239"/>
      <c r="O206" s="239"/>
      <c r="R206" s="239"/>
      <c r="T206" s="240"/>
    </row>
    <row r="207">
      <c r="L207" s="239"/>
      <c r="N207" s="239"/>
      <c r="O207" s="239"/>
      <c r="R207" s="239"/>
      <c r="T207" s="240"/>
    </row>
    <row r="208">
      <c r="L208" s="239"/>
      <c r="N208" s="239"/>
      <c r="O208" s="239"/>
      <c r="R208" s="239"/>
      <c r="T208" s="240"/>
    </row>
    <row r="209">
      <c r="L209" s="239"/>
      <c r="N209" s="239"/>
      <c r="O209" s="239"/>
      <c r="R209" s="239"/>
      <c r="T209" s="240"/>
    </row>
    <row r="210">
      <c r="L210" s="239"/>
      <c r="N210" s="239"/>
      <c r="O210" s="239"/>
      <c r="R210" s="239"/>
      <c r="T210" s="240"/>
    </row>
    <row r="211">
      <c r="L211" s="239"/>
      <c r="N211" s="239"/>
      <c r="O211" s="239"/>
      <c r="R211" s="239"/>
      <c r="T211" s="240"/>
    </row>
    <row r="212">
      <c r="L212" s="239"/>
      <c r="N212" s="239"/>
      <c r="O212" s="239"/>
      <c r="R212" s="239"/>
      <c r="T212" s="240"/>
    </row>
    <row r="213">
      <c r="L213" s="239"/>
      <c r="N213" s="239"/>
      <c r="O213" s="239"/>
      <c r="R213" s="239"/>
      <c r="T213" s="240"/>
    </row>
    <row r="214">
      <c r="L214" s="239"/>
      <c r="N214" s="239"/>
      <c r="O214" s="239"/>
      <c r="R214" s="239"/>
      <c r="T214" s="240"/>
    </row>
    <row r="215">
      <c r="L215" s="239"/>
      <c r="N215" s="239"/>
      <c r="O215" s="239"/>
      <c r="R215" s="239"/>
      <c r="T215" s="240"/>
    </row>
    <row r="216">
      <c r="L216" s="239"/>
      <c r="N216" s="239"/>
      <c r="O216" s="239"/>
      <c r="R216" s="239"/>
      <c r="T216" s="240"/>
    </row>
    <row r="217">
      <c r="L217" s="239"/>
      <c r="N217" s="239"/>
      <c r="O217" s="239"/>
      <c r="R217" s="239"/>
      <c r="T217" s="240"/>
    </row>
    <row r="218">
      <c r="L218" s="239"/>
      <c r="N218" s="239"/>
      <c r="O218" s="239"/>
      <c r="R218" s="239"/>
      <c r="T218" s="240"/>
    </row>
    <row r="219">
      <c r="L219" s="239"/>
      <c r="N219" s="239"/>
      <c r="O219" s="239"/>
      <c r="R219" s="239"/>
      <c r="T219" s="240"/>
    </row>
    <row r="220">
      <c r="L220" s="239"/>
      <c r="N220" s="239"/>
      <c r="O220" s="239"/>
      <c r="R220" s="239"/>
      <c r="T220" s="240"/>
    </row>
    <row r="221">
      <c r="L221" s="239"/>
      <c r="N221" s="239"/>
      <c r="O221" s="239"/>
      <c r="R221" s="239"/>
      <c r="T221" s="240"/>
    </row>
    <row r="222">
      <c r="L222" s="239"/>
      <c r="N222" s="239"/>
      <c r="O222" s="239"/>
      <c r="R222" s="239"/>
      <c r="T222" s="240"/>
    </row>
    <row r="223">
      <c r="L223" s="239"/>
      <c r="N223" s="239"/>
      <c r="O223" s="239"/>
      <c r="R223" s="239"/>
      <c r="T223" s="240"/>
    </row>
    <row r="224">
      <c r="L224" s="239"/>
      <c r="N224" s="239"/>
      <c r="O224" s="239"/>
      <c r="R224" s="239"/>
      <c r="T224" s="240"/>
    </row>
    <row r="225">
      <c r="L225" s="239"/>
      <c r="N225" s="239"/>
      <c r="O225" s="239"/>
      <c r="R225" s="239"/>
      <c r="T225" s="240"/>
    </row>
    <row r="226">
      <c r="L226" s="239"/>
      <c r="N226" s="239"/>
      <c r="O226" s="239"/>
      <c r="R226" s="239"/>
      <c r="T226" s="240"/>
    </row>
    <row r="227">
      <c r="L227" s="239"/>
      <c r="N227" s="239"/>
      <c r="O227" s="239"/>
      <c r="R227" s="239"/>
      <c r="T227" s="240"/>
    </row>
    <row r="228">
      <c r="L228" s="239"/>
      <c r="N228" s="239"/>
      <c r="O228" s="239"/>
      <c r="R228" s="239"/>
      <c r="T228" s="240"/>
    </row>
    <row r="229">
      <c r="L229" s="239"/>
      <c r="N229" s="239"/>
      <c r="O229" s="239"/>
      <c r="R229" s="239"/>
      <c r="T229" s="240"/>
    </row>
    <row r="230">
      <c r="L230" s="239"/>
      <c r="N230" s="239"/>
      <c r="O230" s="239"/>
      <c r="R230" s="239"/>
      <c r="T230" s="240"/>
    </row>
    <row r="231">
      <c r="L231" s="239"/>
      <c r="N231" s="239"/>
      <c r="O231" s="239"/>
      <c r="R231" s="239"/>
      <c r="T231" s="240"/>
    </row>
    <row r="232">
      <c r="L232" s="239"/>
      <c r="N232" s="239"/>
      <c r="O232" s="239"/>
      <c r="R232" s="239"/>
      <c r="T232" s="240"/>
    </row>
    <row r="233">
      <c r="L233" s="239"/>
      <c r="N233" s="239"/>
      <c r="O233" s="239"/>
      <c r="R233" s="239"/>
      <c r="T233" s="240"/>
    </row>
    <row r="234">
      <c r="L234" s="239"/>
      <c r="N234" s="239"/>
      <c r="O234" s="239"/>
      <c r="R234" s="239"/>
      <c r="T234" s="240"/>
    </row>
    <row r="235">
      <c r="L235" s="239"/>
      <c r="N235" s="239"/>
      <c r="O235" s="239"/>
      <c r="R235" s="239"/>
      <c r="T235" s="240"/>
    </row>
    <row r="236">
      <c r="L236" s="239"/>
      <c r="N236" s="239"/>
      <c r="O236" s="239"/>
      <c r="R236" s="239"/>
      <c r="T236" s="240"/>
    </row>
    <row r="237">
      <c r="L237" s="239"/>
      <c r="N237" s="239"/>
      <c r="O237" s="239"/>
      <c r="R237" s="239"/>
      <c r="T237" s="240"/>
    </row>
    <row r="238">
      <c r="L238" s="239"/>
      <c r="N238" s="239"/>
      <c r="O238" s="239"/>
      <c r="R238" s="239"/>
      <c r="T238" s="240"/>
    </row>
    <row r="239">
      <c r="L239" s="239"/>
      <c r="N239" s="239"/>
      <c r="O239" s="239"/>
      <c r="R239" s="239"/>
      <c r="T239" s="240"/>
    </row>
    <row r="240">
      <c r="L240" s="239"/>
      <c r="N240" s="239"/>
      <c r="O240" s="239"/>
      <c r="R240" s="239"/>
      <c r="T240" s="240"/>
    </row>
    <row r="241">
      <c r="L241" s="239"/>
      <c r="N241" s="239"/>
      <c r="O241" s="239"/>
      <c r="R241" s="239"/>
      <c r="T241" s="240"/>
    </row>
    <row r="242">
      <c r="L242" s="239"/>
      <c r="N242" s="239"/>
      <c r="O242" s="239"/>
      <c r="R242" s="239"/>
      <c r="T242" s="240"/>
    </row>
    <row r="243">
      <c r="L243" s="239"/>
      <c r="N243" s="239"/>
      <c r="O243" s="239"/>
      <c r="R243" s="239"/>
      <c r="T243" s="240"/>
    </row>
    <row r="244">
      <c r="L244" s="239"/>
      <c r="N244" s="239"/>
      <c r="O244" s="239"/>
      <c r="R244" s="239"/>
      <c r="T244" s="240"/>
    </row>
    <row r="245">
      <c r="L245" s="239"/>
      <c r="N245" s="239"/>
      <c r="O245" s="239"/>
      <c r="R245" s="239"/>
      <c r="T245" s="240"/>
    </row>
    <row r="246">
      <c r="L246" s="239"/>
      <c r="N246" s="239"/>
      <c r="O246" s="239"/>
      <c r="R246" s="239"/>
      <c r="T246" s="240"/>
    </row>
    <row r="247">
      <c r="L247" s="239"/>
      <c r="N247" s="239"/>
      <c r="O247" s="239"/>
      <c r="R247" s="239"/>
      <c r="T247" s="240"/>
    </row>
    <row r="248">
      <c r="L248" s="239"/>
      <c r="N248" s="239"/>
      <c r="O248" s="239"/>
      <c r="R248" s="239"/>
      <c r="T248" s="240"/>
    </row>
    <row r="249">
      <c r="L249" s="239"/>
      <c r="N249" s="239"/>
      <c r="O249" s="239"/>
      <c r="R249" s="239"/>
      <c r="T249" s="240"/>
    </row>
    <row r="250">
      <c r="L250" s="239"/>
      <c r="N250" s="239"/>
      <c r="O250" s="239"/>
      <c r="R250" s="239"/>
      <c r="T250" s="240"/>
    </row>
    <row r="251">
      <c r="L251" s="239"/>
      <c r="N251" s="239"/>
      <c r="O251" s="239"/>
      <c r="R251" s="239"/>
      <c r="T251" s="240"/>
    </row>
    <row r="252">
      <c r="L252" s="239"/>
      <c r="N252" s="239"/>
      <c r="O252" s="239"/>
      <c r="R252" s="239"/>
      <c r="T252" s="240"/>
    </row>
    <row r="253">
      <c r="L253" s="239"/>
      <c r="N253" s="239"/>
      <c r="O253" s="239"/>
      <c r="R253" s="239"/>
      <c r="T253" s="240"/>
    </row>
    <row r="254">
      <c r="L254" s="239"/>
      <c r="N254" s="239"/>
      <c r="O254" s="239"/>
      <c r="R254" s="239"/>
      <c r="T254" s="240"/>
    </row>
    <row r="255">
      <c r="L255" s="239"/>
      <c r="N255" s="239"/>
      <c r="O255" s="239"/>
      <c r="R255" s="239"/>
      <c r="T255" s="240"/>
    </row>
    <row r="256">
      <c r="L256" s="239"/>
      <c r="N256" s="239"/>
      <c r="O256" s="239"/>
      <c r="R256" s="239"/>
      <c r="T256" s="240"/>
    </row>
    <row r="257">
      <c r="L257" s="239"/>
      <c r="N257" s="239"/>
      <c r="O257" s="239"/>
      <c r="R257" s="239"/>
      <c r="T257" s="240"/>
    </row>
    <row r="258">
      <c r="L258" s="239"/>
      <c r="N258" s="239"/>
      <c r="O258" s="239"/>
      <c r="R258" s="239"/>
      <c r="T258" s="240"/>
    </row>
    <row r="259">
      <c r="L259" s="239"/>
      <c r="N259" s="239"/>
      <c r="O259" s="239"/>
      <c r="R259" s="239"/>
      <c r="T259" s="240"/>
    </row>
    <row r="260">
      <c r="L260" s="239"/>
      <c r="N260" s="239"/>
      <c r="O260" s="239"/>
      <c r="R260" s="239"/>
      <c r="T260" s="240"/>
    </row>
    <row r="261">
      <c r="L261" s="239"/>
      <c r="N261" s="239"/>
      <c r="O261" s="239"/>
      <c r="R261" s="239"/>
      <c r="T261" s="240"/>
    </row>
    <row r="262">
      <c r="L262" s="239"/>
      <c r="N262" s="239"/>
      <c r="O262" s="239"/>
      <c r="R262" s="239"/>
      <c r="T262" s="240"/>
    </row>
    <row r="263">
      <c r="L263" s="239"/>
      <c r="N263" s="239"/>
      <c r="O263" s="239"/>
      <c r="R263" s="239"/>
      <c r="T263" s="240"/>
    </row>
    <row r="264">
      <c r="L264" s="239"/>
      <c r="N264" s="239"/>
      <c r="O264" s="239"/>
      <c r="R264" s="239"/>
      <c r="T264" s="240"/>
    </row>
    <row r="265">
      <c r="L265" s="239"/>
      <c r="N265" s="239"/>
      <c r="O265" s="239"/>
      <c r="R265" s="239"/>
      <c r="T265" s="240"/>
    </row>
    <row r="266">
      <c r="L266" s="239"/>
      <c r="N266" s="239"/>
      <c r="O266" s="239"/>
      <c r="R266" s="239"/>
      <c r="T266" s="240"/>
    </row>
    <row r="267">
      <c r="L267" s="239"/>
      <c r="N267" s="239"/>
      <c r="O267" s="239"/>
      <c r="R267" s="239"/>
      <c r="T267" s="240"/>
    </row>
    <row r="268">
      <c r="L268" s="239"/>
      <c r="N268" s="239"/>
      <c r="O268" s="239"/>
      <c r="R268" s="239"/>
      <c r="T268" s="240"/>
    </row>
    <row r="269">
      <c r="L269" s="239"/>
      <c r="N269" s="239"/>
      <c r="O269" s="239"/>
      <c r="R269" s="239"/>
      <c r="T269" s="240"/>
    </row>
    <row r="270">
      <c r="L270" s="239"/>
      <c r="N270" s="239"/>
      <c r="O270" s="239"/>
      <c r="R270" s="239"/>
      <c r="T270" s="240"/>
    </row>
    <row r="271">
      <c r="L271" s="239"/>
      <c r="N271" s="239"/>
      <c r="O271" s="239"/>
      <c r="R271" s="239"/>
      <c r="T271" s="240"/>
    </row>
    <row r="272">
      <c r="L272" s="239"/>
      <c r="N272" s="239"/>
      <c r="O272" s="239"/>
      <c r="R272" s="239"/>
      <c r="T272" s="240"/>
    </row>
    <row r="273">
      <c r="L273" s="239"/>
      <c r="N273" s="239"/>
      <c r="O273" s="239"/>
      <c r="R273" s="239"/>
      <c r="T273" s="240"/>
    </row>
    <row r="274">
      <c r="L274" s="239"/>
      <c r="N274" s="239"/>
      <c r="O274" s="239"/>
      <c r="R274" s="239"/>
      <c r="T274" s="240"/>
    </row>
    <row r="275">
      <c r="L275" s="239"/>
      <c r="N275" s="239"/>
      <c r="O275" s="239"/>
      <c r="R275" s="239"/>
      <c r="T275" s="240"/>
    </row>
    <row r="276">
      <c r="L276" s="239"/>
      <c r="N276" s="239"/>
      <c r="O276" s="239"/>
      <c r="R276" s="239"/>
      <c r="T276" s="240"/>
    </row>
    <row r="277">
      <c r="L277" s="239"/>
      <c r="N277" s="239"/>
      <c r="O277" s="239"/>
      <c r="R277" s="239"/>
      <c r="T277" s="240"/>
    </row>
    <row r="278">
      <c r="L278" s="239"/>
      <c r="N278" s="239"/>
      <c r="O278" s="239"/>
      <c r="R278" s="239"/>
      <c r="T278" s="240"/>
    </row>
    <row r="279">
      <c r="L279" s="239"/>
      <c r="N279" s="239"/>
      <c r="O279" s="239"/>
      <c r="R279" s="239"/>
      <c r="T279" s="240"/>
    </row>
    <row r="280">
      <c r="L280" s="239"/>
      <c r="N280" s="239"/>
      <c r="O280" s="239"/>
      <c r="R280" s="239"/>
      <c r="T280" s="240"/>
    </row>
    <row r="281">
      <c r="L281" s="239"/>
      <c r="N281" s="239"/>
      <c r="O281" s="239"/>
      <c r="R281" s="239"/>
      <c r="T281" s="240"/>
    </row>
    <row r="282">
      <c r="L282" s="239"/>
      <c r="N282" s="239"/>
      <c r="O282" s="239"/>
      <c r="R282" s="239"/>
      <c r="T282" s="240"/>
    </row>
    <row r="283">
      <c r="L283" s="239"/>
      <c r="N283" s="239"/>
      <c r="O283" s="239"/>
      <c r="R283" s="239"/>
      <c r="T283" s="240"/>
    </row>
    <row r="284">
      <c r="L284" s="239"/>
      <c r="N284" s="239"/>
      <c r="O284" s="239"/>
      <c r="R284" s="239"/>
      <c r="T284" s="240"/>
    </row>
    <row r="285">
      <c r="L285" s="239"/>
      <c r="N285" s="239"/>
      <c r="O285" s="239"/>
      <c r="R285" s="239"/>
      <c r="T285" s="240"/>
    </row>
    <row r="286">
      <c r="L286" s="239"/>
      <c r="N286" s="239"/>
      <c r="O286" s="239"/>
      <c r="R286" s="239"/>
      <c r="T286" s="240"/>
    </row>
    <row r="287">
      <c r="L287" s="239"/>
      <c r="N287" s="239"/>
      <c r="O287" s="239"/>
      <c r="R287" s="239"/>
      <c r="T287" s="240"/>
    </row>
    <row r="288">
      <c r="L288" s="239"/>
      <c r="N288" s="239"/>
      <c r="O288" s="239"/>
      <c r="R288" s="239"/>
      <c r="T288" s="240"/>
    </row>
    <row r="289">
      <c r="L289" s="239"/>
      <c r="N289" s="239"/>
      <c r="O289" s="239"/>
      <c r="R289" s="239"/>
      <c r="T289" s="240"/>
    </row>
    <row r="290">
      <c r="L290" s="239"/>
      <c r="N290" s="239"/>
      <c r="O290" s="239"/>
      <c r="R290" s="239"/>
      <c r="T290" s="240"/>
    </row>
    <row r="291">
      <c r="L291" s="239"/>
      <c r="N291" s="239"/>
      <c r="O291" s="239"/>
      <c r="R291" s="239"/>
      <c r="T291" s="240"/>
    </row>
    <row r="292">
      <c r="L292" s="239"/>
      <c r="N292" s="239"/>
      <c r="O292" s="239"/>
      <c r="R292" s="239"/>
      <c r="T292" s="240"/>
    </row>
    <row r="293">
      <c r="L293" s="239"/>
      <c r="N293" s="239"/>
      <c r="O293" s="239"/>
      <c r="R293" s="239"/>
      <c r="T293" s="240"/>
    </row>
    <row r="294">
      <c r="L294" s="239"/>
      <c r="N294" s="239"/>
      <c r="O294" s="239"/>
      <c r="R294" s="239"/>
      <c r="T294" s="240"/>
    </row>
    <row r="295">
      <c r="L295" s="239"/>
      <c r="N295" s="239"/>
      <c r="O295" s="239"/>
      <c r="R295" s="239"/>
      <c r="T295" s="240"/>
    </row>
    <row r="296">
      <c r="L296" s="239"/>
      <c r="N296" s="239"/>
      <c r="O296" s="239"/>
      <c r="R296" s="239"/>
      <c r="T296" s="240"/>
    </row>
    <row r="297">
      <c r="L297" s="239"/>
      <c r="N297" s="239"/>
      <c r="O297" s="239"/>
      <c r="R297" s="239"/>
      <c r="T297" s="240"/>
    </row>
    <row r="298">
      <c r="L298" s="239"/>
      <c r="N298" s="239"/>
      <c r="O298" s="239"/>
      <c r="R298" s="239"/>
      <c r="T298" s="240"/>
    </row>
    <row r="299">
      <c r="L299" s="239"/>
      <c r="N299" s="239"/>
      <c r="O299" s="239"/>
      <c r="R299" s="239"/>
      <c r="T299" s="240"/>
    </row>
    <row r="300">
      <c r="L300" s="239"/>
      <c r="N300" s="239"/>
      <c r="O300" s="239"/>
      <c r="R300" s="239"/>
      <c r="T300" s="240"/>
    </row>
    <row r="301">
      <c r="L301" s="239"/>
      <c r="N301" s="239"/>
      <c r="O301" s="239"/>
      <c r="R301" s="239"/>
      <c r="T301" s="240"/>
    </row>
    <row r="302">
      <c r="L302" s="239"/>
      <c r="N302" s="239"/>
      <c r="O302" s="239"/>
      <c r="R302" s="239"/>
      <c r="T302" s="240"/>
    </row>
    <row r="303">
      <c r="L303" s="239"/>
      <c r="N303" s="239"/>
      <c r="O303" s="239"/>
      <c r="R303" s="239"/>
      <c r="T303" s="240"/>
    </row>
    <row r="304">
      <c r="L304" s="239"/>
      <c r="N304" s="239"/>
      <c r="O304" s="239"/>
      <c r="R304" s="239"/>
      <c r="T304" s="240"/>
    </row>
    <row r="305">
      <c r="L305" s="239"/>
      <c r="N305" s="239"/>
      <c r="O305" s="239"/>
      <c r="R305" s="239"/>
      <c r="T305" s="240"/>
    </row>
    <row r="306">
      <c r="L306" s="239"/>
      <c r="N306" s="239"/>
      <c r="O306" s="239"/>
      <c r="R306" s="239"/>
      <c r="T306" s="240"/>
    </row>
    <row r="307">
      <c r="L307" s="239"/>
      <c r="N307" s="239"/>
      <c r="O307" s="239"/>
      <c r="R307" s="239"/>
      <c r="T307" s="240"/>
    </row>
    <row r="308">
      <c r="L308" s="239"/>
      <c r="N308" s="239"/>
      <c r="O308" s="239"/>
      <c r="R308" s="239"/>
      <c r="T308" s="240"/>
    </row>
    <row r="309">
      <c r="L309" s="239"/>
      <c r="N309" s="239"/>
      <c r="O309" s="239"/>
      <c r="R309" s="239"/>
      <c r="T309" s="240"/>
    </row>
    <row r="310">
      <c r="L310" s="239"/>
      <c r="N310" s="239"/>
      <c r="O310" s="239"/>
      <c r="R310" s="239"/>
      <c r="T310" s="240"/>
    </row>
    <row r="311">
      <c r="L311" s="239"/>
      <c r="N311" s="239"/>
      <c r="O311" s="239"/>
      <c r="R311" s="239"/>
      <c r="T311" s="240"/>
    </row>
    <row r="312">
      <c r="L312" s="239"/>
      <c r="N312" s="239"/>
      <c r="O312" s="239"/>
      <c r="R312" s="239"/>
      <c r="T312" s="240"/>
    </row>
    <row r="313">
      <c r="L313" s="239"/>
      <c r="N313" s="239"/>
      <c r="O313" s="239"/>
      <c r="R313" s="239"/>
      <c r="T313" s="240"/>
    </row>
    <row r="314">
      <c r="L314" s="239"/>
      <c r="N314" s="239"/>
      <c r="O314" s="239"/>
      <c r="R314" s="239"/>
      <c r="T314" s="240"/>
    </row>
    <row r="315">
      <c r="L315" s="239"/>
      <c r="N315" s="239"/>
      <c r="O315" s="239"/>
      <c r="R315" s="239"/>
      <c r="T315" s="240"/>
    </row>
    <row r="316">
      <c r="L316" s="239"/>
      <c r="N316" s="239"/>
      <c r="O316" s="239"/>
      <c r="R316" s="239"/>
      <c r="T316" s="240"/>
    </row>
    <row r="317">
      <c r="L317" s="239"/>
      <c r="N317" s="239"/>
      <c r="O317" s="239"/>
      <c r="R317" s="239"/>
      <c r="T317" s="240"/>
    </row>
    <row r="318">
      <c r="L318" s="239"/>
      <c r="N318" s="239"/>
      <c r="O318" s="239"/>
      <c r="R318" s="239"/>
      <c r="T318" s="240"/>
    </row>
    <row r="319">
      <c r="L319" s="239"/>
      <c r="N319" s="239"/>
      <c r="O319" s="239"/>
      <c r="R319" s="239"/>
      <c r="T319" s="240"/>
    </row>
    <row r="320">
      <c r="L320" s="239"/>
      <c r="N320" s="239"/>
      <c r="O320" s="239"/>
      <c r="R320" s="239"/>
      <c r="T320" s="240"/>
    </row>
    <row r="321">
      <c r="L321" s="239"/>
      <c r="N321" s="239"/>
      <c r="O321" s="239"/>
      <c r="R321" s="239"/>
      <c r="T321" s="240"/>
    </row>
    <row r="322">
      <c r="L322" s="239"/>
      <c r="N322" s="239"/>
      <c r="O322" s="239"/>
      <c r="R322" s="239"/>
      <c r="T322" s="240"/>
    </row>
    <row r="323">
      <c r="L323" s="239"/>
      <c r="N323" s="239"/>
      <c r="O323" s="239"/>
      <c r="R323" s="239"/>
      <c r="T323" s="240"/>
    </row>
    <row r="324">
      <c r="L324" s="239"/>
      <c r="N324" s="239"/>
      <c r="O324" s="239"/>
      <c r="R324" s="239"/>
      <c r="T324" s="240"/>
    </row>
    <row r="325">
      <c r="L325" s="239"/>
      <c r="N325" s="239"/>
      <c r="O325" s="239"/>
      <c r="R325" s="239"/>
      <c r="T325" s="240"/>
    </row>
    <row r="326">
      <c r="L326" s="239"/>
      <c r="N326" s="239"/>
      <c r="O326" s="239"/>
      <c r="R326" s="239"/>
      <c r="T326" s="240"/>
    </row>
    <row r="327">
      <c r="L327" s="239"/>
      <c r="N327" s="239"/>
      <c r="O327" s="239"/>
      <c r="R327" s="239"/>
      <c r="T327" s="240"/>
    </row>
    <row r="328">
      <c r="L328" s="239"/>
      <c r="N328" s="239"/>
      <c r="O328" s="239"/>
      <c r="R328" s="239"/>
      <c r="T328" s="240"/>
    </row>
    <row r="329">
      <c r="L329" s="239"/>
      <c r="N329" s="239"/>
      <c r="O329" s="239"/>
      <c r="R329" s="239"/>
      <c r="T329" s="240"/>
    </row>
    <row r="330">
      <c r="L330" s="239"/>
      <c r="N330" s="239"/>
      <c r="O330" s="239"/>
      <c r="R330" s="239"/>
      <c r="T330" s="240"/>
    </row>
    <row r="331">
      <c r="L331" s="239"/>
      <c r="N331" s="239"/>
      <c r="O331" s="239"/>
      <c r="R331" s="239"/>
      <c r="T331" s="240"/>
    </row>
    <row r="332">
      <c r="L332" s="239"/>
      <c r="N332" s="239"/>
      <c r="O332" s="239"/>
      <c r="R332" s="239"/>
      <c r="T332" s="240"/>
    </row>
    <row r="333">
      <c r="L333" s="239"/>
      <c r="N333" s="239"/>
      <c r="O333" s="239"/>
      <c r="R333" s="239"/>
      <c r="T333" s="240"/>
    </row>
    <row r="334">
      <c r="L334" s="239"/>
      <c r="N334" s="239"/>
      <c r="O334" s="239"/>
      <c r="R334" s="239"/>
      <c r="T334" s="240"/>
    </row>
    <row r="335">
      <c r="L335" s="239"/>
      <c r="N335" s="239"/>
      <c r="O335" s="239"/>
      <c r="R335" s="239"/>
      <c r="T335" s="240"/>
    </row>
    <row r="336">
      <c r="L336" s="239"/>
      <c r="N336" s="239"/>
      <c r="O336" s="239"/>
      <c r="R336" s="239"/>
      <c r="T336" s="240"/>
    </row>
    <row r="337">
      <c r="L337" s="239"/>
      <c r="N337" s="239"/>
      <c r="O337" s="239"/>
      <c r="R337" s="239"/>
      <c r="T337" s="240"/>
    </row>
    <row r="338">
      <c r="L338" s="239"/>
      <c r="N338" s="239"/>
      <c r="O338" s="239"/>
      <c r="R338" s="239"/>
      <c r="T338" s="240"/>
    </row>
    <row r="339">
      <c r="L339" s="239"/>
      <c r="N339" s="239"/>
      <c r="O339" s="239"/>
      <c r="R339" s="239"/>
      <c r="T339" s="240"/>
    </row>
    <row r="340">
      <c r="L340" s="239"/>
      <c r="N340" s="239"/>
      <c r="O340" s="239"/>
      <c r="R340" s="239"/>
      <c r="T340" s="240"/>
    </row>
    <row r="341">
      <c r="L341" s="239"/>
      <c r="N341" s="239"/>
      <c r="O341" s="239"/>
      <c r="R341" s="239"/>
      <c r="T341" s="240"/>
    </row>
    <row r="342">
      <c r="L342" s="239"/>
      <c r="N342" s="239"/>
      <c r="O342" s="239"/>
      <c r="R342" s="239"/>
      <c r="T342" s="240"/>
    </row>
    <row r="343">
      <c r="L343" s="239"/>
      <c r="N343" s="239"/>
      <c r="O343" s="239"/>
      <c r="R343" s="239"/>
      <c r="T343" s="240"/>
    </row>
    <row r="344">
      <c r="L344" s="239"/>
      <c r="N344" s="239"/>
      <c r="O344" s="239"/>
      <c r="R344" s="239"/>
      <c r="T344" s="240"/>
    </row>
    <row r="345">
      <c r="L345" s="239"/>
      <c r="N345" s="239"/>
      <c r="O345" s="239"/>
      <c r="R345" s="239"/>
      <c r="T345" s="240"/>
    </row>
    <row r="346">
      <c r="L346" s="239"/>
      <c r="N346" s="239"/>
      <c r="O346" s="239"/>
      <c r="R346" s="239"/>
      <c r="T346" s="240"/>
    </row>
    <row r="347">
      <c r="L347" s="239"/>
      <c r="N347" s="239"/>
      <c r="O347" s="239"/>
      <c r="R347" s="239"/>
      <c r="T347" s="240"/>
    </row>
    <row r="348">
      <c r="L348" s="239"/>
      <c r="N348" s="239"/>
      <c r="O348" s="239"/>
      <c r="R348" s="239"/>
      <c r="T348" s="240"/>
    </row>
    <row r="349">
      <c r="L349" s="239"/>
      <c r="N349" s="239"/>
      <c r="O349" s="239"/>
      <c r="R349" s="239"/>
      <c r="T349" s="240"/>
    </row>
    <row r="350">
      <c r="L350" s="239"/>
      <c r="N350" s="239"/>
      <c r="O350" s="239"/>
      <c r="R350" s="239"/>
      <c r="T350" s="240"/>
    </row>
    <row r="351">
      <c r="L351" s="239"/>
      <c r="N351" s="239"/>
      <c r="O351" s="239"/>
      <c r="R351" s="239"/>
      <c r="T351" s="240"/>
    </row>
    <row r="352">
      <c r="L352" s="239"/>
      <c r="N352" s="239"/>
      <c r="O352" s="239"/>
      <c r="R352" s="239"/>
      <c r="T352" s="240"/>
    </row>
    <row r="353">
      <c r="L353" s="239"/>
      <c r="N353" s="239"/>
      <c r="O353" s="239"/>
      <c r="R353" s="239"/>
      <c r="T353" s="240"/>
    </row>
    <row r="354">
      <c r="L354" s="239"/>
      <c r="N354" s="239"/>
      <c r="O354" s="239"/>
      <c r="R354" s="239"/>
      <c r="T354" s="240"/>
    </row>
    <row r="355">
      <c r="L355" s="239"/>
      <c r="N355" s="239"/>
      <c r="O355" s="239"/>
      <c r="R355" s="239"/>
      <c r="T355" s="240"/>
    </row>
    <row r="356">
      <c r="L356" s="239"/>
      <c r="N356" s="239"/>
      <c r="O356" s="239"/>
      <c r="R356" s="239"/>
      <c r="T356" s="240"/>
    </row>
    <row r="357">
      <c r="L357" s="239"/>
      <c r="N357" s="239"/>
      <c r="O357" s="239"/>
      <c r="R357" s="239"/>
      <c r="T357" s="240"/>
    </row>
    <row r="358">
      <c r="L358" s="239"/>
      <c r="N358" s="239"/>
      <c r="O358" s="239"/>
      <c r="R358" s="239"/>
      <c r="T358" s="240"/>
    </row>
    <row r="359">
      <c r="L359" s="239"/>
      <c r="N359" s="239"/>
      <c r="O359" s="239"/>
      <c r="R359" s="239"/>
      <c r="T359" s="240"/>
    </row>
    <row r="360">
      <c r="L360" s="239"/>
      <c r="N360" s="239"/>
      <c r="O360" s="239"/>
      <c r="R360" s="239"/>
      <c r="T360" s="240"/>
    </row>
    <row r="361">
      <c r="L361" s="239"/>
      <c r="N361" s="239"/>
      <c r="O361" s="239"/>
      <c r="R361" s="239"/>
      <c r="T361" s="240"/>
    </row>
    <row r="362">
      <c r="L362" s="239"/>
      <c r="N362" s="239"/>
      <c r="O362" s="239"/>
      <c r="R362" s="239"/>
      <c r="T362" s="240"/>
    </row>
    <row r="363">
      <c r="L363" s="239"/>
      <c r="N363" s="239"/>
      <c r="O363" s="239"/>
      <c r="R363" s="239"/>
      <c r="T363" s="240"/>
    </row>
    <row r="364">
      <c r="L364" s="239"/>
      <c r="N364" s="239"/>
      <c r="O364" s="239"/>
      <c r="R364" s="239"/>
      <c r="T364" s="240"/>
    </row>
    <row r="365">
      <c r="L365" s="239"/>
      <c r="N365" s="239"/>
      <c r="O365" s="239"/>
      <c r="R365" s="239"/>
      <c r="T365" s="240"/>
    </row>
    <row r="366">
      <c r="L366" s="239"/>
      <c r="N366" s="239"/>
      <c r="O366" s="239"/>
      <c r="R366" s="239"/>
      <c r="T366" s="240"/>
    </row>
    <row r="367">
      <c r="L367" s="239"/>
      <c r="N367" s="239"/>
      <c r="O367" s="239"/>
      <c r="R367" s="239"/>
      <c r="T367" s="240"/>
    </row>
    <row r="368">
      <c r="L368" s="239"/>
      <c r="N368" s="239"/>
      <c r="O368" s="239"/>
      <c r="R368" s="239"/>
      <c r="T368" s="240"/>
    </row>
    <row r="369">
      <c r="L369" s="239"/>
      <c r="N369" s="239"/>
      <c r="O369" s="239"/>
      <c r="R369" s="239"/>
      <c r="T369" s="240"/>
    </row>
    <row r="370">
      <c r="L370" s="239"/>
      <c r="N370" s="239"/>
      <c r="O370" s="239"/>
      <c r="R370" s="239"/>
      <c r="T370" s="240"/>
    </row>
    <row r="371">
      <c r="L371" s="239"/>
      <c r="N371" s="239"/>
      <c r="O371" s="239"/>
      <c r="R371" s="239"/>
      <c r="T371" s="240"/>
    </row>
    <row r="372">
      <c r="L372" s="239"/>
      <c r="N372" s="239"/>
      <c r="O372" s="239"/>
      <c r="R372" s="239"/>
      <c r="T372" s="240"/>
    </row>
    <row r="373">
      <c r="L373" s="239"/>
      <c r="N373" s="239"/>
      <c r="O373" s="239"/>
      <c r="R373" s="239"/>
      <c r="T373" s="240"/>
    </row>
    <row r="374">
      <c r="L374" s="239"/>
      <c r="N374" s="239"/>
      <c r="O374" s="239"/>
      <c r="R374" s="239"/>
      <c r="T374" s="240"/>
    </row>
    <row r="375">
      <c r="L375" s="239"/>
      <c r="N375" s="239"/>
      <c r="O375" s="239"/>
      <c r="R375" s="239"/>
      <c r="T375" s="240"/>
    </row>
    <row r="376">
      <c r="L376" s="239"/>
      <c r="N376" s="239"/>
      <c r="O376" s="239"/>
      <c r="R376" s="239"/>
      <c r="T376" s="240"/>
    </row>
    <row r="377">
      <c r="L377" s="239"/>
      <c r="N377" s="239"/>
      <c r="O377" s="239"/>
      <c r="R377" s="239"/>
      <c r="T377" s="240"/>
    </row>
    <row r="378">
      <c r="L378" s="239"/>
      <c r="N378" s="239"/>
      <c r="O378" s="239"/>
      <c r="R378" s="239"/>
      <c r="T378" s="240"/>
    </row>
    <row r="379">
      <c r="L379" s="239"/>
      <c r="N379" s="239"/>
      <c r="O379" s="239"/>
      <c r="R379" s="239"/>
      <c r="T379" s="240"/>
    </row>
    <row r="380">
      <c r="L380" s="239"/>
      <c r="N380" s="239"/>
      <c r="O380" s="239"/>
      <c r="R380" s="239"/>
      <c r="T380" s="240"/>
    </row>
    <row r="381">
      <c r="L381" s="239"/>
      <c r="N381" s="239"/>
      <c r="O381" s="239"/>
      <c r="R381" s="239"/>
      <c r="T381" s="240"/>
    </row>
    <row r="382">
      <c r="L382" s="239"/>
      <c r="N382" s="239"/>
      <c r="O382" s="239"/>
      <c r="R382" s="239"/>
      <c r="T382" s="240"/>
    </row>
    <row r="383">
      <c r="L383" s="239"/>
      <c r="N383" s="239"/>
      <c r="O383" s="239"/>
      <c r="R383" s="239"/>
      <c r="T383" s="240"/>
    </row>
    <row r="384">
      <c r="L384" s="239"/>
      <c r="N384" s="239"/>
      <c r="O384" s="239"/>
      <c r="R384" s="239"/>
      <c r="T384" s="240"/>
    </row>
    <row r="385">
      <c r="L385" s="239"/>
      <c r="N385" s="239"/>
      <c r="O385" s="239"/>
      <c r="R385" s="239"/>
      <c r="T385" s="240"/>
    </row>
    <row r="386">
      <c r="L386" s="239"/>
      <c r="N386" s="239"/>
      <c r="O386" s="239"/>
      <c r="R386" s="239"/>
      <c r="T386" s="240"/>
    </row>
    <row r="387">
      <c r="L387" s="239"/>
      <c r="N387" s="239"/>
      <c r="O387" s="239"/>
      <c r="R387" s="239"/>
      <c r="T387" s="240"/>
    </row>
    <row r="388">
      <c r="L388" s="239"/>
      <c r="N388" s="239"/>
      <c r="O388" s="239"/>
      <c r="R388" s="239"/>
      <c r="T388" s="240"/>
    </row>
    <row r="389">
      <c r="L389" s="239"/>
      <c r="N389" s="239"/>
      <c r="O389" s="239"/>
      <c r="R389" s="239"/>
      <c r="T389" s="240"/>
    </row>
    <row r="390">
      <c r="L390" s="239"/>
      <c r="N390" s="239"/>
      <c r="O390" s="239"/>
      <c r="R390" s="239"/>
      <c r="T390" s="240"/>
    </row>
    <row r="391">
      <c r="L391" s="239"/>
      <c r="N391" s="239"/>
      <c r="O391" s="239"/>
      <c r="R391" s="239"/>
      <c r="T391" s="240"/>
    </row>
    <row r="392">
      <c r="L392" s="239"/>
      <c r="N392" s="239"/>
      <c r="O392" s="239"/>
      <c r="R392" s="239"/>
      <c r="T392" s="240"/>
    </row>
    <row r="393">
      <c r="L393" s="239"/>
      <c r="N393" s="239"/>
      <c r="O393" s="239"/>
      <c r="R393" s="239"/>
      <c r="T393" s="240"/>
    </row>
    <row r="394">
      <c r="L394" s="239"/>
      <c r="N394" s="239"/>
      <c r="O394" s="239"/>
      <c r="R394" s="239"/>
      <c r="T394" s="240"/>
    </row>
    <row r="395">
      <c r="L395" s="239"/>
      <c r="N395" s="239"/>
      <c r="O395" s="239"/>
      <c r="R395" s="239"/>
      <c r="T395" s="240"/>
    </row>
    <row r="396">
      <c r="L396" s="239"/>
      <c r="N396" s="239"/>
      <c r="O396" s="239"/>
      <c r="R396" s="239"/>
      <c r="T396" s="240"/>
    </row>
    <row r="397">
      <c r="L397" s="239"/>
      <c r="N397" s="239"/>
      <c r="O397" s="239"/>
      <c r="R397" s="239"/>
      <c r="T397" s="240"/>
    </row>
    <row r="398">
      <c r="L398" s="239"/>
      <c r="N398" s="239"/>
      <c r="O398" s="239"/>
      <c r="R398" s="239"/>
      <c r="T398" s="240"/>
    </row>
    <row r="399">
      <c r="L399" s="239"/>
      <c r="N399" s="239"/>
      <c r="O399" s="239"/>
      <c r="R399" s="239"/>
      <c r="T399" s="240"/>
    </row>
    <row r="400">
      <c r="L400" s="239"/>
      <c r="N400" s="239"/>
      <c r="O400" s="239"/>
      <c r="R400" s="239"/>
      <c r="T400" s="240"/>
    </row>
    <row r="401">
      <c r="L401" s="239"/>
      <c r="N401" s="239"/>
      <c r="O401" s="239"/>
      <c r="R401" s="239"/>
      <c r="T401" s="240"/>
    </row>
    <row r="402">
      <c r="L402" s="239"/>
      <c r="N402" s="239"/>
      <c r="O402" s="239"/>
      <c r="R402" s="239"/>
      <c r="T402" s="240"/>
    </row>
    <row r="403">
      <c r="L403" s="239"/>
      <c r="N403" s="239"/>
      <c r="O403" s="239"/>
      <c r="R403" s="239"/>
      <c r="T403" s="240"/>
    </row>
    <row r="404">
      <c r="L404" s="239"/>
      <c r="N404" s="239"/>
      <c r="O404" s="239"/>
      <c r="R404" s="239"/>
      <c r="T404" s="240"/>
    </row>
    <row r="405">
      <c r="L405" s="239"/>
      <c r="N405" s="239"/>
      <c r="O405" s="239"/>
      <c r="R405" s="239"/>
      <c r="T405" s="240"/>
    </row>
    <row r="406">
      <c r="L406" s="239"/>
      <c r="N406" s="239"/>
      <c r="O406" s="239"/>
      <c r="R406" s="239"/>
      <c r="T406" s="240"/>
    </row>
    <row r="407">
      <c r="L407" s="239"/>
      <c r="N407" s="239"/>
      <c r="O407" s="239"/>
      <c r="R407" s="239"/>
      <c r="T407" s="240"/>
    </row>
    <row r="408">
      <c r="L408" s="239"/>
      <c r="N408" s="239"/>
      <c r="O408" s="239"/>
      <c r="R408" s="239"/>
      <c r="T408" s="240"/>
    </row>
    <row r="409">
      <c r="L409" s="239"/>
      <c r="N409" s="239"/>
      <c r="O409" s="239"/>
      <c r="R409" s="239"/>
      <c r="T409" s="240"/>
    </row>
    <row r="410">
      <c r="L410" s="239"/>
      <c r="N410" s="239"/>
      <c r="O410" s="239"/>
      <c r="R410" s="239"/>
      <c r="T410" s="240"/>
    </row>
    <row r="411">
      <c r="L411" s="239"/>
      <c r="N411" s="239"/>
      <c r="O411" s="239"/>
      <c r="R411" s="239"/>
      <c r="T411" s="240"/>
    </row>
    <row r="412">
      <c r="L412" s="239"/>
      <c r="N412" s="239"/>
      <c r="O412" s="239"/>
      <c r="R412" s="239"/>
      <c r="T412" s="240"/>
    </row>
    <row r="413">
      <c r="L413" s="239"/>
      <c r="N413" s="239"/>
      <c r="O413" s="239"/>
      <c r="R413" s="239"/>
      <c r="T413" s="240"/>
    </row>
    <row r="414">
      <c r="L414" s="239"/>
      <c r="N414" s="239"/>
      <c r="O414" s="239"/>
      <c r="R414" s="239"/>
      <c r="T414" s="240"/>
    </row>
    <row r="415">
      <c r="L415" s="239"/>
      <c r="N415" s="239"/>
      <c r="O415" s="239"/>
      <c r="R415" s="239"/>
      <c r="T415" s="240"/>
    </row>
    <row r="416">
      <c r="L416" s="239"/>
      <c r="N416" s="239"/>
      <c r="O416" s="239"/>
      <c r="R416" s="239"/>
      <c r="T416" s="240"/>
    </row>
    <row r="417">
      <c r="L417" s="239"/>
      <c r="N417" s="239"/>
      <c r="O417" s="239"/>
      <c r="R417" s="239"/>
      <c r="T417" s="240"/>
    </row>
    <row r="418">
      <c r="L418" s="239"/>
      <c r="N418" s="239"/>
      <c r="O418" s="239"/>
      <c r="R418" s="239"/>
      <c r="T418" s="240"/>
    </row>
    <row r="419">
      <c r="L419" s="239"/>
      <c r="N419" s="239"/>
      <c r="O419" s="239"/>
      <c r="R419" s="239"/>
      <c r="T419" s="240"/>
    </row>
    <row r="420">
      <c r="L420" s="239"/>
      <c r="N420" s="239"/>
      <c r="O420" s="239"/>
      <c r="R420" s="239"/>
      <c r="T420" s="240"/>
    </row>
    <row r="421">
      <c r="L421" s="239"/>
      <c r="N421" s="239"/>
      <c r="O421" s="239"/>
      <c r="R421" s="239"/>
      <c r="T421" s="240"/>
    </row>
    <row r="422">
      <c r="L422" s="239"/>
      <c r="N422" s="239"/>
      <c r="O422" s="239"/>
      <c r="R422" s="239"/>
      <c r="T422" s="240"/>
    </row>
    <row r="423">
      <c r="L423" s="239"/>
      <c r="N423" s="239"/>
      <c r="O423" s="239"/>
      <c r="R423" s="239"/>
      <c r="T423" s="240"/>
    </row>
    <row r="424">
      <c r="L424" s="239"/>
      <c r="N424" s="239"/>
      <c r="O424" s="239"/>
      <c r="R424" s="239"/>
      <c r="T424" s="240"/>
    </row>
    <row r="425">
      <c r="L425" s="239"/>
      <c r="N425" s="239"/>
      <c r="O425" s="239"/>
      <c r="R425" s="239"/>
      <c r="T425" s="240"/>
    </row>
    <row r="426">
      <c r="L426" s="239"/>
      <c r="N426" s="239"/>
      <c r="O426" s="239"/>
      <c r="R426" s="239"/>
      <c r="T426" s="240"/>
    </row>
    <row r="427">
      <c r="L427" s="239"/>
      <c r="N427" s="239"/>
      <c r="O427" s="239"/>
      <c r="R427" s="239"/>
      <c r="T427" s="240"/>
    </row>
    <row r="428">
      <c r="L428" s="239"/>
      <c r="N428" s="239"/>
      <c r="O428" s="239"/>
      <c r="R428" s="239"/>
      <c r="T428" s="240"/>
    </row>
    <row r="429">
      <c r="L429" s="239"/>
      <c r="N429" s="239"/>
      <c r="O429" s="239"/>
      <c r="R429" s="239"/>
      <c r="T429" s="240"/>
    </row>
    <row r="430">
      <c r="L430" s="239"/>
      <c r="N430" s="239"/>
      <c r="O430" s="239"/>
      <c r="R430" s="239"/>
      <c r="T430" s="240"/>
    </row>
    <row r="431">
      <c r="L431" s="239"/>
      <c r="N431" s="239"/>
      <c r="O431" s="239"/>
      <c r="R431" s="239"/>
      <c r="T431" s="240"/>
    </row>
    <row r="432">
      <c r="L432" s="239"/>
      <c r="N432" s="239"/>
      <c r="O432" s="239"/>
      <c r="R432" s="239"/>
      <c r="T432" s="240"/>
    </row>
    <row r="433">
      <c r="L433" s="239"/>
      <c r="N433" s="239"/>
      <c r="O433" s="239"/>
      <c r="R433" s="239"/>
      <c r="T433" s="240"/>
    </row>
    <row r="434">
      <c r="L434" s="239"/>
      <c r="N434" s="239"/>
      <c r="O434" s="239"/>
      <c r="R434" s="239"/>
      <c r="T434" s="240"/>
    </row>
    <row r="435">
      <c r="L435" s="239"/>
      <c r="N435" s="239"/>
      <c r="O435" s="239"/>
      <c r="R435" s="239"/>
      <c r="T435" s="240"/>
    </row>
    <row r="436">
      <c r="L436" s="239"/>
      <c r="N436" s="239"/>
      <c r="O436" s="239"/>
      <c r="R436" s="239"/>
      <c r="T436" s="240"/>
    </row>
    <row r="437">
      <c r="L437" s="239"/>
      <c r="N437" s="239"/>
      <c r="O437" s="239"/>
      <c r="R437" s="239"/>
      <c r="T437" s="240"/>
    </row>
    <row r="438">
      <c r="L438" s="239"/>
      <c r="N438" s="239"/>
      <c r="O438" s="239"/>
      <c r="R438" s="239"/>
      <c r="T438" s="240"/>
    </row>
    <row r="439">
      <c r="L439" s="239"/>
      <c r="N439" s="239"/>
      <c r="O439" s="239"/>
      <c r="R439" s="239"/>
      <c r="T439" s="240"/>
    </row>
    <row r="440">
      <c r="L440" s="239"/>
      <c r="N440" s="239"/>
      <c r="O440" s="239"/>
      <c r="R440" s="239"/>
      <c r="T440" s="240"/>
    </row>
    <row r="441">
      <c r="L441" s="239"/>
      <c r="N441" s="239"/>
      <c r="O441" s="239"/>
      <c r="R441" s="239"/>
      <c r="T441" s="240"/>
    </row>
    <row r="442">
      <c r="L442" s="239"/>
      <c r="N442" s="239"/>
      <c r="O442" s="239"/>
      <c r="R442" s="239"/>
      <c r="T442" s="240"/>
    </row>
    <row r="443">
      <c r="L443" s="239"/>
      <c r="N443" s="239"/>
      <c r="O443" s="239"/>
      <c r="R443" s="239"/>
      <c r="T443" s="240"/>
    </row>
    <row r="444">
      <c r="L444" s="239"/>
      <c r="N444" s="239"/>
      <c r="O444" s="239"/>
      <c r="R444" s="239"/>
      <c r="T444" s="240"/>
    </row>
    <row r="445">
      <c r="L445" s="239"/>
      <c r="N445" s="239"/>
      <c r="O445" s="239"/>
      <c r="R445" s="239"/>
      <c r="T445" s="240"/>
    </row>
    <row r="446">
      <c r="L446" s="239"/>
      <c r="N446" s="239"/>
      <c r="O446" s="239"/>
      <c r="R446" s="239"/>
      <c r="T446" s="240"/>
    </row>
    <row r="447">
      <c r="L447" s="239"/>
      <c r="N447" s="239"/>
      <c r="O447" s="239"/>
      <c r="R447" s="239"/>
      <c r="T447" s="240"/>
    </row>
    <row r="448">
      <c r="L448" s="239"/>
      <c r="N448" s="239"/>
      <c r="O448" s="239"/>
      <c r="R448" s="239"/>
      <c r="T448" s="240"/>
    </row>
    <row r="449">
      <c r="L449" s="239"/>
      <c r="N449" s="239"/>
      <c r="O449" s="239"/>
      <c r="R449" s="239"/>
      <c r="T449" s="240"/>
    </row>
    <row r="450">
      <c r="L450" s="239"/>
      <c r="N450" s="239"/>
      <c r="O450" s="239"/>
      <c r="R450" s="239"/>
      <c r="T450" s="240"/>
    </row>
    <row r="451">
      <c r="L451" s="239"/>
      <c r="N451" s="239"/>
      <c r="O451" s="239"/>
      <c r="R451" s="239"/>
      <c r="T451" s="240"/>
    </row>
    <row r="452">
      <c r="L452" s="239"/>
      <c r="N452" s="239"/>
      <c r="O452" s="239"/>
      <c r="R452" s="239"/>
      <c r="T452" s="240"/>
    </row>
    <row r="453">
      <c r="L453" s="239"/>
      <c r="N453" s="239"/>
      <c r="O453" s="239"/>
      <c r="R453" s="239"/>
      <c r="T453" s="240"/>
    </row>
    <row r="454">
      <c r="L454" s="239"/>
      <c r="N454" s="239"/>
      <c r="O454" s="239"/>
      <c r="R454" s="239"/>
      <c r="T454" s="240"/>
    </row>
    <row r="455">
      <c r="L455" s="239"/>
      <c r="N455" s="239"/>
      <c r="O455" s="239"/>
      <c r="R455" s="239"/>
      <c r="T455" s="240"/>
    </row>
    <row r="456">
      <c r="L456" s="239"/>
      <c r="N456" s="239"/>
      <c r="O456" s="239"/>
      <c r="R456" s="239"/>
      <c r="T456" s="240"/>
    </row>
    <row r="457">
      <c r="L457" s="239"/>
      <c r="N457" s="239"/>
      <c r="O457" s="239"/>
      <c r="R457" s="239"/>
      <c r="T457" s="240"/>
    </row>
    <row r="458">
      <c r="L458" s="239"/>
      <c r="N458" s="239"/>
      <c r="O458" s="239"/>
      <c r="R458" s="239"/>
      <c r="T458" s="240"/>
    </row>
    <row r="459">
      <c r="L459" s="239"/>
      <c r="N459" s="239"/>
      <c r="O459" s="239"/>
      <c r="R459" s="239"/>
      <c r="T459" s="240"/>
    </row>
    <row r="460">
      <c r="L460" s="239"/>
      <c r="N460" s="239"/>
      <c r="O460" s="239"/>
      <c r="R460" s="239"/>
      <c r="T460" s="240"/>
    </row>
    <row r="461">
      <c r="L461" s="239"/>
      <c r="N461" s="239"/>
      <c r="O461" s="239"/>
      <c r="R461" s="239"/>
      <c r="T461" s="240"/>
    </row>
    <row r="462">
      <c r="L462" s="239"/>
      <c r="N462" s="239"/>
      <c r="O462" s="239"/>
      <c r="R462" s="239"/>
      <c r="T462" s="240"/>
    </row>
    <row r="463">
      <c r="L463" s="239"/>
      <c r="N463" s="239"/>
      <c r="O463" s="239"/>
      <c r="R463" s="239"/>
      <c r="T463" s="240"/>
    </row>
    <row r="464">
      <c r="L464" s="239"/>
      <c r="N464" s="239"/>
      <c r="O464" s="239"/>
      <c r="R464" s="239"/>
      <c r="T464" s="240"/>
    </row>
    <row r="465">
      <c r="L465" s="239"/>
      <c r="N465" s="239"/>
      <c r="O465" s="239"/>
      <c r="R465" s="239"/>
      <c r="T465" s="240"/>
    </row>
    <row r="466">
      <c r="L466" s="239"/>
      <c r="N466" s="239"/>
      <c r="O466" s="239"/>
      <c r="R466" s="239"/>
      <c r="T466" s="240"/>
    </row>
    <row r="467">
      <c r="L467" s="239"/>
      <c r="N467" s="239"/>
      <c r="O467" s="239"/>
      <c r="R467" s="239"/>
      <c r="T467" s="240"/>
    </row>
    <row r="468">
      <c r="L468" s="239"/>
      <c r="N468" s="239"/>
      <c r="O468" s="239"/>
      <c r="R468" s="239"/>
      <c r="T468" s="240"/>
    </row>
    <row r="469">
      <c r="L469" s="239"/>
      <c r="N469" s="239"/>
      <c r="O469" s="239"/>
      <c r="R469" s="239"/>
      <c r="T469" s="240"/>
    </row>
    <row r="470">
      <c r="L470" s="239"/>
      <c r="N470" s="239"/>
      <c r="O470" s="239"/>
      <c r="R470" s="239"/>
      <c r="T470" s="240"/>
    </row>
    <row r="471">
      <c r="L471" s="239"/>
      <c r="N471" s="239"/>
      <c r="O471" s="239"/>
      <c r="R471" s="239"/>
      <c r="T471" s="240"/>
    </row>
    <row r="472">
      <c r="L472" s="239"/>
      <c r="N472" s="239"/>
      <c r="O472" s="239"/>
      <c r="R472" s="239"/>
      <c r="T472" s="240"/>
    </row>
    <row r="473">
      <c r="L473" s="239"/>
      <c r="N473" s="239"/>
      <c r="O473" s="239"/>
      <c r="R473" s="239"/>
      <c r="T473" s="240"/>
    </row>
    <row r="474">
      <c r="L474" s="239"/>
      <c r="N474" s="239"/>
      <c r="O474" s="239"/>
      <c r="R474" s="239"/>
      <c r="T474" s="240"/>
    </row>
    <row r="475">
      <c r="L475" s="239"/>
      <c r="N475" s="239"/>
      <c r="O475" s="239"/>
      <c r="R475" s="239"/>
      <c r="T475" s="240"/>
    </row>
    <row r="476">
      <c r="L476" s="239"/>
      <c r="N476" s="239"/>
      <c r="O476" s="239"/>
      <c r="R476" s="239"/>
      <c r="T476" s="240"/>
    </row>
    <row r="477">
      <c r="L477" s="239"/>
      <c r="N477" s="239"/>
      <c r="O477" s="239"/>
      <c r="R477" s="239"/>
      <c r="T477" s="240"/>
    </row>
    <row r="478">
      <c r="L478" s="239"/>
      <c r="N478" s="239"/>
      <c r="O478" s="239"/>
      <c r="R478" s="239"/>
      <c r="T478" s="240"/>
    </row>
    <row r="479">
      <c r="L479" s="239"/>
      <c r="N479" s="239"/>
      <c r="O479" s="239"/>
      <c r="R479" s="239"/>
      <c r="T479" s="240"/>
    </row>
    <row r="480">
      <c r="L480" s="239"/>
      <c r="N480" s="239"/>
      <c r="O480" s="239"/>
      <c r="R480" s="239"/>
      <c r="T480" s="240"/>
    </row>
    <row r="481">
      <c r="L481" s="239"/>
      <c r="N481" s="239"/>
      <c r="O481" s="239"/>
      <c r="R481" s="239"/>
      <c r="T481" s="240"/>
    </row>
    <row r="482">
      <c r="L482" s="239"/>
      <c r="N482" s="239"/>
      <c r="O482" s="239"/>
      <c r="R482" s="239"/>
      <c r="T482" s="240"/>
    </row>
    <row r="483">
      <c r="L483" s="239"/>
      <c r="N483" s="239"/>
      <c r="O483" s="239"/>
      <c r="R483" s="239"/>
      <c r="T483" s="240"/>
    </row>
    <row r="484">
      <c r="L484" s="239"/>
      <c r="N484" s="239"/>
      <c r="O484" s="239"/>
      <c r="R484" s="239"/>
      <c r="T484" s="240"/>
    </row>
    <row r="485">
      <c r="L485" s="239"/>
      <c r="N485" s="239"/>
      <c r="O485" s="239"/>
      <c r="R485" s="239"/>
      <c r="T485" s="240"/>
    </row>
    <row r="486">
      <c r="L486" s="239"/>
      <c r="N486" s="239"/>
      <c r="O486" s="239"/>
      <c r="R486" s="239"/>
      <c r="T486" s="240"/>
    </row>
    <row r="487">
      <c r="L487" s="239"/>
      <c r="N487" s="239"/>
      <c r="O487" s="239"/>
      <c r="R487" s="239"/>
      <c r="T487" s="240"/>
    </row>
    <row r="488">
      <c r="L488" s="239"/>
      <c r="N488" s="239"/>
      <c r="O488" s="239"/>
      <c r="R488" s="239"/>
      <c r="T488" s="240"/>
    </row>
    <row r="489">
      <c r="L489" s="239"/>
      <c r="N489" s="239"/>
      <c r="O489" s="239"/>
      <c r="R489" s="239"/>
      <c r="T489" s="240"/>
    </row>
    <row r="490">
      <c r="L490" s="239"/>
      <c r="N490" s="239"/>
      <c r="O490" s="239"/>
      <c r="R490" s="239"/>
      <c r="T490" s="240"/>
    </row>
    <row r="491">
      <c r="L491" s="239"/>
      <c r="N491" s="239"/>
      <c r="O491" s="239"/>
      <c r="R491" s="239"/>
      <c r="T491" s="240"/>
    </row>
    <row r="492">
      <c r="L492" s="239"/>
      <c r="N492" s="239"/>
      <c r="O492" s="239"/>
      <c r="R492" s="239"/>
      <c r="T492" s="240"/>
    </row>
    <row r="493">
      <c r="L493" s="239"/>
      <c r="N493" s="239"/>
      <c r="O493" s="239"/>
      <c r="R493" s="239"/>
      <c r="T493" s="240"/>
    </row>
    <row r="494">
      <c r="L494" s="239"/>
      <c r="N494" s="239"/>
      <c r="O494" s="239"/>
      <c r="R494" s="239"/>
      <c r="T494" s="240"/>
    </row>
    <row r="495">
      <c r="L495" s="239"/>
      <c r="N495" s="239"/>
      <c r="O495" s="239"/>
      <c r="R495" s="239"/>
      <c r="T495" s="240"/>
    </row>
    <row r="496">
      <c r="L496" s="239"/>
      <c r="N496" s="239"/>
      <c r="O496" s="239"/>
      <c r="R496" s="239"/>
      <c r="T496" s="240"/>
    </row>
    <row r="497">
      <c r="L497" s="239"/>
      <c r="N497" s="239"/>
      <c r="O497" s="239"/>
      <c r="R497" s="239"/>
      <c r="T497" s="240"/>
    </row>
    <row r="498">
      <c r="L498" s="239"/>
      <c r="N498" s="239"/>
      <c r="O498" s="239"/>
      <c r="R498" s="239"/>
      <c r="T498" s="240"/>
    </row>
    <row r="499">
      <c r="L499" s="239"/>
      <c r="N499" s="239"/>
      <c r="O499" s="239"/>
      <c r="R499" s="239"/>
      <c r="T499" s="240"/>
    </row>
    <row r="500">
      <c r="L500" s="239"/>
      <c r="N500" s="239"/>
      <c r="O500" s="239"/>
      <c r="R500" s="239"/>
      <c r="T500" s="240"/>
    </row>
    <row r="501">
      <c r="L501" s="239"/>
      <c r="N501" s="239"/>
      <c r="O501" s="239"/>
      <c r="R501" s="239"/>
      <c r="T501" s="240"/>
    </row>
    <row r="502">
      <c r="L502" s="239"/>
      <c r="N502" s="239"/>
      <c r="O502" s="239"/>
      <c r="R502" s="239"/>
      <c r="T502" s="240"/>
    </row>
    <row r="503">
      <c r="L503" s="239"/>
      <c r="N503" s="239"/>
      <c r="O503" s="239"/>
      <c r="R503" s="239"/>
      <c r="T503" s="240"/>
    </row>
    <row r="504">
      <c r="L504" s="239"/>
      <c r="N504" s="239"/>
      <c r="O504" s="239"/>
      <c r="R504" s="239"/>
      <c r="T504" s="240"/>
    </row>
    <row r="505">
      <c r="L505" s="239"/>
      <c r="N505" s="239"/>
      <c r="O505" s="239"/>
      <c r="R505" s="239"/>
      <c r="T505" s="240"/>
    </row>
    <row r="506">
      <c r="L506" s="239"/>
      <c r="N506" s="239"/>
      <c r="O506" s="239"/>
      <c r="R506" s="239"/>
      <c r="T506" s="240"/>
    </row>
    <row r="507">
      <c r="L507" s="239"/>
      <c r="N507" s="239"/>
      <c r="O507" s="239"/>
      <c r="R507" s="239"/>
      <c r="T507" s="240"/>
    </row>
    <row r="508">
      <c r="L508" s="239"/>
      <c r="N508" s="239"/>
      <c r="O508" s="239"/>
      <c r="R508" s="239"/>
      <c r="T508" s="240"/>
    </row>
    <row r="509">
      <c r="L509" s="239"/>
      <c r="N509" s="239"/>
      <c r="O509" s="239"/>
      <c r="R509" s="239"/>
      <c r="T509" s="240"/>
    </row>
    <row r="510">
      <c r="L510" s="239"/>
      <c r="N510" s="239"/>
      <c r="O510" s="239"/>
      <c r="R510" s="239"/>
      <c r="T510" s="240"/>
    </row>
    <row r="511">
      <c r="L511" s="239"/>
      <c r="N511" s="239"/>
      <c r="O511" s="239"/>
      <c r="R511" s="239"/>
      <c r="T511" s="240"/>
    </row>
    <row r="512">
      <c r="L512" s="239"/>
      <c r="N512" s="239"/>
      <c r="O512" s="239"/>
      <c r="R512" s="239"/>
      <c r="T512" s="240"/>
    </row>
    <row r="513">
      <c r="L513" s="239"/>
      <c r="N513" s="239"/>
      <c r="O513" s="239"/>
      <c r="R513" s="239"/>
      <c r="T513" s="240"/>
    </row>
    <row r="514">
      <c r="L514" s="239"/>
      <c r="N514" s="239"/>
      <c r="O514" s="239"/>
      <c r="R514" s="239"/>
      <c r="T514" s="240"/>
    </row>
    <row r="515">
      <c r="L515" s="239"/>
      <c r="N515" s="239"/>
      <c r="O515" s="239"/>
      <c r="R515" s="239"/>
      <c r="T515" s="240"/>
    </row>
    <row r="516">
      <c r="L516" s="239"/>
      <c r="N516" s="239"/>
      <c r="O516" s="239"/>
      <c r="R516" s="239"/>
      <c r="T516" s="240"/>
    </row>
    <row r="517">
      <c r="L517" s="239"/>
      <c r="N517" s="239"/>
      <c r="O517" s="239"/>
      <c r="R517" s="239"/>
      <c r="T517" s="240"/>
    </row>
    <row r="518">
      <c r="L518" s="239"/>
      <c r="N518" s="239"/>
      <c r="O518" s="239"/>
      <c r="R518" s="239"/>
      <c r="T518" s="240"/>
    </row>
    <row r="519">
      <c r="L519" s="239"/>
      <c r="N519" s="239"/>
      <c r="O519" s="239"/>
      <c r="R519" s="239"/>
      <c r="T519" s="240"/>
    </row>
    <row r="520">
      <c r="L520" s="239"/>
      <c r="N520" s="239"/>
      <c r="O520" s="239"/>
      <c r="R520" s="239"/>
      <c r="T520" s="240"/>
    </row>
    <row r="521">
      <c r="L521" s="239"/>
      <c r="N521" s="239"/>
      <c r="O521" s="239"/>
      <c r="R521" s="239"/>
      <c r="T521" s="240"/>
    </row>
    <row r="522">
      <c r="L522" s="239"/>
      <c r="N522" s="239"/>
      <c r="O522" s="239"/>
      <c r="R522" s="239"/>
      <c r="T522" s="240"/>
    </row>
    <row r="523">
      <c r="L523" s="239"/>
      <c r="N523" s="239"/>
      <c r="O523" s="239"/>
      <c r="R523" s="239"/>
      <c r="T523" s="240"/>
    </row>
    <row r="524">
      <c r="L524" s="239"/>
      <c r="N524" s="239"/>
      <c r="O524" s="239"/>
      <c r="R524" s="239"/>
      <c r="T524" s="240"/>
    </row>
    <row r="525">
      <c r="L525" s="239"/>
      <c r="N525" s="239"/>
      <c r="O525" s="239"/>
      <c r="R525" s="239"/>
      <c r="T525" s="240"/>
    </row>
    <row r="526">
      <c r="L526" s="239"/>
      <c r="N526" s="239"/>
      <c r="O526" s="239"/>
      <c r="R526" s="239"/>
      <c r="T526" s="240"/>
    </row>
    <row r="527">
      <c r="L527" s="239"/>
      <c r="N527" s="239"/>
      <c r="O527" s="239"/>
      <c r="R527" s="239"/>
      <c r="T527" s="240"/>
    </row>
    <row r="528">
      <c r="L528" s="239"/>
      <c r="N528" s="239"/>
      <c r="O528" s="239"/>
      <c r="R528" s="239"/>
      <c r="T528" s="240"/>
    </row>
    <row r="529">
      <c r="L529" s="239"/>
      <c r="N529" s="239"/>
      <c r="O529" s="239"/>
      <c r="R529" s="239"/>
      <c r="T529" s="240"/>
    </row>
    <row r="530">
      <c r="L530" s="239"/>
      <c r="N530" s="239"/>
      <c r="O530" s="239"/>
      <c r="R530" s="239"/>
      <c r="T530" s="240"/>
    </row>
    <row r="531">
      <c r="L531" s="239"/>
      <c r="N531" s="239"/>
      <c r="O531" s="239"/>
      <c r="R531" s="239"/>
      <c r="T531" s="240"/>
    </row>
    <row r="532">
      <c r="L532" s="239"/>
      <c r="N532" s="239"/>
      <c r="O532" s="239"/>
      <c r="R532" s="239"/>
      <c r="T532" s="240"/>
    </row>
    <row r="533">
      <c r="L533" s="239"/>
      <c r="N533" s="239"/>
      <c r="O533" s="239"/>
      <c r="R533" s="239"/>
      <c r="T533" s="240"/>
    </row>
    <row r="534">
      <c r="L534" s="239"/>
      <c r="N534" s="239"/>
      <c r="O534" s="239"/>
      <c r="R534" s="239"/>
      <c r="T534" s="240"/>
    </row>
    <row r="535">
      <c r="L535" s="239"/>
      <c r="N535" s="239"/>
      <c r="O535" s="239"/>
      <c r="R535" s="239"/>
      <c r="T535" s="240"/>
    </row>
    <row r="536">
      <c r="L536" s="239"/>
      <c r="N536" s="239"/>
      <c r="O536" s="239"/>
      <c r="R536" s="239"/>
      <c r="T536" s="240"/>
    </row>
    <row r="537">
      <c r="L537" s="239"/>
      <c r="N537" s="239"/>
      <c r="O537" s="239"/>
      <c r="R537" s="239"/>
      <c r="T537" s="240"/>
    </row>
    <row r="538">
      <c r="L538" s="239"/>
      <c r="N538" s="239"/>
      <c r="O538" s="239"/>
      <c r="R538" s="239"/>
      <c r="T538" s="240"/>
    </row>
    <row r="539">
      <c r="L539" s="239"/>
      <c r="N539" s="239"/>
      <c r="O539" s="239"/>
      <c r="R539" s="239"/>
      <c r="T539" s="240"/>
    </row>
    <row r="540">
      <c r="L540" s="239"/>
      <c r="N540" s="239"/>
      <c r="O540" s="239"/>
      <c r="R540" s="239"/>
      <c r="T540" s="240"/>
    </row>
    <row r="541">
      <c r="L541" s="239"/>
      <c r="N541" s="239"/>
      <c r="O541" s="239"/>
      <c r="R541" s="239"/>
      <c r="T541" s="240"/>
    </row>
    <row r="542">
      <c r="L542" s="239"/>
      <c r="N542" s="239"/>
      <c r="O542" s="239"/>
      <c r="R542" s="239"/>
      <c r="T542" s="240"/>
    </row>
    <row r="543">
      <c r="L543" s="239"/>
      <c r="N543" s="239"/>
      <c r="O543" s="239"/>
      <c r="R543" s="239"/>
      <c r="T543" s="240"/>
    </row>
    <row r="544">
      <c r="L544" s="239"/>
      <c r="N544" s="239"/>
      <c r="O544" s="239"/>
      <c r="R544" s="239"/>
      <c r="T544" s="240"/>
    </row>
    <row r="545">
      <c r="L545" s="239"/>
      <c r="N545" s="239"/>
      <c r="O545" s="239"/>
      <c r="R545" s="239"/>
      <c r="T545" s="240"/>
    </row>
    <row r="546">
      <c r="L546" s="239"/>
      <c r="N546" s="239"/>
      <c r="O546" s="239"/>
      <c r="R546" s="239"/>
      <c r="T546" s="240"/>
    </row>
    <row r="547">
      <c r="L547" s="239"/>
      <c r="N547" s="239"/>
      <c r="O547" s="239"/>
      <c r="R547" s="239"/>
      <c r="T547" s="240"/>
    </row>
    <row r="548">
      <c r="L548" s="239"/>
      <c r="N548" s="239"/>
      <c r="O548" s="239"/>
      <c r="R548" s="239"/>
      <c r="T548" s="240"/>
    </row>
    <row r="549">
      <c r="L549" s="239"/>
      <c r="N549" s="239"/>
      <c r="O549" s="239"/>
      <c r="R549" s="239"/>
      <c r="T549" s="240"/>
    </row>
    <row r="550">
      <c r="L550" s="239"/>
      <c r="N550" s="239"/>
      <c r="O550" s="239"/>
      <c r="R550" s="239"/>
      <c r="T550" s="240"/>
    </row>
    <row r="551">
      <c r="L551" s="239"/>
      <c r="N551" s="239"/>
      <c r="O551" s="239"/>
      <c r="R551" s="239"/>
      <c r="T551" s="240"/>
    </row>
    <row r="552">
      <c r="L552" s="239"/>
      <c r="N552" s="239"/>
      <c r="O552" s="239"/>
      <c r="R552" s="239"/>
      <c r="T552" s="240"/>
    </row>
    <row r="553">
      <c r="L553" s="239"/>
      <c r="N553" s="239"/>
      <c r="O553" s="239"/>
      <c r="R553" s="239"/>
      <c r="T553" s="240"/>
    </row>
    <row r="554">
      <c r="L554" s="239"/>
      <c r="N554" s="239"/>
      <c r="O554" s="239"/>
      <c r="R554" s="239"/>
      <c r="T554" s="240"/>
    </row>
    <row r="555">
      <c r="L555" s="239"/>
      <c r="N555" s="239"/>
      <c r="O555" s="239"/>
      <c r="R555" s="239"/>
      <c r="T555" s="240"/>
    </row>
    <row r="556">
      <c r="L556" s="239"/>
      <c r="N556" s="239"/>
      <c r="O556" s="239"/>
      <c r="R556" s="239"/>
      <c r="T556" s="240"/>
    </row>
    <row r="557">
      <c r="L557" s="239"/>
      <c r="N557" s="239"/>
      <c r="O557" s="239"/>
      <c r="R557" s="239"/>
      <c r="T557" s="240"/>
    </row>
    <row r="558">
      <c r="L558" s="239"/>
      <c r="N558" s="239"/>
      <c r="O558" s="239"/>
      <c r="R558" s="239"/>
      <c r="T558" s="240"/>
    </row>
    <row r="559">
      <c r="L559" s="239"/>
      <c r="N559" s="239"/>
      <c r="O559" s="239"/>
      <c r="R559" s="239"/>
      <c r="T559" s="240"/>
    </row>
    <row r="560">
      <c r="L560" s="239"/>
      <c r="N560" s="239"/>
      <c r="O560" s="239"/>
      <c r="R560" s="239"/>
      <c r="T560" s="240"/>
    </row>
    <row r="561">
      <c r="L561" s="239"/>
      <c r="N561" s="239"/>
      <c r="O561" s="239"/>
      <c r="R561" s="239"/>
      <c r="T561" s="240"/>
    </row>
    <row r="562">
      <c r="L562" s="239"/>
      <c r="N562" s="239"/>
      <c r="O562" s="239"/>
      <c r="R562" s="239"/>
      <c r="T562" s="240"/>
    </row>
    <row r="563">
      <c r="L563" s="239"/>
      <c r="N563" s="239"/>
      <c r="O563" s="239"/>
      <c r="R563" s="239"/>
      <c r="T563" s="240"/>
    </row>
    <row r="564">
      <c r="L564" s="239"/>
      <c r="N564" s="239"/>
      <c r="O564" s="239"/>
      <c r="R564" s="239"/>
      <c r="T564" s="240"/>
    </row>
    <row r="565">
      <c r="L565" s="239"/>
      <c r="N565" s="239"/>
      <c r="O565" s="239"/>
      <c r="R565" s="239"/>
      <c r="T565" s="240"/>
    </row>
    <row r="566">
      <c r="L566" s="239"/>
      <c r="N566" s="239"/>
      <c r="O566" s="239"/>
      <c r="R566" s="239"/>
      <c r="T566" s="240"/>
    </row>
    <row r="567">
      <c r="L567" s="239"/>
      <c r="N567" s="239"/>
      <c r="O567" s="239"/>
      <c r="R567" s="239"/>
      <c r="T567" s="240"/>
    </row>
    <row r="568">
      <c r="L568" s="239"/>
      <c r="N568" s="239"/>
      <c r="O568" s="239"/>
      <c r="R568" s="239"/>
      <c r="T568" s="240"/>
    </row>
    <row r="569">
      <c r="L569" s="239"/>
      <c r="N569" s="239"/>
      <c r="O569" s="239"/>
      <c r="R569" s="239"/>
      <c r="T569" s="240"/>
    </row>
    <row r="570">
      <c r="L570" s="239"/>
      <c r="N570" s="239"/>
      <c r="O570" s="239"/>
      <c r="R570" s="239"/>
      <c r="T570" s="240"/>
    </row>
    <row r="571">
      <c r="L571" s="239"/>
      <c r="N571" s="239"/>
      <c r="O571" s="239"/>
      <c r="R571" s="239"/>
      <c r="T571" s="240"/>
    </row>
    <row r="572">
      <c r="L572" s="239"/>
      <c r="N572" s="239"/>
      <c r="O572" s="239"/>
      <c r="R572" s="239"/>
      <c r="T572" s="240"/>
    </row>
    <row r="573">
      <c r="L573" s="239"/>
      <c r="N573" s="239"/>
      <c r="O573" s="239"/>
      <c r="R573" s="239"/>
      <c r="T573" s="240"/>
    </row>
    <row r="574">
      <c r="L574" s="239"/>
      <c r="N574" s="239"/>
      <c r="O574" s="239"/>
      <c r="R574" s="239"/>
      <c r="T574" s="240"/>
    </row>
    <row r="575">
      <c r="L575" s="239"/>
      <c r="N575" s="239"/>
      <c r="O575" s="239"/>
      <c r="R575" s="239"/>
      <c r="T575" s="240"/>
    </row>
    <row r="576">
      <c r="L576" s="239"/>
      <c r="N576" s="239"/>
      <c r="O576" s="239"/>
      <c r="R576" s="239"/>
      <c r="T576" s="240"/>
    </row>
    <row r="577">
      <c r="L577" s="239"/>
      <c r="N577" s="239"/>
      <c r="O577" s="239"/>
      <c r="R577" s="239"/>
      <c r="T577" s="240"/>
    </row>
    <row r="578">
      <c r="L578" s="239"/>
      <c r="N578" s="239"/>
      <c r="O578" s="239"/>
      <c r="R578" s="239"/>
      <c r="T578" s="240"/>
    </row>
    <row r="579">
      <c r="L579" s="239"/>
      <c r="N579" s="239"/>
      <c r="O579" s="239"/>
      <c r="R579" s="239"/>
      <c r="T579" s="240"/>
    </row>
    <row r="580">
      <c r="L580" s="239"/>
      <c r="N580" s="239"/>
      <c r="O580" s="239"/>
      <c r="R580" s="239"/>
      <c r="T580" s="240"/>
    </row>
    <row r="581">
      <c r="L581" s="239"/>
      <c r="N581" s="239"/>
      <c r="O581" s="239"/>
      <c r="R581" s="239"/>
      <c r="T581" s="240"/>
    </row>
    <row r="582">
      <c r="L582" s="239"/>
      <c r="N582" s="239"/>
      <c r="O582" s="239"/>
      <c r="R582" s="239"/>
      <c r="T582" s="240"/>
    </row>
    <row r="583">
      <c r="L583" s="239"/>
      <c r="N583" s="239"/>
      <c r="O583" s="239"/>
      <c r="R583" s="239"/>
      <c r="T583" s="240"/>
    </row>
    <row r="584">
      <c r="L584" s="239"/>
      <c r="N584" s="239"/>
      <c r="O584" s="239"/>
      <c r="R584" s="239"/>
      <c r="T584" s="240"/>
    </row>
    <row r="585">
      <c r="L585" s="239"/>
      <c r="N585" s="239"/>
      <c r="O585" s="239"/>
      <c r="R585" s="239"/>
      <c r="T585" s="240"/>
    </row>
    <row r="586">
      <c r="L586" s="239"/>
      <c r="N586" s="239"/>
      <c r="O586" s="239"/>
      <c r="R586" s="239"/>
      <c r="T586" s="240"/>
    </row>
    <row r="587">
      <c r="L587" s="239"/>
      <c r="N587" s="239"/>
      <c r="O587" s="239"/>
      <c r="R587" s="239"/>
      <c r="T587" s="240"/>
    </row>
    <row r="588">
      <c r="L588" s="239"/>
      <c r="N588" s="239"/>
      <c r="O588" s="239"/>
      <c r="R588" s="239"/>
      <c r="T588" s="240"/>
    </row>
    <row r="589">
      <c r="L589" s="239"/>
      <c r="N589" s="239"/>
      <c r="O589" s="239"/>
      <c r="R589" s="239"/>
      <c r="T589" s="240"/>
    </row>
    <row r="590">
      <c r="L590" s="239"/>
      <c r="N590" s="239"/>
      <c r="O590" s="239"/>
      <c r="R590" s="239"/>
      <c r="T590" s="240"/>
    </row>
    <row r="591">
      <c r="L591" s="239"/>
      <c r="N591" s="239"/>
      <c r="O591" s="239"/>
      <c r="R591" s="239"/>
      <c r="T591" s="240"/>
    </row>
    <row r="592">
      <c r="L592" s="239"/>
      <c r="N592" s="239"/>
      <c r="O592" s="239"/>
      <c r="R592" s="239"/>
      <c r="T592" s="240"/>
    </row>
    <row r="593">
      <c r="L593" s="239"/>
      <c r="N593" s="239"/>
      <c r="O593" s="239"/>
      <c r="R593" s="239"/>
      <c r="T593" s="240"/>
    </row>
    <row r="594">
      <c r="L594" s="239"/>
      <c r="N594" s="239"/>
      <c r="O594" s="239"/>
      <c r="R594" s="239"/>
      <c r="T594" s="240"/>
    </row>
    <row r="595">
      <c r="L595" s="239"/>
      <c r="N595" s="239"/>
      <c r="O595" s="239"/>
      <c r="R595" s="239"/>
      <c r="T595" s="240"/>
    </row>
    <row r="596">
      <c r="L596" s="239"/>
      <c r="N596" s="239"/>
      <c r="O596" s="239"/>
      <c r="R596" s="239"/>
      <c r="T596" s="240"/>
    </row>
    <row r="597">
      <c r="L597" s="239"/>
      <c r="N597" s="239"/>
      <c r="O597" s="239"/>
      <c r="R597" s="239"/>
      <c r="T597" s="240"/>
    </row>
    <row r="598">
      <c r="L598" s="239"/>
      <c r="N598" s="239"/>
      <c r="O598" s="239"/>
      <c r="R598" s="239"/>
      <c r="T598" s="240"/>
    </row>
    <row r="599">
      <c r="L599" s="239"/>
      <c r="N599" s="239"/>
      <c r="O599" s="239"/>
      <c r="R599" s="239"/>
      <c r="T599" s="240"/>
    </row>
    <row r="600">
      <c r="L600" s="239"/>
      <c r="N600" s="239"/>
      <c r="O600" s="239"/>
      <c r="R600" s="239"/>
      <c r="T600" s="240"/>
    </row>
    <row r="601">
      <c r="L601" s="239"/>
      <c r="N601" s="239"/>
      <c r="O601" s="239"/>
      <c r="R601" s="239"/>
      <c r="T601" s="240"/>
    </row>
    <row r="602">
      <c r="L602" s="239"/>
      <c r="N602" s="239"/>
      <c r="O602" s="239"/>
      <c r="R602" s="239"/>
      <c r="T602" s="240"/>
    </row>
    <row r="603">
      <c r="L603" s="239"/>
      <c r="N603" s="239"/>
      <c r="O603" s="239"/>
      <c r="R603" s="239"/>
      <c r="T603" s="240"/>
    </row>
    <row r="604">
      <c r="L604" s="239"/>
      <c r="N604" s="239"/>
      <c r="O604" s="239"/>
      <c r="R604" s="239"/>
      <c r="T604" s="240"/>
    </row>
    <row r="605">
      <c r="L605" s="239"/>
      <c r="N605" s="239"/>
      <c r="O605" s="239"/>
      <c r="R605" s="239"/>
      <c r="T605" s="240"/>
    </row>
    <row r="606">
      <c r="L606" s="239"/>
      <c r="N606" s="239"/>
      <c r="O606" s="239"/>
      <c r="R606" s="239"/>
      <c r="T606" s="240"/>
    </row>
    <row r="607">
      <c r="L607" s="239"/>
      <c r="N607" s="239"/>
      <c r="O607" s="239"/>
      <c r="R607" s="239"/>
      <c r="T607" s="240"/>
    </row>
    <row r="608">
      <c r="L608" s="239"/>
      <c r="N608" s="239"/>
      <c r="O608" s="239"/>
      <c r="R608" s="239"/>
      <c r="T608" s="240"/>
    </row>
    <row r="609">
      <c r="L609" s="239"/>
      <c r="N609" s="239"/>
      <c r="O609" s="239"/>
      <c r="R609" s="239"/>
      <c r="T609" s="240"/>
    </row>
    <row r="610">
      <c r="L610" s="239"/>
      <c r="N610" s="239"/>
      <c r="O610" s="239"/>
      <c r="R610" s="239"/>
      <c r="T610" s="240"/>
    </row>
    <row r="611">
      <c r="L611" s="239"/>
      <c r="N611" s="239"/>
      <c r="O611" s="239"/>
      <c r="R611" s="239"/>
      <c r="T611" s="240"/>
    </row>
    <row r="612">
      <c r="L612" s="239"/>
      <c r="N612" s="239"/>
      <c r="O612" s="239"/>
      <c r="R612" s="239"/>
      <c r="T612" s="240"/>
    </row>
    <row r="613">
      <c r="L613" s="239"/>
      <c r="N613" s="239"/>
      <c r="O613" s="239"/>
      <c r="R613" s="239"/>
      <c r="T613" s="240"/>
    </row>
    <row r="614">
      <c r="L614" s="239"/>
      <c r="N614" s="239"/>
      <c r="O614" s="239"/>
      <c r="R614" s="239"/>
      <c r="T614" s="240"/>
    </row>
    <row r="615">
      <c r="L615" s="239"/>
      <c r="N615" s="239"/>
      <c r="O615" s="239"/>
      <c r="R615" s="239"/>
      <c r="T615" s="240"/>
    </row>
    <row r="616">
      <c r="L616" s="239"/>
      <c r="N616" s="239"/>
      <c r="O616" s="239"/>
      <c r="R616" s="239"/>
      <c r="T616" s="240"/>
    </row>
    <row r="617">
      <c r="L617" s="239"/>
      <c r="N617" s="239"/>
      <c r="O617" s="239"/>
      <c r="R617" s="239"/>
      <c r="T617" s="240"/>
    </row>
    <row r="618">
      <c r="L618" s="239"/>
      <c r="N618" s="239"/>
      <c r="O618" s="239"/>
      <c r="R618" s="239"/>
      <c r="T618" s="240"/>
    </row>
    <row r="619">
      <c r="L619" s="239"/>
      <c r="N619" s="239"/>
      <c r="O619" s="239"/>
      <c r="R619" s="239"/>
      <c r="T619" s="240"/>
    </row>
    <row r="620">
      <c r="L620" s="239"/>
      <c r="N620" s="239"/>
      <c r="O620" s="239"/>
      <c r="R620" s="239"/>
      <c r="T620" s="240"/>
    </row>
    <row r="621">
      <c r="L621" s="239"/>
      <c r="N621" s="239"/>
      <c r="O621" s="239"/>
      <c r="R621" s="239"/>
      <c r="T621" s="240"/>
    </row>
    <row r="622">
      <c r="L622" s="239"/>
      <c r="N622" s="239"/>
      <c r="O622" s="239"/>
      <c r="R622" s="239"/>
      <c r="T622" s="240"/>
    </row>
    <row r="623">
      <c r="L623" s="239"/>
      <c r="N623" s="239"/>
      <c r="O623" s="239"/>
      <c r="R623" s="239"/>
      <c r="T623" s="240"/>
    </row>
    <row r="624">
      <c r="L624" s="239"/>
      <c r="N624" s="239"/>
      <c r="O624" s="239"/>
      <c r="R624" s="239"/>
      <c r="T624" s="240"/>
    </row>
    <row r="625">
      <c r="L625" s="239"/>
      <c r="N625" s="239"/>
      <c r="O625" s="239"/>
      <c r="R625" s="239"/>
      <c r="T625" s="240"/>
    </row>
    <row r="626">
      <c r="L626" s="239"/>
      <c r="N626" s="239"/>
      <c r="O626" s="239"/>
      <c r="R626" s="239"/>
      <c r="T626" s="240"/>
    </row>
    <row r="627">
      <c r="L627" s="239"/>
      <c r="N627" s="239"/>
      <c r="O627" s="239"/>
      <c r="R627" s="239"/>
      <c r="T627" s="240"/>
    </row>
    <row r="628">
      <c r="L628" s="239"/>
      <c r="N628" s="239"/>
      <c r="O628" s="239"/>
      <c r="R628" s="239"/>
      <c r="T628" s="240"/>
    </row>
    <row r="629">
      <c r="L629" s="239"/>
      <c r="N629" s="239"/>
      <c r="O629" s="239"/>
      <c r="R629" s="239"/>
      <c r="T629" s="240"/>
    </row>
    <row r="630">
      <c r="L630" s="239"/>
      <c r="N630" s="239"/>
      <c r="O630" s="239"/>
      <c r="R630" s="239"/>
      <c r="T630" s="240"/>
    </row>
    <row r="631">
      <c r="L631" s="239"/>
      <c r="N631" s="239"/>
      <c r="O631" s="239"/>
      <c r="R631" s="239"/>
      <c r="T631" s="240"/>
    </row>
    <row r="632">
      <c r="L632" s="239"/>
      <c r="N632" s="239"/>
      <c r="O632" s="239"/>
      <c r="R632" s="239"/>
      <c r="T632" s="240"/>
    </row>
    <row r="633">
      <c r="L633" s="239"/>
      <c r="N633" s="239"/>
      <c r="O633" s="239"/>
      <c r="R633" s="239"/>
      <c r="T633" s="240"/>
    </row>
    <row r="634">
      <c r="L634" s="239"/>
      <c r="N634" s="239"/>
      <c r="O634" s="239"/>
      <c r="R634" s="239"/>
      <c r="T634" s="240"/>
    </row>
    <row r="635">
      <c r="L635" s="239"/>
      <c r="N635" s="239"/>
      <c r="O635" s="239"/>
      <c r="R635" s="239"/>
      <c r="T635" s="240"/>
    </row>
    <row r="636">
      <c r="L636" s="239"/>
      <c r="N636" s="239"/>
      <c r="O636" s="239"/>
      <c r="R636" s="239"/>
      <c r="T636" s="240"/>
    </row>
    <row r="637">
      <c r="L637" s="239"/>
      <c r="N637" s="239"/>
      <c r="O637" s="239"/>
      <c r="R637" s="239"/>
      <c r="T637" s="240"/>
    </row>
    <row r="638">
      <c r="L638" s="239"/>
      <c r="N638" s="239"/>
      <c r="O638" s="239"/>
      <c r="R638" s="239"/>
      <c r="T638" s="240"/>
    </row>
    <row r="639">
      <c r="L639" s="239"/>
      <c r="N639" s="239"/>
      <c r="O639" s="239"/>
      <c r="R639" s="239"/>
      <c r="T639" s="240"/>
    </row>
    <row r="640">
      <c r="L640" s="239"/>
      <c r="N640" s="239"/>
      <c r="O640" s="239"/>
      <c r="R640" s="239"/>
      <c r="T640" s="240"/>
    </row>
    <row r="641">
      <c r="L641" s="239"/>
      <c r="N641" s="239"/>
      <c r="O641" s="239"/>
      <c r="R641" s="239"/>
      <c r="T641" s="240"/>
    </row>
    <row r="642">
      <c r="L642" s="239"/>
      <c r="N642" s="239"/>
      <c r="O642" s="239"/>
      <c r="R642" s="239"/>
      <c r="T642" s="240"/>
    </row>
    <row r="643">
      <c r="L643" s="239"/>
      <c r="N643" s="239"/>
      <c r="O643" s="239"/>
      <c r="R643" s="239"/>
      <c r="T643" s="240"/>
    </row>
    <row r="644">
      <c r="L644" s="239"/>
      <c r="N644" s="239"/>
      <c r="O644" s="239"/>
      <c r="R644" s="239"/>
      <c r="T644" s="240"/>
    </row>
    <row r="645">
      <c r="L645" s="239"/>
      <c r="N645" s="239"/>
      <c r="O645" s="239"/>
      <c r="R645" s="239"/>
      <c r="T645" s="240"/>
    </row>
    <row r="646">
      <c r="L646" s="239"/>
      <c r="N646" s="239"/>
      <c r="O646" s="239"/>
      <c r="R646" s="239"/>
      <c r="T646" s="240"/>
    </row>
    <row r="647">
      <c r="L647" s="239"/>
      <c r="N647" s="239"/>
      <c r="O647" s="239"/>
      <c r="R647" s="239"/>
      <c r="T647" s="240"/>
    </row>
    <row r="648">
      <c r="L648" s="239"/>
      <c r="N648" s="239"/>
      <c r="O648" s="239"/>
      <c r="R648" s="239"/>
      <c r="T648" s="240"/>
    </row>
    <row r="649">
      <c r="L649" s="239"/>
      <c r="N649" s="239"/>
      <c r="O649" s="239"/>
      <c r="R649" s="239"/>
      <c r="T649" s="240"/>
    </row>
    <row r="650">
      <c r="L650" s="239"/>
      <c r="N650" s="239"/>
      <c r="O650" s="239"/>
      <c r="R650" s="239"/>
      <c r="T650" s="240"/>
    </row>
    <row r="651">
      <c r="L651" s="239"/>
      <c r="N651" s="239"/>
      <c r="O651" s="239"/>
      <c r="R651" s="239"/>
      <c r="T651" s="240"/>
    </row>
    <row r="652">
      <c r="L652" s="239"/>
      <c r="N652" s="239"/>
      <c r="O652" s="239"/>
      <c r="R652" s="239"/>
      <c r="T652" s="240"/>
    </row>
    <row r="653">
      <c r="L653" s="239"/>
      <c r="N653" s="239"/>
      <c r="O653" s="239"/>
      <c r="R653" s="239"/>
      <c r="T653" s="240"/>
    </row>
    <row r="654">
      <c r="L654" s="239"/>
      <c r="N654" s="239"/>
      <c r="O654" s="239"/>
      <c r="R654" s="239"/>
      <c r="T654" s="240"/>
    </row>
    <row r="655">
      <c r="L655" s="239"/>
      <c r="N655" s="239"/>
      <c r="O655" s="239"/>
      <c r="R655" s="239"/>
      <c r="T655" s="240"/>
    </row>
    <row r="656">
      <c r="L656" s="239"/>
      <c r="N656" s="239"/>
      <c r="O656" s="239"/>
      <c r="R656" s="239"/>
      <c r="T656" s="240"/>
    </row>
    <row r="657">
      <c r="L657" s="239"/>
      <c r="N657" s="239"/>
      <c r="O657" s="239"/>
      <c r="R657" s="239"/>
      <c r="T657" s="240"/>
    </row>
    <row r="658">
      <c r="L658" s="239"/>
      <c r="N658" s="239"/>
      <c r="O658" s="239"/>
      <c r="R658" s="239"/>
      <c r="T658" s="240"/>
    </row>
    <row r="659">
      <c r="L659" s="239"/>
      <c r="N659" s="239"/>
      <c r="O659" s="239"/>
      <c r="R659" s="239"/>
      <c r="T659" s="240"/>
    </row>
    <row r="660">
      <c r="L660" s="239"/>
      <c r="N660" s="239"/>
      <c r="O660" s="239"/>
      <c r="R660" s="239"/>
      <c r="T660" s="240"/>
    </row>
    <row r="661">
      <c r="L661" s="239"/>
      <c r="N661" s="239"/>
      <c r="O661" s="239"/>
      <c r="R661" s="239"/>
      <c r="T661" s="240"/>
    </row>
    <row r="662">
      <c r="L662" s="239"/>
      <c r="N662" s="239"/>
      <c r="O662" s="239"/>
      <c r="R662" s="239"/>
      <c r="T662" s="240"/>
    </row>
    <row r="663">
      <c r="L663" s="239"/>
      <c r="N663" s="239"/>
      <c r="O663" s="239"/>
      <c r="R663" s="239"/>
      <c r="T663" s="240"/>
    </row>
    <row r="664">
      <c r="L664" s="239"/>
      <c r="N664" s="239"/>
      <c r="O664" s="239"/>
      <c r="R664" s="239"/>
      <c r="T664" s="240"/>
    </row>
    <row r="665">
      <c r="L665" s="239"/>
      <c r="N665" s="239"/>
      <c r="O665" s="239"/>
      <c r="R665" s="239"/>
      <c r="T665" s="240"/>
    </row>
    <row r="666">
      <c r="L666" s="239"/>
      <c r="N666" s="239"/>
      <c r="O666" s="239"/>
      <c r="R666" s="239"/>
      <c r="T666" s="240"/>
    </row>
    <row r="667">
      <c r="L667" s="239"/>
      <c r="N667" s="239"/>
      <c r="O667" s="239"/>
      <c r="R667" s="239"/>
      <c r="T667" s="240"/>
    </row>
    <row r="668">
      <c r="L668" s="239"/>
      <c r="N668" s="239"/>
      <c r="O668" s="239"/>
      <c r="R668" s="239"/>
      <c r="T668" s="240"/>
    </row>
    <row r="669">
      <c r="L669" s="239"/>
      <c r="N669" s="239"/>
      <c r="O669" s="239"/>
      <c r="R669" s="239"/>
      <c r="T669" s="240"/>
    </row>
    <row r="670">
      <c r="L670" s="239"/>
      <c r="N670" s="239"/>
      <c r="O670" s="239"/>
      <c r="R670" s="239"/>
      <c r="T670" s="240"/>
    </row>
    <row r="671">
      <c r="L671" s="239"/>
      <c r="N671" s="239"/>
      <c r="O671" s="239"/>
      <c r="R671" s="239"/>
      <c r="T671" s="240"/>
    </row>
    <row r="672">
      <c r="L672" s="239"/>
      <c r="N672" s="239"/>
      <c r="O672" s="239"/>
      <c r="R672" s="239"/>
      <c r="T672" s="240"/>
    </row>
    <row r="673">
      <c r="L673" s="239"/>
      <c r="N673" s="239"/>
      <c r="O673" s="239"/>
      <c r="R673" s="239"/>
      <c r="T673" s="240"/>
    </row>
    <row r="674">
      <c r="L674" s="239"/>
      <c r="N674" s="239"/>
      <c r="O674" s="239"/>
      <c r="R674" s="239"/>
      <c r="T674" s="240"/>
    </row>
    <row r="675">
      <c r="L675" s="239"/>
      <c r="N675" s="239"/>
      <c r="O675" s="239"/>
      <c r="R675" s="239"/>
      <c r="T675" s="240"/>
    </row>
    <row r="676">
      <c r="L676" s="239"/>
      <c r="N676" s="239"/>
      <c r="O676" s="239"/>
      <c r="R676" s="239"/>
      <c r="T676" s="240"/>
    </row>
    <row r="677">
      <c r="L677" s="239"/>
      <c r="N677" s="239"/>
      <c r="O677" s="239"/>
      <c r="R677" s="239"/>
      <c r="T677" s="240"/>
    </row>
    <row r="678">
      <c r="L678" s="239"/>
      <c r="N678" s="239"/>
      <c r="O678" s="239"/>
      <c r="R678" s="239"/>
      <c r="T678" s="240"/>
    </row>
    <row r="679">
      <c r="L679" s="239"/>
      <c r="N679" s="239"/>
      <c r="O679" s="239"/>
      <c r="R679" s="239"/>
      <c r="T679" s="240"/>
    </row>
    <row r="680">
      <c r="L680" s="239"/>
      <c r="N680" s="239"/>
      <c r="O680" s="239"/>
      <c r="R680" s="239"/>
      <c r="T680" s="240"/>
    </row>
    <row r="681">
      <c r="L681" s="239"/>
      <c r="N681" s="239"/>
      <c r="O681" s="239"/>
      <c r="R681" s="239"/>
      <c r="T681" s="240"/>
    </row>
    <row r="682">
      <c r="L682" s="239"/>
      <c r="N682" s="239"/>
      <c r="O682" s="239"/>
      <c r="R682" s="239"/>
      <c r="T682" s="240"/>
    </row>
    <row r="683">
      <c r="L683" s="239"/>
      <c r="N683" s="239"/>
      <c r="O683" s="239"/>
      <c r="R683" s="239"/>
      <c r="T683" s="240"/>
    </row>
    <row r="684">
      <c r="L684" s="239"/>
      <c r="N684" s="239"/>
      <c r="O684" s="239"/>
      <c r="R684" s="239"/>
      <c r="T684" s="240"/>
    </row>
    <row r="685">
      <c r="L685" s="239"/>
      <c r="N685" s="239"/>
      <c r="O685" s="239"/>
      <c r="R685" s="239"/>
      <c r="T685" s="240"/>
    </row>
    <row r="686">
      <c r="L686" s="239"/>
      <c r="N686" s="239"/>
      <c r="O686" s="239"/>
      <c r="R686" s="239"/>
      <c r="T686" s="240"/>
    </row>
    <row r="687">
      <c r="L687" s="239"/>
      <c r="N687" s="239"/>
      <c r="O687" s="239"/>
      <c r="R687" s="239"/>
      <c r="T687" s="240"/>
    </row>
    <row r="688">
      <c r="L688" s="239"/>
      <c r="N688" s="239"/>
      <c r="O688" s="239"/>
      <c r="R688" s="239"/>
      <c r="T688" s="240"/>
    </row>
    <row r="689">
      <c r="L689" s="239"/>
      <c r="N689" s="239"/>
      <c r="O689" s="239"/>
      <c r="R689" s="239"/>
      <c r="T689" s="240"/>
    </row>
    <row r="690">
      <c r="L690" s="239"/>
      <c r="N690" s="239"/>
      <c r="O690" s="239"/>
      <c r="R690" s="239"/>
      <c r="T690" s="240"/>
    </row>
    <row r="691">
      <c r="L691" s="239"/>
      <c r="N691" s="239"/>
      <c r="O691" s="239"/>
      <c r="R691" s="239"/>
      <c r="T691" s="240"/>
    </row>
    <row r="692">
      <c r="L692" s="239"/>
      <c r="N692" s="239"/>
      <c r="O692" s="239"/>
      <c r="R692" s="239"/>
      <c r="T692" s="240"/>
    </row>
    <row r="693">
      <c r="L693" s="239"/>
      <c r="N693" s="239"/>
      <c r="O693" s="239"/>
      <c r="R693" s="239"/>
      <c r="T693" s="240"/>
    </row>
    <row r="694">
      <c r="L694" s="239"/>
      <c r="N694" s="239"/>
      <c r="O694" s="239"/>
      <c r="R694" s="239"/>
      <c r="T694" s="240"/>
    </row>
    <row r="695">
      <c r="L695" s="239"/>
      <c r="N695" s="239"/>
      <c r="O695" s="239"/>
      <c r="R695" s="239"/>
      <c r="T695" s="240"/>
    </row>
    <row r="696">
      <c r="L696" s="239"/>
      <c r="N696" s="239"/>
      <c r="O696" s="239"/>
      <c r="R696" s="239"/>
      <c r="T696" s="240"/>
    </row>
    <row r="697">
      <c r="L697" s="239"/>
      <c r="N697" s="239"/>
      <c r="O697" s="239"/>
      <c r="R697" s="239"/>
      <c r="T697" s="240"/>
    </row>
    <row r="698">
      <c r="L698" s="239"/>
      <c r="N698" s="239"/>
      <c r="O698" s="239"/>
      <c r="R698" s="239"/>
      <c r="T698" s="240"/>
    </row>
    <row r="699">
      <c r="L699" s="239"/>
      <c r="N699" s="239"/>
      <c r="O699" s="239"/>
      <c r="R699" s="239"/>
      <c r="T699" s="240"/>
    </row>
    <row r="700">
      <c r="L700" s="239"/>
      <c r="N700" s="239"/>
      <c r="O700" s="239"/>
      <c r="R700" s="239"/>
      <c r="T700" s="240"/>
    </row>
    <row r="701">
      <c r="L701" s="239"/>
      <c r="N701" s="239"/>
      <c r="O701" s="239"/>
      <c r="R701" s="239"/>
      <c r="T701" s="240"/>
    </row>
    <row r="702">
      <c r="L702" s="239"/>
      <c r="N702" s="239"/>
      <c r="O702" s="239"/>
      <c r="R702" s="239"/>
      <c r="T702" s="240"/>
    </row>
    <row r="703">
      <c r="L703" s="239"/>
      <c r="N703" s="239"/>
      <c r="O703" s="239"/>
      <c r="R703" s="239"/>
      <c r="T703" s="240"/>
    </row>
    <row r="704">
      <c r="L704" s="239"/>
      <c r="N704" s="239"/>
      <c r="O704" s="239"/>
      <c r="R704" s="239"/>
      <c r="T704" s="240"/>
    </row>
    <row r="705">
      <c r="L705" s="239"/>
      <c r="N705" s="239"/>
      <c r="O705" s="239"/>
      <c r="R705" s="239"/>
      <c r="T705" s="240"/>
    </row>
    <row r="706">
      <c r="L706" s="239"/>
      <c r="N706" s="239"/>
      <c r="O706" s="239"/>
      <c r="R706" s="239"/>
      <c r="T706" s="240"/>
    </row>
    <row r="707">
      <c r="L707" s="239"/>
      <c r="N707" s="239"/>
      <c r="O707" s="239"/>
      <c r="R707" s="239"/>
      <c r="T707" s="240"/>
    </row>
    <row r="708">
      <c r="L708" s="239"/>
      <c r="N708" s="239"/>
      <c r="O708" s="239"/>
      <c r="R708" s="239"/>
      <c r="T708" s="240"/>
    </row>
    <row r="709">
      <c r="L709" s="239"/>
      <c r="N709" s="239"/>
      <c r="O709" s="239"/>
      <c r="R709" s="239"/>
      <c r="T709" s="240"/>
    </row>
    <row r="710">
      <c r="L710" s="239"/>
      <c r="N710" s="239"/>
      <c r="O710" s="239"/>
      <c r="R710" s="239"/>
      <c r="T710" s="240"/>
    </row>
    <row r="711">
      <c r="L711" s="239"/>
      <c r="N711" s="239"/>
      <c r="O711" s="239"/>
      <c r="R711" s="239"/>
      <c r="T711" s="240"/>
    </row>
    <row r="712">
      <c r="L712" s="239"/>
      <c r="N712" s="239"/>
      <c r="O712" s="239"/>
      <c r="R712" s="239"/>
      <c r="T712" s="240"/>
    </row>
    <row r="713">
      <c r="L713" s="239"/>
      <c r="N713" s="239"/>
      <c r="O713" s="239"/>
      <c r="R713" s="239"/>
      <c r="T713" s="240"/>
    </row>
    <row r="714">
      <c r="L714" s="239"/>
      <c r="N714" s="239"/>
      <c r="O714" s="239"/>
      <c r="R714" s="239"/>
      <c r="T714" s="240"/>
    </row>
    <row r="715">
      <c r="L715" s="239"/>
      <c r="N715" s="239"/>
      <c r="O715" s="239"/>
      <c r="R715" s="239"/>
      <c r="T715" s="240"/>
    </row>
    <row r="716">
      <c r="L716" s="239"/>
      <c r="N716" s="239"/>
      <c r="O716" s="239"/>
      <c r="R716" s="239"/>
      <c r="T716" s="240"/>
    </row>
    <row r="717">
      <c r="L717" s="239"/>
      <c r="N717" s="239"/>
      <c r="O717" s="239"/>
      <c r="R717" s="239"/>
      <c r="T717" s="240"/>
    </row>
    <row r="718">
      <c r="L718" s="239"/>
      <c r="N718" s="239"/>
      <c r="O718" s="239"/>
      <c r="R718" s="239"/>
      <c r="T718" s="240"/>
    </row>
    <row r="719">
      <c r="L719" s="239"/>
      <c r="N719" s="239"/>
      <c r="O719" s="239"/>
      <c r="R719" s="239"/>
      <c r="T719" s="240"/>
    </row>
    <row r="720">
      <c r="L720" s="239"/>
      <c r="N720" s="239"/>
      <c r="O720" s="239"/>
      <c r="R720" s="239"/>
      <c r="T720" s="240"/>
    </row>
    <row r="721">
      <c r="L721" s="239"/>
      <c r="N721" s="239"/>
      <c r="O721" s="239"/>
      <c r="R721" s="239"/>
      <c r="T721" s="240"/>
    </row>
    <row r="722">
      <c r="L722" s="239"/>
      <c r="N722" s="239"/>
      <c r="O722" s="239"/>
      <c r="R722" s="239"/>
      <c r="T722" s="240"/>
    </row>
    <row r="723">
      <c r="L723" s="239"/>
      <c r="N723" s="239"/>
      <c r="O723" s="239"/>
      <c r="R723" s="239"/>
      <c r="T723" s="240"/>
    </row>
    <row r="724">
      <c r="L724" s="239"/>
      <c r="N724" s="239"/>
      <c r="O724" s="239"/>
      <c r="R724" s="239"/>
      <c r="T724" s="240"/>
    </row>
    <row r="725">
      <c r="L725" s="239"/>
      <c r="N725" s="239"/>
      <c r="O725" s="239"/>
      <c r="R725" s="239"/>
      <c r="T725" s="240"/>
    </row>
    <row r="726">
      <c r="L726" s="239"/>
      <c r="N726" s="239"/>
      <c r="O726" s="239"/>
      <c r="R726" s="239"/>
      <c r="T726" s="240"/>
    </row>
    <row r="727">
      <c r="L727" s="239"/>
      <c r="N727" s="239"/>
      <c r="O727" s="239"/>
      <c r="R727" s="239"/>
      <c r="T727" s="240"/>
    </row>
    <row r="728">
      <c r="L728" s="239"/>
      <c r="N728" s="239"/>
      <c r="O728" s="239"/>
      <c r="R728" s="239"/>
      <c r="T728" s="240"/>
    </row>
    <row r="729">
      <c r="L729" s="239"/>
      <c r="N729" s="239"/>
      <c r="O729" s="239"/>
      <c r="R729" s="239"/>
      <c r="T729" s="240"/>
    </row>
    <row r="730">
      <c r="L730" s="239"/>
      <c r="N730" s="239"/>
      <c r="O730" s="239"/>
      <c r="R730" s="239"/>
      <c r="T730" s="240"/>
    </row>
    <row r="731">
      <c r="L731" s="239"/>
      <c r="N731" s="239"/>
      <c r="O731" s="239"/>
      <c r="R731" s="239"/>
      <c r="T731" s="240"/>
    </row>
    <row r="732">
      <c r="L732" s="239"/>
      <c r="N732" s="239"/>
      <c r="O732" s="239"/>
      <c r="R732" s="239"/>
      <c r="T732" s="240"/>
    </row>
    <row r="733">
      <c r="L733" s="239"/>
      <c r="N733" s="239"/>
      <c r="O733" s="239"/>
      <c r="R733" s="239"/>
      <c r="T733" s="240"/>
    </row>
    <row r="734">
      <c r="L734" s="239"/>
      <c r="N734" s="239"/>
      <c r="O734" s="239"/>
      <c r="R734" s="239"/>
      <c r="T734" s="240"/>
    </row>
    <row r="735">
      <c r="L735" s="239"/>
      <c r="N735" s="239"/>
      <c r="O735" s="239"/>
      <c r="R735" s="239"/>
      <c r="T735" s="240"/>
    </row>
    <row r="736">
      <c r="L736" s="239"/>
      <c r="N736" s="239"/>
      <c r="O736" s="239"/>
      <c r="R736" s="239"/>
      <c r="T736" s="240"/>
    </row>
    <row r="737">
      <c r="L737" s="239"/>
      <c r="N737" s="239"/>
      <c r="O737" s="239"/>
      <c r="R737" s="239"/>
      <c r="T737" s="240"/>
    </row>
    <row r="738">
      <c r="L738" s="239"/>
      <c r="N738" s="239"/>
      <c r="O738" s="239"/>
      <c r="R738" s="239"/>
      <c r="T738" s="240"/>
    </row>
    <row r="739">
      <c r="L739" s="239"/>
      <c r="N739" s="239"/>
      <c r="O739" s="239"/>
      <c r="R739" s="239"/>
      <c r="T739" s="240"/>
    </row>
    <row r="740">
      <c r="L740" s="239"/>
      <c r="N740" s="239"/>
      <c r="O740" s="239"/>
      <c r="R740" s="239"/>
      <c r="T740" s="240"/>
    </row>
    <row r="741">
      <c r="L741" s="239"/>
      <c r="N741" s="239"/>
      <c r="O741" s="239"/>
      <c r="R741" s="239"/>
      <c r="T741" s="240"/>
    </row>
    <row r="742">
      <c r="L742" s="239"/>
      <c r="N742" s="239"/>
      <c r="O742" s="239"/>
      <c r="R742" s="239"/>
      <c r="T742" s="240"/>
    </row>
    <row r="743">
      <c r="L743" s="239"/>
      <c r="N743" s="239"/>
      <c r="O743" s="239"/>
      <c r="R743" s="239"/>
      <c r="T743" s="240"/>
    </row>
    <row r="744">
      <c r="L744" s="239"/>
      <c r="N744" s="239"/>
      <c r="O744" s="239"/>
      <c r="R744" s="239"/>
      <c r="T744" s="240"/>
    </row>
    <row r="745">
      <c r="L745" s="239"/>
      <c r="N745" s="239"/>
      <c r="O745" s="239"/>
      <c r="R745" s="239"/>
      <c r="T745" s="240"/>
    </row>
    <row r="746">
      <c r="L746" s="239"/>
      <c r="N746" s="239"/>
      <c r="O746" s="239"/>
      <c r="R746" s="239"/>
      <c r="T746" s="240"/>
    </row>
    <row r="747">
      <c r="L747" s="239"/>
      <c r="N747" s="239"/>
      <c r="O747" s="239"/>
      <c r="R747" s="239"/>
      <c r="T747" s="240"/>
    </row>
    <row r="748">
      <c r="L748" s="239"/>
      <c r="N748" s="239"/>
      <c r="O748" s="239"/>
      <c r="R748" s="239"/>
      <c r="T748" s="240"/>
    </row>
    <row r="749">
      <c r="L749" s="239"/>
      <c r="N749" s="239"/>
      <c r="O749" s="239"/>
      <c r="R749" s="239"/>
      <c r="T749" s="240"/>
    </row>
    <row r="750">
      <c r="L750" s="239"/>
      <c r="N750" s="239"/>
      <c r="O750" s="239"/>
      <c r="R750" s="239"/>
      <c r="T750" s="240"/>
    </row>
    <row r="751">
      <c r="L751" s="239"/>
      <c r="N751" s="239"/>
      <c r="O751" s="239"/>
      <c r="R751" s="239"/>
      <c r="T751" s="240"/>
    </row>
    <row r="752">
      <c r="L752" s="239"/>
      <c r="N752" s="239"/>
      <c r="O752" s="239"/>
      <c r="R752" s="239"/>
      <c r="T752" s="240"/>
    </row>
    <row r="753">
      <c r="L753" s="239"/>
      <c r="N753" s="239"/>
      <c r="O753" s="239"/>
      <c r="R753" s="239"/>
      <c r="T753" s="240"/>
    </row>
    <row r="754">
      <c r="L754" s="239"/>
      <c r="N754" s="239"/>
      <c r="O754" s="239"/>
      <c r="R754" s="239"/>
      <c r="T754" s="240"/>
    </row>
    <row r="755">
      <c r="L755" s="239"/>
      <c r="N755" s="239"/>
      <c r="O755" s="239"/>
      <c r="R755" s="239"/>
      <c r="T755" s="240"/>
    </row>
    <row r="756">
      <c r="L756" s="239"/>
      <c r="N756" s="239"/>
      <c r="O756" s="239"/>
      <c r="R756" s="239"/>
      <c r="T756" s="240"/>
    </row>
    <row r="757">
      <c r="L757" s="239"/>
      <c r="N757" s="239"/>
      <c r="O757" s="239"/>
      <c r="R757" s="239"/>
      <c r="T757" s="240"/>
    </row>
    <row r="758">
      <c r="L758" s="239"/>
      <c r="N758" s="239"/>
      <c r="O758" s="239"/>
      <c r="R758" s="239"/>
      <c r="T758" s="240"/>
    </row>
    <row r="759">
      <c r="L759" s="239"/>
      <c r="N759" s="239"/>
      <c r="O759" s="239"/>
      <c r="R759" s="239"/>
      <c r="T759" s="240"/>
    </row>
    <row r="760">
      <c r="L760" s="239"/>
      <c r="N760" s="239"/>
      <c r="O760" s="239"/>
      <c r="R760" s="239"/>
      <c r="T760" s="240"/>
    </row>
    <row r="761">
      <c r="L761" s="239"/>
      <c r="N761" s="239"/>
      <c r="O761" s="239"/>
      <c r="R761" s="239"/>
      <c r="T761" s="240"/>
    </row>
    <row r="762">
      <c r="L762" s="239"/>
      <c r="N762" s="239"/>
      <c r="O762" s="239"/>
      <c r="R762" s="239"/>
      <c r="T762" s="240"/>
    </row>
    <row r="763">
      <c r="L763" s="239"/>
      <c r="N763" s="239"/>
      <c r="O763" s="239"/>
      <c r="R763" s="239"/>
      <c r="T763" s="240"/>
    </row>
    <row r="764">
      <c r="L764" s="239"/>
      <c r="N764" s="239"/>
      <c r="O764" s="239"/>
      <c r="R764" s="239"/>
      <c r="T764" s="240"/>
    </row>
    <row r="765">
      <c r="L765" s="239"/>
      <c r="N765" s="239"/>
      <c r="O765" s="239"/>
      <c r="R765" s="239"/>
      <c r="T765" s="240"/>
    </row>
    <row r="766">
      <c r="L766" s="239"/>
      <c r="N766" s="239"/>
      <c r="O766" s="239"/>
      <c r="R766" s="239"/>
      <c r="T766" s="240"/>
    </row>
    <row r="767">
      <c r="L767" s="239"/>
      <c r="N767" s="239"/>
      <c r="O767" s="239"/>
      <c r="R767" s="239"/>
      <c r="T767" s="240"/>
    </row>
    <row r="768">
      <c r="L768" s="239"/>
      <c r="N768" s="239"/>
      <c r="O768" s="239"/>
      <c r="R768" s="239"/>
      <c r="T768" s="240"/>
    </row>
    <row r="769">
      <c r="L769" s="239"/>
      <c r="N769" s="239"/>
      <c r="O769" s="239"/>
      <c r="R769" s="239"/>
      <c r="T769" s="240"/>
    </row>
    <row r="770">
      <c r="L770" s="239"/>
      <c r="N770" s="239"/>
      <c r="O770" s="239"/>
      <c r="R770" s="239"/>
      <c r="T770" s="240"/>
    </row>
    <row r="771">
      <c r="L771" s="239"/>
      <c r="N771" s="239"/>
      <c r="O771" s="239"/>
      <c r="R771" s="239"/>
      <c r="T771" s="240"/>
    </row>
    <row r="772">
      <c r="L772" s="239"/>
      <c r="N772" s="239"/>
      <c r="O772" s="239"/>
      <c r="R772" s="239"/>
      <c r="T772" s="240"/>
    </row>
    <row r="773">
      <c r="L773" s="239"/>
      <c r="N773" s="239"/>
      <c r="O773" s="239"/>
      <c r="R773" s="239"/>
      <c r="T773" s="240"/>
    </row>
    <row r="774">
      <c r="L774" s="239"/>
      <c r="N774" s="239"/>
      <c r="O774" s="239"/>
      <c r="R774" s="239"/>
      <c r="T774" s="240"/>
    </row>
    <row r="775">
      <c r="L775" s="239"/>
      <c r="N775" s="239"/>
      <c r="O775" s="239"/>
      <c r="R775" s="239"/>
      <c r="T775" s="240"/>
    </row>
    <row r="776">
      <c r="L776" s="239"/>
      <c r="N776" s="239"/>
      <c r="O776" s="239"/>
      <c r="R776" s="239"/>
      <c r="T776" s="240"/>
    </row>
    <row r="777">
      <c r="L777" s="239"/>
      <c r="N777" s="239"/>
      <c r="O777" s="239"/>
      <c r="R777" s="239"/>
      <c r="T777" s="240"/>
    </row>
    <row r="778">
      <c r="L778" s="239"/>
      <c r="N778" s="239"/>
      <c r="O778" s="239"/>
      <c r="R778" s="239"/>
      <c r="T778" s="240"/>
    </row>
    <row r="779">
      <c r="L779" s="239"/>
      <c r="N779" s="239"/>
      <c r="O779" s="239"/>
      <c r="R779" s="239"/>
      <c r="T779" s="240"/>
    </row>
    <row r="780">
      <c r="L780" s="239"/>
      <c r="N780" s="239"/>
      <c r="O780" s="239"/>
      <c r="R780" s="239"/>
      <c r="T780" s="240"/>
    </row>
    <row r="781">
      <c r="L781" s="239"/>
      <c r="N781" s="239"/>
      <c r="O781" s="239"/>
      <c r="R781" s="239"/>
      <c r="T781" s="240"/>
    </row>
    <row r="782">
      <c r="L782" s="239"/>
      <c r="N782" s="239"/>
      <c r="O782" s="239"/>
      <c r="R782" s="239"/>
      <c r="T782" s="240"/>
    </row>
    <row r="783">
      <c r="L783" s="239"/>
      <c r="N783" s="239"/>
      <c r="O783" s="239"/>
      <c r="R783" s="239"/>
      <c r="T783" s="240"/>
    </row>
    <row r="784">
      <c r="L784" s="239"/>
      <c r="N784" s="239"/>
      <c r="O784" s="239"/>
      <c r="R784" s="239"/>
      <c r="T784" s="240"/>
    </row>
    <row r="785">
      <c r="L785" s="239"/>
      <c r="N785" s="239"/>
      <c r="O785" s="239"/>
      <c r="R785" s="239"/>
      <c r="T785" s="240"/>
    </row>
    <row r="786">
      <c r="L786" s="239"/>
      <c r="N786" s="239"/>
      <c r="O786" s="239"/>
      <c r="R786" s="239"/>
      <c r="T786" s="240"/>
    </row>
    <row r="787">
      <c r="L787" s="239"/>
      <c r="N787" s="239"/>
      <c r="O787" s="239"/>
      <c r="R787" s="239"/>
      <c r="T787" s="240"/>
    </row>
    <row r="788">
      <c r="L788" s="239"/>
      <c r="N788" s="239"/>
      <c r="O788" s="239"/>
      <c r="R788" s="239"/>
      <c r="T788" s="240"/>
    </row>
    <row r="789">
      <c r="L789" s="239"/>
      <c r="N789" s="239"/>
      <c r="O789" s="239"/>
      <c r="R789" s="239"/>
      <c r="T789" s="240"/>
    </row>
    <row r="790">
      <c r="L790" s="239"/>
      <c r="N790" s="239"/>
      <c r="O790" s="239"/>
      <c r="R790" s="239"/>
      <c r="T790" s="240"/>
    </row>
    <row r="791">
      <c r="L791" s="239"/>
      <c r="N791" s="239"/>
      <c r="O791" s="239"/>
      <c r="R791" s="239"/>
      <c r="T791" s="240"/>
    </row>
    <row r="792">
      <c r="L792" s="239"/>
      <c r="N792" s="239"/>
      <c r="O792" s="239"/>
      <c r="R792" s="239"/>
      <c r="T792" s="240"/>
    </row>
    <row r="793">
      <c r="L793" s="239"/>
      <c r="N793" s="239"/>
      <c r="O793" s="239"/>
      <c r="R793" s="239"/>
      <c r="T793" s="240"/>
    </row>
    <row r="794">
      <c r="L794" s="239"/>
      <c r="N794" s="239"/>
      <c r="O794" s="239"/>
      <c r="R794" s="239"/>
      <c r="T794" s="240"/>
    </row>
    <row r="795">
      <c r="L795" s="239"/>
      <c r="N795" s="239"/>
      <c r="O795" s="239"/>
      <c r="R795" s="239"/>
      <c r="T795" s="240"/>
    </row>
    <row r="796">
      <c r="L796" s="239"/>
      <c r="N796" s="239"/>
      <c r="O796" s="239"/>
      <c r="R796" s="239"/>
      <c r="T796" s="240"/>
    </row>
    <row r="797">
      <c r="L797" s="239"/>
      <c r="N797" s="239"/>
      <c r="O797" s="239"/>
      <c r="R797" s="239"/>
      <c r="T797" s="240"/>
    </row>
    <row r="798">
      <c r="L798" s="239"/>
      <c r="N798" s="239"/>
      <c r="O798" s="239"/>
      <c r="R798" s="239"/>
      <c r="T798" s="240"/>
    </row>
    <row r="799">
      <c r="L799" s="239"/>
      <c r="N799" s="239"/>
      <c r="O799" s="239"/>
      <c r="R799" s="239"/>
      <c r="T799" s="240"/>
    </row>
    <row r="800">
      <c r="L800" s="239"/>
      <c r="N800" s="239"/>
      <c r="O800" s="239"/>
      <c r="R800" s="239"/>
      <c r="T800" s="240"/>
    </row>
    <row r="801">
      <c r="L801" s="239"/>
      <c r="N801" s="239"/>
      <c r="O801" s="239"/>
      <c r="R801" s="239"/>
      <c r="T801" s="240"/>
    </row>
    <row r="802">
      <c r="L802" s="239"/>
      <c r="N802" s="239"/>
      <c r="O802" s="239"/>
      <c r="R802" s="239"/>
      <c r="T802" s="240"/>
    </row>
    <row r="803">
      <c r="L803" s="239"/>
      <c r="N803" s="239"/>
      <c r="O803" s="239"/>
      <c r="R803" s="239"/>
      <c r="T803" s="240"/>
    </row>
    <row r="804">
      <c r="L804" s="239"/>
      <c r="N804" s="239"/>
      <c r="O804" s="239"/>
      <c r="R804" s="239"/>
      <c r="T804" s="240"/>
    </row>
    <row r="805">
      <c r="L805" s="239"/>
      <c r="N805" s="239"/>
      <c r="O805" s="239"/>
      <c r="R805" s="239"/>
      <c r="T805" s="240"/>
    </row>
    <row r="806">
      <c r="L806" s="239"/>
      <c r="N806" s="239"/>
      <c r="O806" s="239"/>
      <c r="R806" s="239"/>
      <c r="T806" s="240"/>
    </row>
    <row r="807">
      <c r="L807" s="239"/>
      <c r="N807" s="239"/>
      <c r="O807" s="239"/>
      <c r="R807" s="239"/>
      <c r="T807" s="240"/>
    </row>
    <row r="808">
      <c r="L808" s="239"/>
      <c r="N808" s="239"/>
      <c r="O808" s="239"/>
      <c r="R808" s="239"/>
      <c r="T808" s="240"/>
    </row>
    <row r="809">
      <c r="L809" s="239"/>
      <c r="N809" s="239"/>
      <c r="O809" s="239"/>
      <c r="R809" s="239"/>
      <c r="T809" s="240"/>
    </row>
    <row r="810">
      <c r="L810" s="239"/>
      <c r="N810" s="239"/>
      <c r="O810" s="239"/>
      <c r="R810" s="239"/>
      <c r="T810" s="240"/>
    </row>
    <row r="811">
      <c r="L811" s="239"/>
      <c r="N811" s="239"/>
      <c r="O811" s="239"/>
      <c r="R811" s="239"/>
      <c r="T811" s="240"/>
    </row>
    <row r="812">
      <c r="L812" s="239"/>
      <c r="N812" s="239"/>
      <c r="O812" s="239"/>
      <c r="R812" s="239"/>
      <c r="T812" s="240"/>
    </row>
    <row r="813">
      <c r="L813" s="239"/>
      <c r="N813" s="239"/>
      <c r="O813" s="239"/>
      <c r="R813" s="239"/>
      <c r="T813" s="240"/>
    </row>
    <row r="814">
      <c r="L814" s="239"/>
      <c r="N814" s="239"/>
      <c r="O814" s="239"/>
      <c r="R814" s="239"/>
      <c r="T814" s="240"/>
    </row>
    <row r="815">
      <c r="L815" s="239"/>
      <c r="N815" s="239"/>
      <c r="O815" s="239"/>
      <c r="R815" s="239"/>
      <c r="T815" s="240"/>
    </row>
    <row r="816">
      <c r="L816" s="239"/>
      <c r="N816" s="239"/>
      <c r="O816" s="239"/>
      <c r="R816" s="239"/>
      <c r="T816" s="240"/>
    </row>
    <row r="817">
      <c r="L817" s="239"/>
      <c r="N817" s="239"/>
      <c r="O817" s="239"/>
      <c r="R817" s="239"/>
      <c r="T817" s="240"/>
    </row>
    <row r="818">
      <c r="L818" s="239"/>
      <c r="N818" s="239"/>
      <c r="O818" s="239"/>
      <c r="R818" s="239"/>
      <c r="T818" s="240"/>
    </row>
    <row r="819">
      <c r="L819" s="239"/>
      <c r="N819" s="239"/>
      <c r="O819" s="239"/>
      <c r="R819" s="239"/>
      <c r="T819" s="240"/>
    </row>
    <row r="820">
      <c r="L820" s="239"/>
      <c r="N820" s="239"/>
      <c r="O820" s="239"/>
      <c r="R820" s="239"/>
      <c r="T820" s="240"/>
    </row>
    <row r="821">
      <c r="L821" s="239"/>
      <c r="N821" s="239"/>
      <c r="O821" s="239"/>
      <c r="R821" s="239"/>
      <c r="T821" s="240"/>
    </row>
    <row r="822">
      <c r="L822" s="239"/>
      <c r="N822" s="239"/>
      <c r="O822" s="239"/>
      <c r="R822" s="239"/>
      <c r="T822" s="240"/>
    </row>
    <row r="823">
      <c r="L823" s="239"/>
      <c r="N823" s="239"/>
      <c r="O823" s="239"/>
      <c r="R823" s="239"/>
      <c r="T823" s="240"/>
    </row>
    <row r="824">
      <c r="L824" s="239"/>
      <c r="N824" s="239"/>
      <c r="O824" s="239"/>
      <c r="R824" s="239"/>
      <c r="T824" s="240"/>
    </row>
    <row r="825">
      <c r="L825" s="239"/>
      <c r="N825" s="239"/>
      <c r="O825" s="239"/>
      <c r="R825" s="239"/>
      <c r="T825" s="240"/>
    </row>
    <row r="826">
      <c r="L826" s="239"/>
      <c r="N826" s="239"/>
      <c r="O826" s="239"/>
      <c r="R826" s="239"/>
      <c r="T826" s="240"/>
    </row>
    <row r="827">
      <c r="L827" s="239"/>
      <c r="N827" s="239"/>
      <c r="O827" s="239"/>
      <c r="R827" s="239"/>
      <c r="T827" s="240"/>
    </row>
    <row r="828">
      <c r="L828" s="239"/>
      <c r="N828" s="239"/>
      <c r="O828" s="239"/>
      <c r="R828" s="239"/>
      <c r="T828" s="240"/>
    </row>
    <row r="829">
      <c r="L829" s="239"/>
      <c r="N829" s="239"/>
      <c r="O829" s="239"/>
      <c r="R829" s="239"/>
      <c r="T829" s="240"/>
    </row>
    <row r="830">
      <c r="L830" s="239"/>
      <c r="N830" s="239"/>
      <c r="O830" s="239"/>
      <c r="R830" s="239"/>
      <c r="T830" s="240"/>
    </row>
    <row r="831">
      <c r="L831" s="239"/>
      <c r="N831" s="239"/>
      <c r="O831" s="239"/>
      <c r="R831" s="239"/>
      <c r="T831" s="240"/>
    </row>
    <row r="832">
      <c r="L832" s="239"/>
      <c r="N832" s="239"/>
      <c r="O832" s="239"/>
      <c r="R832" s="239"/>
      <c r="T832" s="240"/>
    </row>
    <row r="833">
      <c r="L833" s="239"/>
      <c r="N833" s="239"/>
      <c r="O833" s="239"/>
      <c r="R833" s="239"/>
      <c r="T833" s="240"/>
    </row>
    <row r="834">
      <c r="L834" s="239"/>
      <c r="N834" s="239"/>
      <c r="O834" s="239"/>
      <c r="R834" s="239"/>
      <c r="T834" s="240"/>
    </row>
    <row r="835">
      <c r="L835" s="239"/>
      <c r="N835" s="239"/>
      <c r="O835" s="239"/>
      <c r="R835" s="239"/>
      <c r="T835" s="240"/>
    </row>
    <row r="836">
      <c r="L836" s="239"/>
      <c r="N836" s="239"/>
      <c r="O836" s="239"/>
      <c r="R836" s="239"/>
      <c r="T836" s="240"/>
    </row>
    <row r="837">
      <c r="L837" s="239"/>
      <c r="N837" s="239"/>
      <c r="O837" s="239"/>
      <c r="R837" s="239"/>
      <c r="T837" s="240"/>
    </row>
    <row r="838">
      <c r="L838" s="239"/>
      <c r="N838" s="239"/>
      <c r="O838" s="239"/>
      <c r="R838" s="239"/>
      <c r="T838" s="240"/>
    </row>
    <row r="839">
      <c r="L839" s="239"/>
      <c r="N839" s="239"/>
      <c r="O839" s="239"/>
      <c r="R839" s="239"/>
      <c r="T839" s="240"/>
    </row>
    <row r="840">
      <c r="L840" s="239"/>
      <c r="N840" s="239"/>
      <c r="O840" s="239"/>
      <c r="R840" s="239"/>
      <c r="T840" s="240"/>
    </row>
    <row r="841">
      <c r="L841" s="239"/>
      <c r="N841" s="239"/>
      <c r="O841" s="239"/>
      <c r="R841" s="239"/>
      <c r="T841" s="240"/>
    </row>
    <row r="842">
      <c r="L842" s="239"/>
      <c r="N842" s="239"/>
      <c r="O842" s="239"/>
      <c r="R842" s="239"/>
      <c r="T842" s="240"/>
    </row>
    <row r="843">
      <c r="L843" s="239"/>
      <c r="N843" s="239"/>
      <c r="O843" s="239"/>
      <c r="R843" s="239"/>
      <c r="T843" s="240"/>
    </row>
    <row r="844">
      <c r="L844" s="239"/>
      <c r="N844" s="239"/>
      <c r="O844" s="239"/>
      <c r="R844" s="239"/>
      <c r="T844" s="240"/>
    </row>
    <row r="845">
      <c r="L845" s="239"/>
      <c r="N845" s="239"/>
      <c r="O845" s="239"/>
      <c r="R845" s="239"/>
      <c r="T845" s="240"/>
    </row>
    <row r="846">
      <c r="L846" s="239"/>
      <c r="N846" s="239"/>
      <c r="O846" s="239"/>
      <c r="R846" s="239"/>
      <c r="T846" s="240"/>
    </row>
    <row r="847">
      <c r="L847" s="239"/>
      <c r="N847" s="239"/>
      <c r="O847" s="239"/>
      <c r="R847" s="239"/>
      <c r="T847" s="240"/>
    </row>
    <row r="848">
      <c r="L848" s="239"/>
      <c r="N848" s="239"/>
      <c r="O848" s="239"/>
      <c r="R848" s="239"/>
      <c r="T848" s="240"/>
    </row>
    <row r="849">
      <c r="L849" s="239"/>
      <c r="N849" s="239"/>
      <c r="O849" s="239"/>
      <c r="R849" s="239"/>
      <c r="T849" s="240"/>
    </row>
    <row r="850">
      <c r="L850" s="239"/>
      <c r="N850" s="239"/>
      <c r="O850" s="239"/>
      <c r="R850" s="239"/>
      <c r="T850" s="240"/>
    </row>
    <row r="851">
      <c r="L851" s="239"/>
      <c r="N851" s="239"/>
      <c r="O851" s="239"/>
      <c r="R851" s="239"/>
      <c r="T851" s="240"/>
    </row>
    <row r="852">
      <c r="L852" s="239"/>
      <c r="N852" s="239"/>
      <c r="O852" s="239"/>
      <c r="R852" s="239"/>
      <c r="T852" s="240"/>
    </row>
    <row r="853">
      <c r="L853" s="239"/>
      <c r="N853" s="239"/>
      <c r="O853" s="239"/>
      <c r="R853" s="239"/>
      <c r="T853" s="240"/>
    </row>
    <row r="854">
      <c r="L854" s="239"/>
      <c r="N854" s="239"/>
      <c r="O854" s="239"/>
      <c r="R854" s="239"/>
      <c r="T854" s="240"/>
    </row>
    <row r="855">
      <c r="L855" s="239"/>
      <c r="N855" s="239"/>
      <c r="O855" s="239"/>
      <c r="R855" s="239"/>
      <c r="T855" s="240"/>
    </row>
    <row r="856">
      <c r="L856" s="239"/>
      <c r="N856" s="239"/>
      <c r="O856" s="239"/>
      <c r="R856" s="239"/>
      <c r="T856" s="240"/>
    </row>
    <row r="857">
      <c r="L857" s="239"/>
      <c r="N857" s="239"/>
      <c r="O857" s="239"/>
      <c r="R857" s="239"/>
      <c r="T857" s="240"/>
    </row>
    <row r="858">
      <c r="L858" s="239"/>
      <c r="N858" s="239"/>
      <c r="O858" s="239"/>
      <c r="R858" s="239"/>
      <c r="T858" s="240"/>
    </row>
    <row r="859">
      <c r="L859" s="239"/>
      <c r="N859" s="239"/>
      <c r="O859" s="239"/>
      <c r="R859" s="239"/>
      <c r="T859" s="240"/>
    </row>
    <row r="860">
      <c r="L860" s="239"/>
      <c r="N860" s="239"/>
      <c r="O860" s="239"/>
      <c r="R860" s="239"/>
      <c r="T860" s="240"/>
    </row>
    <row r="861">
      <c r="L861" s="239"/>
      <c r="N861" s="239"/>
      <c r="O861" s="239"/>
      <c r="R861" s="239"/>
      <c r="T861" s="240"/>
    </row>
    <row r="862">
      <c r="L862" s="239"/>
      <c r="N862" s="239"/>
      <c r="O862" s="239"/>
      <c r="R862" s="239"/>
      <c r="T862" s="240"/>
    </row>
    <row r="863">
      <c r="L863" s="239"/>
      <c r="N863" s="239"/>
      <c r="O863" s="239"/>
      <c r="R863" s="239"/>
      <c r="T863" s="240"/>
    </row>
    <row r="864">
      <c r="L864" s="239"/>
      <c r="N864" s="239"/>
      <c r="O864" s="239"/>
      <c r="R864" s="239"/>
      <c r="T864" s="240"/>
    </row>
    <row r="865">
      <c r="L865" s="239"/>
      <c r="N865" s="239"/>
      <c r="O865" s="239"/>
      <c r="R865" s="239"/>
      <c r="T865" s="240"/>
    </row>
    <row r="866">
      <c r="L866" s="239"/>
      <c r="N866" s="239"/>
      <c r="O866" s="239"/>
      <c r="R866" s="239"/>
      <c r="T866" s="240"/>
    </row>
    <row r="867">
      <c r="L867" s="239"/>
      <c r="N867" s="239"/>
      <c r="O867" s="239"/>
      <c r="R867" s="239"/>
      <c r="T867" s="240"/>
    </row>
    <row r="868">
      <c r="L868" s="239"/>
      <c r="N868" s="239"/>
      <c r="O868" s="239"/>
      <c r="R868" s="239"/>
      <c r="T868" s="240"/>
    </row>
    <row r="869">
      <c r="L869" s="239"/>
      <c r="N869" s="239"/>
      <c r="O869" s="239"/>
      <c r="R869" s="239"/>
      <c r="T869" s="240"/>
    </row>
    <row r="870">
      <c r="L870" s="239"/>
      <c r="N870" s="239"/>
      <c r="O870" s="239"/>
      <c r="R870" s="239"/>
      <c r="T870" s="240"/>
    </row>
    <row r="871">
      <c r="L871" s="239"/>
      <c r="N871" s="239"/>
      <c r="O871" s="239"/>
      <c r="R871" s="239"/>
      <c r="T871" s="240"/>
    </row>
    <row r="872">
      <c r="L872" s="239"/>
      <c r="N872" s="239"/>
      <c r="O872" s="239"/>
      <c r="R872" s="239"/>
      <c r="T872" s="240"/>
    </row>
    <row r="873">
      <c r="L873" s="239"/>
      <c r="N873" s="239"/>
      <c r="O873" s="239"/>
      <c r="R873" s="239"/>
      <c r="T873" s="240"/>
    </row>
    <row r="874">
      <c r="L874" s="239"/>
      <c r="N874" s="239"/>
      <c r="O874" s="239"/>
      <c r="R874" s="239"/>
      <c r="T874" s="240"/>
    </row>
    <row r="875">
      <c r="L875" s="239"/>
      <c r="N875" s="239"/>
      <c r="O875" s="239"/>
      <c r="R875" s="239"/>
      <c r="T875" s="240"/>
    </row>
    <row r="876">
      <c r="L876" s="239"/>
      <c r="N876" s="239"/>
      <c r="O876" s="239"/>
      <c r="R876" s="239"/>
      <c r="T876" s="240"/>
    </row>
    <row r="877">
      <c r="L877" s="239"/>
      <c r="N877" s="239"/>
      <c r="O877" s="239"/>
      <c r="R877" s="239"/>
      <c r="T877" s="240"/>
    </row>
    <row r="878">
      <c r="L878" s="239"/>
      <c r="N878" s="239"/>
      <c r="O878" s="239"/>
      <c r="R878" s="239"/>
      <c r="T878" s="240"/>
    </row>
    <row r="879">
      <c r="L879" s="239"/>
      <c r="N879" s="239"/>
      <c r="O879" s="239"/>
      <c r="R879" s="239"/>
      <c r="T879" s="240"/>
    </row>
    <row r="880">
      <c r="L880" s="239"/>
      <c r="N880" s="239"/>
      <c r="O880" s="239"/>
      <c r="R880" s="239"/>
      <c r="T880" s="240"/>
    </row>
    <row r="881">
      <c r="L881" s="239"/>
      <c r="N881" s="239"/>
      <c r="O881" s="239"/>
      <c r="R881" s="239"/>
      <c r="T881" s="240"/>
    </row>
    <row r="882">
      <c r="L882" s="239"/>
      <c r="N882" s="239"/>
      <c r="O882" s="239"/>
      <c r="R882" s="239"/>
      <c r="T882" s="240"/>
    </row>
    <row r="883">
      <c r="L883" s="239"/>
      <c r="N883" s="239"/>
      <c r="O883" s="239"/>
      <c r="R883" s="239"/>
      <c r="T883" s="240"/>
    </row>
    <row r="884">
      <c r="L884" s="239"/>
      <c r="N884" s="239"/>
      <c r="O884" s="239"/>
      <c r="R884" s="239"/>
      <c r="T884" s="240"/>
    </row>
    <row r="885">
      <c r="L885" s="239"/>
      <c r="N885" s="239"/>
      <c r="O885" s="239"/>
      <c r="R885" s="239"/>
      <c r="T885" s="240"/>
    </row>
    <row r="886">
      <c r="L886" s="239"/>
      <c r="N886" s="239"/>
      <c r="O886" s="239"/>
      <c r="R886" s="239"/>
      <c r="T886" s="240"/>
    </row>
    <row r="887">
      <c r="L887" s="239"/>
      <c r="N887" s="239"/>
      <c r="O887" s="239"/>
      <c r="R887" s="239"/>
      <c r="T887" s="240"/>
    </row>
    <row r="888">
      <c r="L888" s="239"/>
      <c r="N888" s="239"/>
      <c r="O888" s="239"/>
      <c r="R888" s="239"/>
      <c r="T888" s="240"/>
    </row>
    <row r="889">
      <c r="L889" s="239"/>
      <c r="N889" s="239"/>
      <c r="O889" s="239"/>
      <c r="R889" s="239"/>
      <c r="T889" s="240"/>
    </row>
    <row r="890">
      <c r="L890" s="239"/>
      <c r="N890" s="239"/>
      <c r="O890" s="239"/>
      <c r="R890" s="239"/>
      <c r="T890" s="240"/>
    </row>
    <row r="891">
      <c r="L891" s="239"/>
      <c r="N891" s="239"/>
      <c r="O891" s="239"/>
      <c r="R891" s="239"/>
      <c r="T891" s="240"/>
    </row>
    <row r="892">
      <c r="L892" s="239"/>
      <c r="N892" s="239"/>
      <c r="O892" s="239"/>
      <c r="R892" s="239"/>
      <c r="T892" s="240"/>
    </row>
    <row r="893">
      <c r="L893" s="239"/>
      <c r="N893" s="239"/>
      <c r="O893" s="239"/>
      <c r="R893" s="239"/>
      <c r="T893" s="240"/>
    </row>
    <row r="894">
      <c r="L894" s="239"/>
      <c r="N894" s="239"/>
      <c r="O894" s="239"/>
      <c r="R894" s="239"/>
      <c r="T894" s="240"/>
    </row>
    <row r="895">
      <c r="L895" s="239"/>
      <c r="N895" s="239"/>
      <c r="O895" s="239"/>
      <c r="R895" s="239"/>
      <c r="T895" s="240"/>
    </row>
    <row r="896">
      <c r="L896" s="239"/>
      <c r="N896" s="239"/>
      <c r="O896" s="239"/>
      <c r="R896" s="239"/>
      <c r="T896" s="240"/>
    </row>
    <row r="897">
      <c r="L897" s="239"/>
      <c r="N897" s="239"/>
      <c r="O897" s="239"/>
      <c r="R897" s="239"/>
      <c r="T897" s="240"/>
    </row>
    <row r="898">
      <c r="L898" s="239"/>
      <c r="N898" s="239"/>
      <c r="O898" s="239"/>
      <c r="R898" s="239"/>
      <c r="T898" s="240"/>
    </row>
    <row r="899">
      <c r="L899" s="239"/>
      <c r="N899" s="239"/>
      <c r="O899" s="239"/>
      <c r="R899" s="239"/>
      <c r="T899" s="240"/>
    </row>
    <row r="900">
      <c r="L900" s="239"/>
      <c r="N900" s="239"/>
      <c r="O900" s="239"/>
      <c r="R900" s="239"/>
      <c r="T900" s="240"/>
    </row>
    <row r="901">
      <c r="L901" s="239"/>
      <c r="N901" s="239"/>
      <c r="O901" s="239"/>
      <c r="R901" s="239"/>
      <c r="T901" s="240"/>
    </row>
    <row r="902">
      <c r="L902" s="239"/>
      <c r="N902" s="239"/>
      <c r="O902" s="239"/>
      <c r="R902" s="239"/>
      <c r="T902" s="240"/>
    </row>
    <row r="903">
      <c r="L903" s="239"/>
      <c r="N903" s="239"/>
      <c r="O903" s="239"/>
      <c r="R903" s="239"/>
      <c r="T903" s="240"/>
    </row>
    <row r="904">
      <c r="L904" s="239"/>
      <c r="N904" s="239"/>
      <c r="O904" s="239"/>
      <c r="R904" s="239"/>
      <c r="T904" s="240"/>
    </row>
    <row r="905">
      <c r="L905" s="239"/>
      <c r="N905" s="239"/>
      <c r="O905" s="239"/>
      <c r="R905" s="239"/>
      <c r="T905" s="240"/>
    </row>
    <row r="906">
      <c r="L906" s="239"/>
      <c r="N906" s="239"/>
      <c r="O906" s="239"/>
      <c r="R906" s="239"/>
      <c r="T906" s="240"/>
    </row>
    <row r="907">
      <c r="L907" s="239"/>
      <c r="N907" s="239"/>
      <c r="O907" s="239"/>
      <c r="R907" s="239"/>
      <c r="T907" s="240"/>
    </row>
    <row r="908">
      <c r="L908" s="239"/>
      <c r="N908" s="239"/>
      <c r="O908" s="239"/>
      <c r="R908" s="239"/>
      <c r="T908" s="240"/>
    </row>
    <row r="909">
      <c r="L909" s="239"/>
      <c r="N909" s="239"/>
      <c r="O909" s="239"/>
      <c r="R909" s="239"/>
      <c r="T909" s="240"/>
    </row>
    <row r="910">
      <c r="L910" s="239"/>
      <c r="N910" s="239"/>
      <c r="O910" s="239"/>
      <c r="R910" s="239"/>
      <c r="T910" s="240"/>
    </row>
    <row r="911">
      <c r="L911" s="239"/>
      <c r="N911" s="239"/>
      <c r="O911" s="239"/>
      <c r="R911" s="239"/>
      <c r="T911" s="240"/>
    </row>
    <row r="912">
      <c r="L912" s="239"/>
      <c r="N912" s="239"/>
      <c r="O912" s="239"/>
      <c r="R912" s="239"/>
      <c r="T912" s="240"/>
    </row>
    <row r="913">
      <c r="L913" s="239"/>
      <c r="N913" s="239"/>
      <c r="O913" s="239"/>
      <c r="R913" s="239"/>
      <c r="T913" s="240"/>
    </row>
    <row r="914">
      <c r="L914" s="239"/>
      <c r="N914" s="239"/>
      <c r="O914" s="239"/>
      <c r="R914" s="239"/>
      <c r="T914" s="240"/>
    </row>
    <row r="915">
      <c r="L915" s="239"/>
      <c r="N915" s="239"/>
      <c r="O915" s="239"/>
      <c r="R915" s="239"/>
      <c r="T915" s="240"/>
    </row>
    <row r="916">
      <c r="L916" s="239"/>
      <c r="N916" s="239"/>
      <c r="O916" s="239"/>
      <c r="R916" s="239"/>
      <c r="T916" s="240"/>
    </row>
    <row r="917">
      <c r="L917" s="239"/>
      <c r="N917" s="239"/>
      <c r="O917" s="239"/>
      <c r="R917" s="239"/>
      <c r="T917" s="240"/>
    </row>
    <row r="918">
      <c r="L918" s="239"/>
      <c r="N918" s="239"/>
      <c r="O918" s="239"/>
      <c r="R918" s="239"/>
      <c r="T918" s="240"/>
    </row>
    <row r="919">
      <c r="L919" s="239"/>
      <c r="N919" s="239"/>
      <c r="O919" s="239"/>
      <c r="R919" s="239"/>
      <c r="T919" s="240"/>
    </row>
    <row r="920">
      <c r="L920" s="239"/>
      <c r="N920" s="239"/>
      <c r="O920" s="239"/>
      <c r="R920" s="239"/>
      <c r="T920" s="240"/>
    </row>
    <row r="921">
      <c r="L921" s="239"/>
      <c r="N921" s="239"/>
      <c r="O921" s="239"/>
      <c r="R921" s="239"/>
      <c r="T921" s="240"/>
    </row>
    <row r="922">
      <c r="L922" s="239"/>
      <c r="N922" s="239"/>
      <c r="O922" s="239"/>
      <c r="R922" s="239"/>
      <c r="T922" s="240"/>
    </row>
    <row r="923">
      <c r="L923" s="239"/>
      <c r="N923" s="239"/>
      <c r="O923" s="239"/>
      <c r="R923" s="239"/>
      <c r="T923" s="240"/>
    </row>
    <row r="924">
      <c r="L924" s="239"/>
      <c r="N924" s="239"/>
      <c r="O924" s="239"/>
      <c r="R924" s="239"/>
      <c r="T924" s="240"/>
    </row>
    <row r="925">
      <c r="L925" s="239"/>
      <c r="N925" s="239"/>
      <c r="O925" s="239"/>
      <c r="R925" s="239"/>
      <c r="T925" s="240"/>
    </row>
    <row r="926">
      <c r="L926" s="239"/>
      <c r="N926" s="239"/>
      <c r="O926" s="239"/>
      <c r="R926" s="239"/>
      <c r="T926" s="240"/>
    </row>
    <row r="927">
      <c r="L927" s="239"/>
      <c r="N927" s="239"/>
      <c r="O927" s="239"/>
      <c r="R927" s="239"/>
      <c r="T927" s="240"/>
    </row>
    <row r="928">
      <c r="L928" s="239"/>
      <c r="N928" s="239"/>
      <c r="O928" s="239"/>
      <c r="R928" s="239"/>
      <c r="T928" s="240"/>
    </row>
    <row r="929">
      <c r="L929" s="239"/>
      <c r="N929" s="239"/>
      <c r="O929" s="239"/>
      <c r="R929" s="239"/>
      <c r="T929" s="240"/>
    </row>
    <row r="930">
      <c r="L930" s="239"/>
      <c r="N930" s="239"/>
      <c r="O930" s="239"/>
      <c r="R930" s="239"/>
      <c r="T930" s="240"/>
    </row>
    <row r="931">
      <c r="L931" s="239"/>
      <c r="N931" s="239"/>
      <c r="O931" s="239"/>
      <c r="R931" s="239"/>
      <c r="T931" s="240"/>
    </row>
    <row r="932">
      <c r="L932" s="239"/>
      <c r="N932" s="239"/>
      <c r="O932" s="239"/>
      <c r="R932" s="239"/>
      <c r="T932" s="240"/>
    </row>
    <row r="933">
      <c r="L933" s="239"/>
      <c r="N933" s="239"/>
      <c r="O933" s="239"/>
      <c r="R933" s="239"/>
      <c r="T933" s="240"/>
    </row>
    <row r="934">
      <c r="L934" s="239"/>
      <c r="N934" s="239"/>
      <c r="O934" s="239"/>
      <c r="R934" s="239"/>
      <c r="T934" s="240"/>
    </row>
    <row r="935">
      <c r="L935" s="239"/>
      <c r="N935" s="239"/>
      <c r="O935" s="239"/>
      <c r="R935" s="239"/>
      <c r="T935" s="240"/>
    </row>
    <row r="936">
      <c r="L936" s="239"/>
      <c r="N936" s="239"/>
      <c r="O936" s="239"/>
      <c r="R936" s="239"/>
      <c r="T936" s="240"/>
    </row>
    <row r="937">
      <c r="L937" s="239"/>
      <c r="N937" s="239"/>
      <c r="O937" s="239"/>
      <c r="R937" s="239"/>
      <c r="T937" s="240"/>
    </row>
    <row r="938">
      <c r="L938" s="239"/>
      <c r="N938" s="239"/>
      <c r="O938" s="239"/>
      <c r="R938" s="239"/>
      <c r="T938" s="240"/>
    </row>
    <row r="939">
      <c r="L939" s="239"/>
      <c r="N939" s="239"/>
      <c r="O939" s="239"/>
      <c r="R939" s="239"/>
      <c r="T939" s="240"/>
    </row>
    <row r="940">
      <c r="L940" s="239"/>
      <c r="N940" s="239"/>
      <c r="O940" s="239"/>
      <c r="R940" s="239"/>
      <c r="T940" s="240"/>
    </row>
    <row r="941">
      <c r="L941" s="239"/>
      <c r="N941" s="239"/>
      <c r="O941" s="239"/>
      <c r="R941" s="239"/>
      <c r="T941" s="240"/>
    </row>
    <row r="942">
      <c r="L942" s="239"/>
      <c r="N942" s="239"/>
      <c r="O942" s="239"/>
      <c r="R942" s="239"/>
      <c r="T942" s="240"/>
    </row>
    <row r="943">
      <c r="L943" s="239"/>
      <c r="N943" s="239"/>
      <c r="O943" s="239"/>
      <c r="R943" s="239"/>
      <c r="T943" s="240"/>
    </row>
    <row r="944">
      <c r="L944" s="239"/>
      <c r="N944" s="239"/>
      <c r="O944" s="239"/>
      <c r="R944" s="239"/>
      <c r="T944" s="240"/>
    </row>
    <row r="945">
      <c r="L945" s="239"/>
      <c r="N945" s="239"/>
      <c r="O945" s="239"/>
      <c r="R945" s="239"/>
      <c r="T945" s="240"/>
    </row>
    <row r="946">
      <c r="L946" s="239"/>
      <c r="N946" s="239"/>
      <c r="O946" s="239"/>
      <c r="R946" s="239"/>
      <c r="T946" s="240"/>
    </row>
    <row r="947">
      <c r="L947" s="239"/>
      <c r="N947" s="239"/>
      <c r="O947" s="239"/>
      <c r="R947" s="239"/>
      <c r="T947" s="240"/>
    </row>
    <row r="948">
      <c r="L948" s="239"/>
      <c r="N948" s="239"/>
      <c r="O948" s="239"/>
      <c r="R948" s="239"/>
      <c r="T948" s="240"/>
    </row>
    <row r="949">
      <c r="L949" s="239"/>
      <c r="N949" s="239"/>
      <c r="O949" s="239"/>
      <c r="R949" s="239"/>
      <c r="T949" s="240"/>
    </row>
    <row r="950">
      <c r="L950" s="239"/>
      <c r="N950" s="239"/>
      <c r="O950" s="239"/>
      <c r="R950" s="239"/>
      <c r="T950" s="240"/>
    </row>
    <row r="951">
      <c r="L951" s="239"/>
      <c r="N951" s="239"/>
      <c r="O951" s="239"/>
      <c r="R951" s="239"/>
      <c r="T951" s="240"/>
    </row>
    <row r="952">
      <c r="L952" s="239"/>
      <c r="N952" s="239"/>
      <c r="O952" s="239"/>
      <c r="R952" s="239"/>
      <c r="T952" s="240"/>
    </row>
    <row r="953">
      <c r="L953" s="239"/>
      <c r="N953" s="239"/>
      <c r="O953" s="239"/>
      <c r="R953" s="239"/>
      <c r="T953" s="240"/>
    </row>
    <row r="954">
      <c r="L954" s="239"/>
      <c r="N954" s="239"/>
      <c r="O954" s="239"/>
      <c r="R954" s="239"/>
      <c r="T954" s="240"/>
    </row>
    <row r="955">
      <c r="L955" s="239"/>
      <c r="N955" s="239"/>
      <c r="O955" s="239"/>
      <c r="R955" s="239"/>
      <c r="T955" s="240"/>
    </row>
    <row r="956">
      <c r="L956" s="239"/>
      <c r="N956" s="239"/>
      <c r="O956" s="239"/>
      <c r="R956" s="239"/>
      <c r="T956" s="240"/>
    </row>
    <row r="957">
      <c r="L957" s="239"/>
      <c r="N957" s="239"/>
      <c r="O957" s="239"/>
      <c r="R957" s="239"/>
      <c r="T957" s="240"/>
    </row>
    <row r="958">
      <c r="L958" s="239"/>
      <c r="N958" s="239"/>
      <c r="O958" s="239"/>
      <c r="R958" s="239"/>
      <c r="T958" s="240"/>
    </row>
    <row r="959">
      <c r="L959" s="239"/>
      <c r="N959" s="239"/>
      <c r="O959" s="239"/>
      <c r="R959" s="239"/>
      <c r="T959" s="240"/>
    </row>
    <row r="960">
      <c r="L960" s="239"/>
      <c r="N960" s="239"/>
      <c r="O960" s="239"/>
      <c r="R960" s="239"/>
      <c r="T960" s="240"/>
    </row>
    <row r="961">
      <c r="L961" s="239"/>
      <c r="N961" s="239"/>
      <c r="O961" s="239"/>
      <c r="R961" s="239"/>
      <c r="T961" s="240"/>
    </row>
    <row r="962">
      <c r="L962" s="239"/>
      <c r="N962" s="239"/>
      <c r="O962" s="239"/>
      <c r="R962" s="239"/>
      <c r="T962" s="240"/>
    </row>
    <row r="963">
      <c r="L963" s="239"/>
      <c r="N963" s="239"/>
      <c r="O963" s="239"/>
      <c r="R963" s="239"/>
      <c r="T963" s="240"/>
    </row>
    <row r="964">
      <c r="L964" s="239"/>
      <c r="N964" s="239"/>
      <c r="O964" s="239"/>
      <c r="R964" s="239"/>
      <c r="T964" s="240"/>
    </row>
    <row r="965">
      <c r="L965" s="239"/>
      <c r="N965" s="239"/>
      <c r="O965" s="239"/>
      <c r="R965" s="239"/>
      <c r="T965" s="240"/>
    </row>
    <row r="966">
      <c r="L966" s="239"/>
      <c r="N966" s="239"/>
      <c r="O966" s="239"/>
      <c r="R966" s="239"/>
      <c r="T966" s="240"/>
    </row>
    <row r="967">
      <c r="L967" s="239"/>
      <c r="N967" s="239"/>
      <c r="O967" s="239"/>
      <c r="R967" s="239"/>
      <c r="T967" s="240"/>
    </row>
    <row r="968">
      <c r="L968" s="239"/>
      <c r="N968" s="239"/>
      <c r="O968" s="239"/>
      <c r="R968" s="239"/>
      <c r="T968" s="240"/>
    </row>
    <row r="969">
      <c r="L969" s="239"/>
      <c r="N969" s="239"/>
      <c r="O969" s="239"/>
      <c r="R969" s="239"/>
      <c r="T969" s="240"/>
    </row>
    <row r="970">
      <c r="L970" s="239"/>
      <c r="N970" s="239"/>
      <c r="O970" s="239"/>
      <c r="R970" s="239"/>
      <c r="T970" s="240"/>
    </row>
    <row r="971">
      <c r="L971" s="239"/>
      <c r="N971" s="239"/>
      <c r="O971" s="239"/>
      <c r="R971" s="239"/>
      <c r="T971" s="240"/>
    </row>
    <row r="972">
      <c r="L972" s="239"/>
      <c r="N972" s="239"/>
      <c r="O972" s="239"/>
      <c r="R972" s="239"/>
      <c r="T972" s="240"/>
    </row>
    <row r="973">
      <c r="L973" s="239"/>
      <c r="N973" s="239"/>
      <c r="O973" s="239"/>
      <c r="R973" s="239"/>
      <c r="T973" s="240"/>
    </row>
    <row r="974">
      <c r="L974" s="239"/>
      <c r="N974" s="239"/>
      <c r="O974" s="239"/>
      <c r="R974" s="239"/>
      <c r="T974" s="240"/>
    </row>
    <row r="975">
      <c r="L975" s="239"/>
      <c r="N975" s="239"/>
      <c r="O975" s="239"/>
      <c r="R975" s="239"/>
      <c r="T975" s="240"/>
    </row>
    <row r="976">
      <c r="L976" s="239"/>
      <c r="N976" s="239"/>
      <c r="O976" s="239"/>
      <c r="R976" s="239"/>
      <c r="T976" s="240"/>
    </row>
    <row r="977">
      <c r="L977" s="239"/>
      <c r="N977" s="239"/>
      <c r="O977" s="239"/>
      <c r="R977" s="239"/>
      <c r="T977" s="240"/>
    </row>
    <row r="978">
      <c r="L978" s="239"/>
      <c r="N978" s="239"/>
      <c r="O978" s="239"/>
      <c r="R978" s="239"/>
      <c r="T978" s="240"/>
    </row>
    <row r="979">
      <c r="L979" s="239"/>
      <c r="N979" s="239"/>
      <c r="O979" s="239"/>
      <c r="R979" s="239"/>
      <c r="T979" s="240"/>
    </row>
    <row r="980">
      <c r="L980" s="239"/>
      <c r="N980" s="239"/>
      <c r="O980" s="239"/>
      <c r="R980" s="239"/>
      <c r="T980" s="240"/>
    </row>
    <row r="981">
      <c r="L981" s="239"/>
      <c r="N981" s="239"/>
      <c r="O981" s="239"/>
      <c r="R981" s="239"/>
      <c r="T981" s="240"/>
    </row>
    <row r="982">
      <c r="L982" s="239"/>
      <c r="N982" s="239"/>
      <c r="O982" s="239"/>
      <c r="R982" s="239"/>
      <c r="T982" s="240"/>
    </row>
    <row r="983">
      <c r="L983" s="239"/>
      <c r="N983" s="239"/>
      <c r="O983" s="239"/>
      <c r="R983" s="239"/>
      <c r="T983" s="240"/>
    </row>
    <row r="984">
      <c r="L984" s="239"/>
      <c r="N984" s="239"/>
      <c r="O984" s="239"/>
      <c r="R984" s="239"/>
      <c r="T984" s="240"/>
    </row>
    <row r="985">
      <c r="L985" s="239"/>
      <c r="N985" s="239"/>
      <c r="O985" s="239"/>
      <c r="R985" s="239"/>
      <c r="T985" s="240"/>
    </row>
    <row r="986">
      <c r="L986" s="239"/>
      <c r="N986" s="239"/>
      <c r="O986" s="239"/>
      <c r="R986" s="239"/>
      <c r="T986" s="240"/>
    </row>
    <row r="987">
      <c r="L987" s="239"/>
      <c r="N987" s="239"/>
      <c r="O987" s="239"/>
      <c r="R987" s="239"/>
      <c r="T987" s="240"/>
    </row>
    <row r="988">
      <c r="L988" s="239"/>
      <c r="N988" s="239"/>
      <c r="O988" s="239"/>
      <c r="R988" s="239"/>
      <c r="T988" s="240"/>
    </row>
    <row r="989">
      <c r="L989" s="239"/>
      <c r="N989" s="239"/>
      <c r="O989" s="239"/>
      <c r="R989" s="239"/>
      <c r="T989" s="240"/>
    </row>
    <row r="990">
      <c r="L990" s="239"/>
      <c r="N990" s="239"/>
      <c r="O990" s="239"/>
      <c r="R990" s="239"/>
      <c r="T990" s="240"/>
    </row>
    <row r="991">
      <c r="L991" s="239"/>
      <c r="N991" s="239"/>
      <c r="O991" s="239"/>
      <c r="R991" s="239"/>
      <c r="T991" s="240"/>
    </row>
    <row r="992">
      <c r="L992" s="239"/>
      <c r="N992" s="239"/>
      <c r="O992" s="239"/>
      <c r="R992" s="239"/>
      <c r="T992" s="240"/>
    </row>
    <row r="993">
      <c r="L993" s="239"/>
      <c r="N993" s="239"/>
      <c r="O993" s="239"/>
      <c r="R993" s="239"/>
      <c r="T993" s="240"/>
    </row>
    <row r="994">
      <c r="L994" s="239"/>
      <c r="N994" s="239"/>
      <c r="O994" s="239"/>
      <c r="R994" s="239"/>
      <c r="T994" s="240"/>
    </row>
    <row r="995">
      <c r="L995" s="239"/>
      <c r="N995" s="239"/>
      <c r="O995" s="239"/>
      <c r="R995" s="239"/>
      <c r="T995" s="240"/>
    </row>
    <row r="996">
      <c r="L996" s="239"/>
      <c r="N996" s="239"/>
      <c r="O996" s="239"/>
      <c r="R996" s="239"/>
      <c r="T996" s="240"/>
    </row>
    <row r="997">
      <c r="L997" s="239"/>
      <c r="N997" s="239"/>
      <c r="O997" s="239"/>
      <c r="R997" s="239"/>
      <c r="T997" s="240"/>
    </row>
    <row r="998">
      <c r="L998" s="239"/>
      <c r="N998" s="239"/>
      <c r="O998" s="239"/>
      <c r="R998" s="239"/>
      <c r="T998" s="240"/>
    </row>
    <row r="999">
      <c r="L999" s="239"/>
      <c r="N999" s="239"/>
      <c r="O999" s="239"/>
      <c r="R999" s="239"/>
      <c r="T999" s="240"/>
    </row>
    <row r="1000">
      <c r="L1000" s="239"/>
      <c r="N1000" s="239"/>
      <c r="O1000" s="239"/>
      <c r="R1000" s="239"/>
      <c r="T1000" s="240"/>
    </row>
  </sheetData>
  <mergeCells count="67">
    <mergeCell ref="B27:B28"/>
    <mergeCell ref="B29:B30"/>
    <mergeCell ref="C29:C30"/>
    <mergeCell ref="B31:B32"/>
    <mergeCell ref="C31:C32"/>
    <mergeCell ref="B33:B34"/>
    <mergeCell ref="C33:C34"/>
    <mergeCell ref="B13:B14"/>
    <mergeCell ref="B15:B16"/>
    <mergeCell ref="B17:B18"/>
    <mergeCell ref="B19:B20"/>
    <mergeCell ref="B21:B22"/>
    <mergeCell ref="B23:B24"/>
    <mergeCell ref="B25:B26"/>
    <mergeCell ref="W2:W4"/>
    <mergeCell ref="X2:X4"/>
    <mergeCell ref="C5:C6"/>
    <mergeCell ref="D5:D8"/>
    <mergeCell ref="U5:U6"/>
    <mergeCell ref="W5:W8"/>
    <mergeCell ref="C7:C8"/>
    <mergeCell ref="C15:C16"/>
    <mergeCell ref="C17:C18"/>
    <mergeCell ref="C19:C20"/>
    <mergeCell ref="C21:C22"/>
    <mergeCell ref="C23:C24"/>
    <mergeCell ref="C25:C26"/>
    <mergeCell ref="C27:C28"/>
    <mergeCell ref="B5:B6"/>
    <mergeCell ref="B7:B8"/>
    <mergeCell ref="B9:B10"/>
    <mergeCell ref="C9:C10"/>
    <mergeCell ref="B11:B12"/>
    <mergeCell ref="C11:C12"/>
    <mergeCell ref="C13:C14"/>
    <mergeCell ref="U7:U8"/>
    <mergeCell ref="R9:R10"/>
    <mergeCell ref="S9:S10"/>
    <mergeCell ref="U9:U10"/>
    <mergeCell ref="S11:S12"/>
    <mergeCell ref="U11:U12"/>
    <mergeCell ref="U13:U14"/>
    <mergeCell ref="F19:F20"/>
    <mergeCell ref="F21:F22"/>
    <mergeCell ref="F23:F24"/>
    <mergeCell ref="F25:F26"/>
    <mergeCell ref="F27:F28"/>
    <mergeCell ref="F29:F30"/>
    <mergeCell ref="F31:F32"/>
    <mergeCell ref="F33:F34"/>
    <mergeCell ref="F5:F6"/>
    <mergeCell ref="F7:F8"/>
    <mergeCell ref="F9:F10"/>
    <mergeCell ref="F11:F12"/>
    <mergeCell ref="F13:F14"/>
    <mergeCell ref="F15:F16"/>
    <mergeCell ref="F17:F18"/>
    <mergeCell ref="U29:U30"/>
    <mergeCell ref="U31:U32"/>
    <mergeCell ref="U33:U34"/>
    <mergeCell ref="U15:U16"/>
    <mergeCell ref="U17:U18"/>
    <mergeCell ref="U19:U20"/>
    <mergeCell ref="U21:U22"/>
    <mergeCell ref="U23:U24"/>
    <mergeCell ref="U25:U26"/>
    <mergeCell ref="U27:U28"/>
  </mergeCells>
  <conditionalFormatting sqref="F1:F1000">
    <cfRule type="containsText" dxfId="0" priority="1" operator="containsText" text="3인">
      <formula>NOT(ISERROR(SEARCH(("3인"),(F1))))</formula>
    </cfRule>
  </conditionalFormatting>
  <conditionalFormatting sqref="F1:F1000">
    <cfRule type="containsText" dxfId="1" priority="2" operator="containsText" text="4인">
      <formula>NOT(ISERROR(SEARCH(("4인"),(F1))))</formula>
    </cfRule>
  </conditionalFormatting>
  <drawing r:id="rId2"/>
  <legacyDrawing r:id="rId3"/>
</worksheet>
</file>