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8.xml"/>
  <Override ContentType="application/vnd.openxmlformats-officedocument.spreadsheetml.comments+xml" PartName="/xl/comments7.xml"/>
  <Override ContentType="application/vnd.openxmlformats-officedocument.spreadsheetml.comments+xml" PartName="/xl/comments5.xml"/>
  <Override ContentType="application/vnd.openxmlformats-officedocument.spreadsheetml.comments+xml" PartName="/xl/comments6.xml"/>
  <Override ContentType="application/vnd.openxmlformats-officedocument.spreadsheetml.comments+xml" PartName="/xl/comments1.xml"/>
  <Override ContentType="application/vnd.openxmlformats-officedocument.spreadsheetml.comments+xml" PartName="/xl/comments4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drawingml.chart+xml" PartName="/xl/charts/chart6.xml"/>
  <Override ContentType="application/vnd.openxmlformats-officedocument.drawingml.chart+xml" PartName="/xl/charts/chart7.xml"/>
  <Override ContentType="application/vnd.openxmlformats-officedocument.drawingml.chart+xml" PartName="/xl/charts/chart8.xml"/>
  <Override ContentType="application/vnd.openxmlformats-officedocument.drawingml.chart+xml" PartName="/xl/charts/chart4.xml"/>
  <Override ContentType="application/vnd.openxmlformats-officedocument.drawingml.chart+xml" PartName="/xl/charts/chart5.xml"/>
  <Override ContentType="application/vnd.openxmlformats-officedocument.drawingml.chart+xml" PartName="/xl/charts/chart3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월" sheetId="1" r:id="rId5"/>
    <sheet state="visible" name="1월" sheetId="2" r:id="rId6"/>
    <sheet state="visible" name="12월(B2B)" sheetId="3" r:id="rId7"/>
    <sheet state="visible" name="11월" sheetId="4" r:id="rId8"/>
    <sheet state="visible" name="10월" sheetId="5" r:id="rId9"/>
    <sheet state="visible" name="9월" sheetId="6" r:id="rId10"/>
    <sheet state="visible" name="8월" sheetId="7" r:id="rId11"/>
    <sheet state="visible" name="7월" sheetId="8" r:id="rId12"/>
  </sheets>
  <definedNames/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3%이상이 기준이지만, 스스로 기준 정하는 것도 추천
</t>
      </text>
    </comment>
    <comment authorId="0" ref="G10">
      <text>
        <t xml:space="preserve">3%이상이 기준이지만, 스스로 기준 정하는 것도 추천
</t>
      </text>
    </comment>
    <comment authorId="0" ref="G18">
      <text>
        <t xml:space="preserve">3%이상이 기준이지만, 스스로 기준 정하는 것도 추천
</t>
      </text>
    </comment>
    <comment authorId="0" ref="G26">
      <text>
        <t xml:space="preserve">3%이상이 기준이지만, 스스로 기준 정하는 것도 추천
</t>
      </text>
    </comment>
    <comment authorId="0" ref="G35">
      <text>
        <t xml:space="preserve">3%이상이 기준이지만, 스스로 기준 정하는 것도 추천
</t>
      </text>
    </comment>
    <comment authorId="0" ref="G43">
      <text>
        <t xml:space="preserve">3%이상이 기준이지만, 스스로 기준 정하는 것도 추천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3%이상이 기준이지만, 스스로 기준 정하는 것도 추천
</t>
      </text>
    </comment>
    <comment authorId="0" ref="G10">
      <text>
        <t xml:space="preserve">3%이상이 기준이지만, 스스로 기준 정하는 것도 추천
</t>
      </text>
    </comment>
    <comment authorId="0" ref="G18">
      <text>
        <t xml:space="preserve">3%이상이 기준이지만, 스스로 기준 정하는 것도 추천
</t>
      </text>
    </comment>
    <comment authorId="0" ref="G26">
      <text>
        <t xml:space="preserve">3%이상이 기준이지만, 스스로 기준 정하는 것도 추천
</t>
      </text>
    </comment>
    <comment authorId="0" ref="G34">
      <text>
        <t xml:space="preserve">3%이상이 기준이지만, 스스로 기준 정하는 것도 추천
</t>
      </text>
    </comment>
    <comment authorId="0" ref="G42">
      <text>
        <t xml:space="preserve">3%이상이 기준이지만, 스스로 기준 정하는 것도 추천
</t>
      </text>
    </comment>
    <comment authorId="0" ref="G50">
      <text>
        <t xml:space="preserve">3%이상이 기준이지만, 스스로 기준 정하는 것도 추천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3%이상이 기준이지만, 스스로 기준 정하는 것도 추천
</t>
      </text>
    </comment>
    <comment authorId="0" ref="G10">
      <text>
        <t xml:space="preserve">3%이상이 기준이지만, 스스로 기준 정하는 것도 추천
</t>
      </text>
    </comment>
    <comment authorId="0" ref="G18">
      <text>
        <t xml:space="preserve">3%이상이 기준이지만, 스스로 기준 정하는 것도 추천
</t>
      </text>
    </comment>
    <comment authorId="0" ref="G26">
      <text>
        <t xml:space="preserve">3%이상이 기준이지만, 스스로 기준 정하는 것도 추천
</t>
      </text>
    </comment>
    <comment authorId="0" ref="G34">
      <text>
        <t xml:space="preserve">3%이상이 기준이지만, 스스로 기준 정하는 것도 추천
</t>
      </text>
    </comment>
  </commentList>
</comments>
</file>

<file path=xl/comments4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3%이상이 기준이지만, 스스로 기준 정하는 것도 추천
</t>
      </text>
    </comment>
    <comment authorId="0" ref="G10">
      <text>
        <t xml:space="preserve">3%이상이 기준이지만, 스스로 기준 정하는 것도 추천
</t>
      </text>
    </comment>
    <comment authorId="0" ref="G18">
      <text>
        <t xml:space="preserve">3%이상이 기준이지만, 스스로 기준 정하는 것도 추천
</t>
      </text>
    </comment>
    <comment authorId="0" ref="G26">
      <text>
        <t xml:space="preserve">3%이상이 기준이지만, 스스로 기준 정하는 것도 추천
</t>
      </text>
    </comment>
    <comment authorId="0" ref="G34">
      <text>
        <t xml:space="preserve">3%이상이 기준이지만, 스스로 기준 정하는 것도 추천
</t>
      </text>
    </comment>
    <comment authorId="0" ref="G42">
      <text>
        <t xml:space="preserve">3%이상이 기준이지만, 스스로 기준 정하는 것도 추천
</t>
      </text>
    </comment>
    <comment authorId="0" ref="P45">
      <text>
        <t xml:space="preserve">3인,유아포함시 54명
</t>
      </text>
    </comment>
    <comment authorId="0" ref="G50">
      <text>
        <t xml:space="preserve">3%이상이 기준이지만, 스스로 기준 정하는 것도 추천
</t>
      </text>
    </comment>
  </commentList>
</comments>
</file>

<file path=xl/comments5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3%이상이 기준이지만, 스스로 기준 정하는 것도 추천
</t>
      </text>
    </comment>
    <comment authorId="0" ref="N3">
      <text>
        <t xml:space="preserve">9월 55만원 고객</t>
      </text>
    </comment>
    <comment authorId="0" ref="G10">
      <text>
        <t xml:space="preserve">3%이상이 기준이지만, 스스로 기준 정하는 것도 추천
</t>
      </text>
    </comment>
    <comment authorId="0" ref="G18">
      <text>
        <t xml:space="preserve">3%이상이 기준이지만, 스스로 기준 정하는 것도 추천
</t>
      </text>
    </comment>
    <comment authorId="0" ref="G26">
      <text>
        <t xml:space="preserve">3%이상이 기준이지만, 스스로 기준 정하는 것도 추천
</t>
      </text>
    </comment>
    <comment authorId="0" ref="G34">
      <text>
        <t xml:space="preserve">3%이상이 기준이지만, 스스로 기준 정하는 것도 추천
</t>
      </text>
    </comment>
    <comment authorId="0" ref="G42">
      <text>
        <t xml:space="preserve">3%이상이 기준이지만, 스스로 기준 정하는 것도 추천
</t>
      </text>
    </comment>
    <comment authorId="0" ref="G50">
      <text>
        <t xml:space="preserve">3%이상이 기준이지만, 스스로 기준 정하는 것도 추천
</t>
      </text>
    </comment>
    <comment authorId="0" ref="G58">
      <text>
        <t xml:space="preserve">3%이상이 기준이지만, 스스로 기준 정하는 것도 추천
</t>
      </text>
    </comment>
  </commentList>
</comments>
</file>

<file path=xl/comments6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G2">
      <text>
        <t xml:space="preserve">3%이상이 기준이지만, 스스로 기준 정하는 것도 추천
</t>
      </text>
    </comment>
    <comment authorId="0" ref="G12">
      <text>
        <t xml:space="preserve">3%이상이 기준이지만, 스스로 기준 정하는 것도 추천
</t>
      </text>
    </comment>
    <comment authorId="0" ref="G22">
      <text>
        <t xml:space="preserve">3%이상이 기준이지만, 스스로 기준 정하는 것도 추천
</t>
      </text>
    </comment>
    <comment authorId="0" ref="G32">
      <text>
        <t xml:space="preserve">3%이상이 기준이지만, 스스로 기준 정하는 것도 추천
</t>
      </text>
    </comment>
    <comment authorId="0" ref="G42">
      <text>
        <t xml:space="preserve">3%이상이 기준이지만, 스스로 기준 정하는 것도 추천
</t>
      </text>
    </comment>
    <comment authorId="0" ref="G52">
      <text>
        <t xml:space="preserve">3%이상이 기준이지만, 스스로 기준 정하는 것도 추천
</t>
      </text>
    </comment>
    <comment authorId="0" ref="G62">
      <text>
        <t xml:space="preserve">3%이상이 기준이지만, 스스로 기준 정하는 것도 추천
</t>
      </text>
    </comment>
  </commentList>
</comments>
</file>

<file path=xl/comments7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tc={01d6f084-78b3-4137-aaac-413774c2e2ca}</author>
    <author>tc={0e0d1fc7-66fd-41da-8ec2-d89339a7f0d7}</author>
    <author>tc={e1515d54-ecee-4689-992b-cdacdb21ff9e}</author>
    <author>tc={ed035fbe-d2d0-4e3f-a66d-575fd7d45808}</author>
  </authors>
  <commentList>
    <comment authorId="0" ref="H2">
      <text>
        <t xml:space="preserve">3%이상이 기준이지만, 스스로 기준 정하는 것도 추천
</t>
      </text>
    </comment>
    <comment authorId="0" ref="M3">
      <text>
        <t xml:space="preserve">+??
(패키지 2명 본사 인당5만원할인)</t>
      </text>
    </comment>
    <comment authorId="0" ref="M5">
      <text>
        <t xml:space="preserve">신현돈
마석수
김태경 (쪼인)</t>
      </text>
    </comment>
    <comment authorId="0" ref="H14">
      <text>
        <t xml:space="preserve">3%이상이 기준이지만, 스스로 기준 정하는 것도 추천
</t>
      </text>
    </comment>
    <comment authorId="0" ref="M17">
      <text>
        <t xml:space="preserve">김경수, 임영국
이성준, 김영미</t>
      </text>
    </comment>
    <comment authorId="0" ref="H26">
      <text>
        <t xml:space="preserve">3%이상이 기준이지만, 스스로 기준 정하는 것도 추천
</t>
      </text>
    </comment>
    <comment authorId="0" ref="H38">
      <text>
        <t xml:space="preserve">3%이상이 기준이지만, 스스로 기준 정하는 것도 추천
</t>
      </text>
    </comment>
    <comment authorId="0" ref="H50">
      <text>
        <t xml:space="preserve">3%이상이 기준이지만, 스스로 기준 정하는 것도 추천
</t>
      </text>
    </comment>
    <comment authorId="0" ref="H62">
      <text>
        <t xml:space="preserve">3%이상이 기준이지만, 스스로 기준 정하는 것도 추천
</t>
      </text>
    </comment>
    <comment authorId="0" ref="Q65">
      <text>
        <t xml:space="preserve">DB값 -5만원 
캐시백 -10만원 
리드젠2달 -10만원</t>
      </text>
    </comment>
    <comment authorId="1" xr:uid="{01d6f084-78b3-4137-aaac-413774c2e2ca}" ref="M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김경수
</t>
      </text>
    </comment>
    <comment authorId="2" xr:uid="{0e0d1fc7-66fd-41da-8ec2-d89339a7f0d7}" ref="M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김경수
</t>
      </text>
    </comment>
    <comment authorId="3" xr:uid="{e1515d54-ecee-4689-992b-cdacdb21ff9e}" ref="M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+??
(패키지 2명 본사 인당5만원할인)
</t>
      </text>
    </comment>
    <comment authorId="4" xr:uid="{ed035fbe-d2d0-4e3f-a66d-575fd7d45808}" ref="M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김태경 1인 오션뷰
김철민 3인 발코니
</t>
      </text>
    </comment>
  </commentList>
</comments>
</file>

<file path=xl/comments8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  <author>tc={3b1ba7e1-6647-4b40-b5e5-24b419d8b94a}</author>
    <author>tc={86996113-9f08-4d7d-88c0-3ddac9dc1f62}</author>
    <author>tc={f2ab7d28-67b2-45c1-b8f7-32900ec2165b}</author>
    <author>tc={f8aef818-5ad1-4eeb-b4b4-56d7b62ed6f9}</author>
  </authors>
  <commentList>
    <comment authorId="0" ref="H2">
      <text>
        <t xml:space="preserve">3%이상이 기준이지만, 스스로 기준 정하는 것도 추천
</t>
      </text>
    </comment>
    <comment authorId="0" ref="H17">
      <text>
        <t xml:space="preserve">3%이상이 기준이지만, 스스로 기준 정하는 것도 추천
</t>
      </text>
    </comment>
    <comment authorId="0" ref="H32">
      <text>
        <t xml:space="preserve">3%이상이 기준이지만, 스스로 기준 정하는 것도 추천
</t>
      </text>
    </comment>
    <comment authorId="0" ref="M35">
      <text>
        <t xml:space="preserve">진현우</t>
      </text>
    </comment>
    <comment authorId="0" ref="H47">
      <text>
        <t xml:space="preserve">3%이상이 기준이지만, 스스로 기준 정하는 것도 추천
</t>
      </text>
    </comment>
    <comment authorId="0" ref="M50">
      <text>
        <t xml:space="preserve">류경식</t>
      </text>
    </comment>
    <comment authorId="0" ref="H62">
      <text>
        <t xml:space="preserve">3%이상이 기준이지만, 스스로 기준 정하는 것도 추천
</t>
      </text>
    </comment>
    <comment authorId="0" ref="M65">
      <text>
        <t xml:space="preserve">이수언, 오묘숙</t>
      </text>
    </comment>
    <comment authorId="0" ref="H77">
      <text>
        <t xml:space="preserve">3%이상이 기준이지만, 스스로 기준 정하는 것도 추천
</t>
      </text>
    </comment>
    <comment authorId="1" xr:uid="{3b1ba7e1-6647-4b40-b5e5-24b419d8b94a}" ref="M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이수언, 오묘숙
</t>
      </text>
    </comment>
    <comment authorId="2" xr:uid="{86996113-9f08-4d7d-88c0-3ddac9dc1f62}" ref="M50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류경식
</t>
      </text>
    </comment>
    <comment authorId="3" xr:uid="{f2ab7d28-67b2-45c1-b8f7-32900ec2165b}" ref="M3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진현우
</t>
      </text>
    </comment>
    <comment authorId="4" xr:uid="{f8aef818-5ad1-4eeb-b4b4-56d7b62ed6f9}" ref="M65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이수언, 오묘숙
</t>
      </text>
    </comment>
  </commentList>
</comments>
</file>

<file path=xl/sharedStrings.xml><?xml version="1.0" encoding="utf-8"?>
<sst xmlns="http://schemas.openxmlformats.org/spreadsheetml/2006/main" count="1705" uniqueCount="593">
  <si>
    <t>2월</t>
  </si>
  <si>
    <t>담당자</t>
  </si>
  <si>
    <t>매체분석</t>
  </si>
  <si>
    <t>DB효율</t>
  </si>
  <si>
    <t>매출분석</t>
  </si>
  <si>
    <t>작성시점</t>
  </si>
  <si>
    <t>노출량</t>
  </si>
  <si>
    <t>클릭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</si>
  <si>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</si>
  <si>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</si>
  <si>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t>주간 집행
광고비</t>
  </si>
  <si>
    <t>DB수량</t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</si>
  <si>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</si>
  <si>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</si>
  <si>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t>미팅전환 건수</t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</si>
  <si>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</si>
  <si>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t>수당 매출</t>
  </si>
  <si>
    <t>클로징
건수</t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</si>
  <si>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아카데미 종류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</si>
  <si>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</si>
  <si>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t>순이익(원)</t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</si>
  <si>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</si>
  <si>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</si>
  <si>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2월 1주
</t>
    </r>
    <r>
      <rPr>
        <rFont val="Arial"/>
        <color theme="1"/>
      </rPr>
      <t>2/1~2/7
(토~금)</t>
    </r>
  </si>
  <si>
    <t>맥스</t>
  </si>
  <si>
    <t>해리</t>
  </si>
  <si>
    <t>정아인(2명), 이종훈</t>
  </si>
  <si>
    <t>로즈</t>
  </si>
  <si>
    <t>페르</t>
  </si>
  <si>
    <t>팀평균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</si>
  <si>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</si>
  <si>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</si>
  <si>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</si>
  <si>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</si>
  <si>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</si>
  <si>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</si>
  <si>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</si>
  <si>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</si>
  <si>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</si>
  <si>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2월 2주
</t>
    </r>
    <r>
      <rPr>
        <rFont val="Arial"/>
        <color theme="1"/>
      </rPr>
      <t>2/8~2/14
(토~금)</t>
    </r>
  </si>
  <si>
    <t>이재명(2명)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</si>
  <si>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</si>
  <si>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</si>
  <si>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</si>
  <si>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</si>
  <si>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</si>
  <si>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</si>
  <si>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</si>
  <si>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</si>
  <si>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</si>
  <si>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2월 3주
</t>
    </r>
    <r>
      <rPr>
        <rFont val="Arial"/>
        <color theme="1"/>
      </rPr>
      <t>2/15~2/21
(토~금)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</si>
  <si>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</si>
  <si>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</si>
  <si>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</si>
  <si>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</si>
  <si>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</si>
  <si>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</si>
  <si>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</si>
  <si>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</si>
  <si>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</si>
  <si>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2월 4주
</t>
    </r>
    <r>
      <rPr>
        <rFont val="Arial"/>
        <color theme="1"/>
      </rPr>
      <t>2/22~2/28
(토~화)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</si>
  <si>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</si>
  <si>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</si>
  <si>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t>월간 집행
광고비</t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</si>
  <si>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</si>
  <si>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</si>
  <si>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</si>
  <si>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</si>
  <si>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</si>
  <si>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</si>
  <si>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</si>
  <si>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1월 통계</t>
  </si>
  <si>
    <t>B2B 총계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</si>
  <si>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</si>
  <si>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</si>
  <si>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</si>
  <si>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</si>
  <si>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</si>
  <si>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</si>
  <si>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</si>
  <si>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</si>
  <si>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</si>
  <si>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12~2월</t>
  </si>
  <si>
    <t>1월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</si>
  <si>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</si>
  <si>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</si>
  <si>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</si>
  <si>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</si>
  <si>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</si>
  <si>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아카데미 종류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</si>
  <si>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</si>
  <si>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</si>
  <si>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</si>
  <si>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1월 1주
</t>
    </r>
    <r>
      <rPr>
        <rFont val="Arial"/>
        <color theme="1"/>
      </rPr>
      <t>1/1~1/3
(수~금)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</si>
  <si>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</si>
  <si>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</si>
  <si>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</si>
  <si>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</si>
  <si>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</si>
  <si>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</si>
  <si>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</si>
  <si>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</si>
  <si>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</si>
  <si>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1월 2주
</t>
    </r>
    <r>
      <rPr>
        <rFont val="Arial"/>
        <color theme="1"/>
      </rPr>
      <t>1/4~1/10
(토~금)</t>
    </r>
  </si>
  <si>
    <t>~1/10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</si>
  <si>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</si>
  <si>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</si>
  <si>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</si>
  <si>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</si>
  <si>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</si>
  <si>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</si>
  <si>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</si>
  <si>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</si>
  <si>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</si>
  <si>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1월 3주
</t>
    </r>
    <r>
      <rPr>
        <rFont val="Arial"/>
        <color theme="1"/>
      </rPr>
      <t>1/11~1/17
(토~금)</t>
    </r>
  </si>
  <si>
    <t>~1/17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</si>
  <si>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</si>
  <si>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</si>
  <si>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</si>
  <si>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</si>
  <si>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</si>
  <si>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</si>
  <si>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</si>
  <si>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</si>
  <si>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</si>
  <si>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1월 4주
</t>
    </r>
    <r>
      <rPr>
        <rFont val="Arial"/>
        <color theme="1"/>
      </rPr>
      <t>1/18~1/24
(토~화)</t>
    </r>
  </si>
  <si>
    <t>~1/24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</si>
  <si>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</si>
  <si>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</si>
  <si>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</si>
  <si>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</si>
  <si>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</si>
  <si>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</si>
  <si>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</si>
  <si>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</si>
  <si>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</si>
  <si>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1월 5주
</t>
    </r>
    <r>
      <rPr>
        <rFont val="Arial"/>
        <color theme="1"/>
      </rPr>
      <t>1/25~1/31
(토~화)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</si>
  <si>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</si>
  <si>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</si>
  <si>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</si>
  <si>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</si>
  <si>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</si>
  <si>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</si>
  <si>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</si>
  <si>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</si>
  <si>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</si>
  <si>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</si>
  <si>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</si>
  <si>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</si>
  <si>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</si>
  <si>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</si>
  <si>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</si>
  <si>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</si>
  <si>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</si>
  <si>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</si>
  <si>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1~2월</t>
  </si>
  <si>
    <t>12월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</si>
  <si>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</si>
  <si>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</si>
  <si>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</si>
  <si>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</si>
  <si>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</si>
  <si>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아카데미 종류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</si>
  <si>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</si>
  <si>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</si>
  <si>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</si>
  <si>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12월 1주
</t>
    </r>
    <r>
      <rPr>
        <rFont val="Arial"/>
        <color theme="1"/>
      </rPr>
      <t>11/30~12/6
(토~금)</t>
    </r>
  </si>
  <si>
    <t>10/22~12/6</t>
  </si>
  <si>
    <t>오월,주민규,김사무엘</t>
  </si>
  <si>
    <t>12/6 까지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</si>
  <si>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</si>
  <si>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</si>
  <si>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</si>
  <si>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</si>
  <si>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</si>
  <si>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</si>
  <si>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</si>
  <si>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</si>
  <si>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</si>
  <si>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12월 2주
</t>
    </r>
    <r>
      <rPr>
        <rFont val="Arial"/>
        <color theme="1"/>
      </rPr>
      <t>12/7~12/13
(토~금)</t>
    </r>
  </si>
  <si>
    <t>12/7~12/12</t>
  </si>
  <si>
    <t>이호영</t>
  </si>
  <si>
    <t>~12/13</t>
  </si>
  <si>
    <t>15개 해리, 페르, 맥스에게 이관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</si>
  <si>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</si>
  <si>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</si>
  <si>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</si>
  <si>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</si>
  <si>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</si>
  <si>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</si>
  <si>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</si>
  <si>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</si>
  <si>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</si>
  <si>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12월 3주
</t>
    </r>
    <r>
      <rPr>
        <rFont val="Arial"/>
        <color theme="1"/>
      </rPr>
      <t>12/14~12/20
(토~금)</t>
    </r>
  </si>
  <si>
    <t>~12/20</t>
  </si>
  <si>
    <t>10개 해리, 페르, 맥스에게 이관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</si>
  <si>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</si>
  <si>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</si>
  <si>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</si>
  <si>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</si>
  <si>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</si>
  <si>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</si>
  <si>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</si>
  <si>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</si>
  <si>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</si>
  <si>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12월 4주
</t>
    </r>
    <r>
      <rPr>
        <rFont val="Arial"/>
        <color theme="1"/>
      </rPr>
      <t>12/21~12/31
(토~화)</t>
    </r>
  </si>
  <si>
    <t>~12/31</t>
  </si>
  <si>
    <t>김베드로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</si>
  <si>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</si>
  <si>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</si>
  <si>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</si>
  <si>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</si>
  <si>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미팅전환률
</t>
    </r>
    <r>
      <rPr>
        <rFont val="Arial"/>
        <b/>
        <color theme="1"/>
        <sz val="7.0"/>
      </rPr>
      <t>(미팅건수/DB수량)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</si>
  <si>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</si>
  <si>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</si>
  <si>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</si>
  <si>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</si>
  <si>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12월 통계</t>
  </si>
  <si>
    <t>11월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</si>
  <si>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</si>
  <si>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</si>
  <si>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</si>
  <si>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</si>
  <si>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t>DB 클로징
건수</t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</si>
  <si>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</si>
  <si>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t>판매수량
(객실 수)</t>
  </si>
  <si>
    <t>판매수량
(동반 총인원)</t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</si>
  <si>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</si>
  <si>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</si>
  <si>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</si>
  <si>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11월 1주
</t>
    </r>
    <r>
      <rPr>
        <rFont val="Arial"/>
        <color theme="1"/>
      </rPr>
      <t>11/2~11/8
(토~금)</t>
    </r>
  </si>
  <si>
    <t>박지은(저)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</si>
  <si>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</si>
  <si>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</si>
  <si>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</si>
  <si>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</si>
  <si>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</si>
  <si>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</si>
  <si>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</si>
  <si>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</si>
  <si>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11월 2주
</t>
    </r>
    <r>
      <rPr>
        <rFont val="Arial"/>
        <color theme="1"/>
      </rPr>
      <t>11/9~11/15
(토~금)</t>
    </r>
  </si>
  <si>
    <t>김태복</t>
  </si>
  <si>
    <t>임진, 윤영준</t>
  </si>
  <si>
    <t>김영지, 유희진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</si>
  <si>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</si>
  <si>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</si>
  <si>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</si>
  <si>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</si>
  <si>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</si>
  <si>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</si>
  <si>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</si>
  <si>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</si>
  <si>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11월 3주
</t>
    </r>
    <r>
      <rPr>
        <rFont val="Arial"/>
        <color theme="1"/>
      </rPr>
      <t>11/16~11/22
(토~금)</t>
    </r>
  </si>
  <si>
    <t>일본관광패키지 (김홍민2, 정춘자2, 김상환4, 박정섭2)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</si>
  <si>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</si>
  <si>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</si>
  <si>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</si>
  <si>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</si>
  <si>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</si>
  <si>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</si>
  <si>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</si>
  <si>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</si>
  <si>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11월 4주
</t>
    </r>
    <r>
      <rPr>
        <rFont val="Arial"/>
        <color theme="1"/>
      </rPr>
      <t>11/23~11/29
(토~금)</t>
    </r>
  </si>
  <si>
    <t>정성예, (김주희환불)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</si>
  <si>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</si>
  <si>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</si>
  <si>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</si>
  <si>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</si>
  <si>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</si>
  <si>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</si>
  <si>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</si>
  <si>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</si>
  <si>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11월 통계</t>
  </si>
  <si>
    <t>9~11월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</si>
  <si>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</si>
  <si>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</si>
  <si>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</si>
  <si>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</si>
  <si>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</si>
  <si>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</si>
  <si>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</si>
  <si>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</si>
  <si>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홍일 크루즈 판매 통계</t>
  </si>
  <si>
    <t>7~10월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</si>
  <si>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</si>
  <si>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</si>
  <si>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t>누적 광고 집행비</t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</si>
  <si>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</si>
  <si>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</si>
  <si>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</si>
  <si>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</si>
  <si>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</si>
  <si>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</si>
  <si>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총 누적 통계</t>
  </si>
  <si>
    <t>10월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</si>
  <si>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</si>
  <si>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</si>
  <si>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</si>
  <si>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</si>
  <si>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</si>
  <si>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</si>
  <si>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</si>
  <si>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</si>
  <si>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10월 1주
</t>
    </r>
    <r>
      <rPr>
        <rFont val="Arial"/>
        <color theme="1"/>
      </rPr>
      <t>9/29~10/4
(토~금)</t>
    </r>
  </si>
  <si>
    <t>박선규(조인)</t>
  </si>
  <si>
    <t>이상현 지인</t>
  </si>
  <si>
    <t>~10/4까지</t>
  </si>
  <si>
    <t>서윤경, 박정섭. 정춘자(패)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</si>
  <si>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</si>
  <si>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</si>
  <si>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</si>
  <si>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</si>
  <si>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</si>
  <si>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</si>
  <si>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</si>
  <si>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</si>
  <si>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10월 2주
</t>
    </r>
    <r>
      <rPr>
        <rFont val="Arial"/>
        <color theme="1"/>
      </rPr>
      <t>10/5~10/11
(토~금)</t>
    </r>
  </si>
  <si>
    <t>심순애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</si>
  <si>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</si>
  <si>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</si>
  <si>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</si>
  <si>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</si>
  <si>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</si>
  <si>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</si>
  <si>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</si>
  <si>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</si>
  <si>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10월 3주
</t>
    </r>
    <r>
      <rPr>
        <rFont val="Arial"/>
        <color theme="1"/>
      </rPr>
      <t>10/12~10/18
(토~금)</t>
    </r>
  </si>
  <si>
    <t>최철</t>
  </si>
  <si>
    <t>~10/18까지</t>
  </si>
  <si>
    <t>페르DB9개포함값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</si>
  <si>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</si>
  <si>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</si>
  <si>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</si>
  <si>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</si>
  <si>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</si>
  <si>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</si>
  <si>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</si>
  <si>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</si>
  <si>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10월 4주
</t>
    </r>
    <r>
      <rPr>
        <rFont val="Arial"/>
        <color theme="1"/>
      </rPr>
      <t>10/19~10/25
(토~금)</t>
    </r>
  </si>
  <si>
    <t>유진경,최진주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</si>
  <si>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</si>
  <si>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</si>
  <si>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</si>
  <si>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</si>
  <si>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</si>
  <si>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</si>
  <si>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</si>
  <si>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</si>
  <si>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10월 5주
</t>
    </r>
    <r>
      <rPr>
        <rFont val="Arial"/>
        <color theme="1"/>
      </rPr>
      <t>10/26~11/1
(토~금)</t>
    </r>
  </si>
  <si>
    <t>최원주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</si>
  <si>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</si>
  <si>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</si>
  <si>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</si>
  <si>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</si>
  <si>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</si>
  <si>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</si>
  <si>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</si>
  <si>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</si>
  <si>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10월 통계</t>
  </si>
  <si>
    <t>9~10월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</si>
  <si>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</si>
  <si>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</si>
  <si>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</si>
  <si>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</si>
  <si>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</si>
  <si>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</si>
  <si>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</si>
  <si>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</si>
  <si>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</si>
  <si>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</si>
  <si>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</si>
  <si>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</si>
  <si>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</si>
  <si>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</si>
  <si>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</si>
  <si>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</si>
  <si>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8월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</si>
  <si>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</si>
  <si>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</si>
  <si>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</si>
  <si>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</si>
  <si>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</si>
  <si>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</si>
  <si>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</si>
  <si>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</si>
  <si>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8월 4주
</t>
    </r>
    <r>
      <rPr>
        <rFont val="Arial"/>
        <color theme="1"/>
      </rPr>
      <t>8/24~8/30
(토~금)</t>
    </r>
  </si>
  <si>
    <t>8/30까지</t>
  </si>
  <si>
    <t>남윤일(쪼인)</t>
  </si>
  <si>
    <t>오드리</t>
  </si>
  <si>
    <t>08/23 상품판매 종료 N·D</t>
  </si>
  <si>
    <t>데이빗</t>
  </si>
  <si>
    <t>9월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</si>
  <si>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</si>
  <si>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</si>
  <si>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</si>
  <si>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</si>
  <si>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</si>
  <si>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</si>
  <si>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</si>
  <si>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</si>
  <si>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9월 1주
</t>
    </r>
    <r>
      <rPr>
        <rFont val="Arial"/>
        <color theme="1"/>
      </rPr>
      <t>8/31~9/6
(토~금)</t>
    </r>
  </si>
  <si>
    <t>8/29 ~9/8</t>
  </si>
  <si>
    <t>9/6까지</t>
  </si>
  <si>
    <t>김베드로(쪼인), 정기정, 지현호, 정대한, 조보용</t>
  </si>
  <si>
    <t>09/01 ~09/06</t>
  </si>
  <si>
    <t>※ 24.09.01 Start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</si>
  <si>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</si>
  <si>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</si>
  <si>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</si>
  <si>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</si>
  <si>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</si>
  <si>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</si>
  <si>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</si>
  <si>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</si>
  <si>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9월 2주
</t>
    </r>
    <r>
      <rPr>
        <rFont val="Arial"/>
        <color theme="1"/>
      </rPr>
      <t>9/7~9/13
(토~금)</t>
    </r>
  </si>
  <si>
    <t>9/9~ 9/14</t>
  </si>
  <si>
    <t>한태연, 남궁지혜</t>
  </si>
  <si>
    <t>9/13까지</t>
  </si>
  <si>
    <t>하해리, 김석관, 양지은(이경호)</t>
  </si>
  <si>
    <t>09/07 ~09/13</t>
  </si>
  <si>
    <t>박수연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</si>
  <si>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</si>
  <si>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</si>
  <si>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</si>
  <si>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</si>
  <si>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</si>
  <si>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</si>
  <si>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</si>
  <si>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</si>
  <si>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9월 3주
</t>
    </r>
    <r>
      <rPr>
        <rFont val="Arial"/>
        <color theme="1"/>
      </rPr>
      <t>9/14~9/20
(토~금)</t>
    </r>
  </si>
  <si>
    <t>최재선,박태희</t>
  </si>
  <si>
    <t>임진, 류상택</t>
  </si>
  <si>
    <t>9/20까지</t>
  </si>
  <si>
    <t>서유리, 김주희</t>
  </si>
  <si>
    <t>09/14 ~09/20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</si>
  <si>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</si>
  <si>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</si>
  <si>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</si>
  <si>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</si>
  <si>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</si>
  <si>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</si>
  <si>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</si>
  <si>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</si>
  <si>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9월 4주
</t>
    </r>
    <r>
      <rPr>
        <rFont val="Arial"/>
        <color theme="1"/>
      </rPr>
      <t>9/21~9/28
(토~금)</t>
    </r>
  </si>
  <si>
    <t>박진호, 이상현, 심성우, 박정하, 박정하님 지인</t>
  </si>
  <si>
    <t>김홍민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</si>
  <si>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</si>
  <si>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</si>
  <si>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</si>
  <si>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</si>
  <si>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</si>
  <si>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</si>
  <si>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</si>
  <si>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</si>
  <si>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9월 통계</t>
  </si>
  <si>
    <t>7~9월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</si>
  <si>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</si>
  <si>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</si>
  <si>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</si>
  <si>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</si>
  <si>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비고
</t>
    </r>
    <r>
      <rPr>
        <rFont val="Arial"/>
        <b/>
        <color theme="1"/>
        <sz val="7.0"/>
      </rPr>
      <t>(고객이름, 메모 등)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</si>
  <si>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</si>
  <si>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</si>
  <si>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</si>
  <si>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누적 통계</t>
  </si>
  <si>
    <t>광고매체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</si>
  <si>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</si>
  <si>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</si>
  <si>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</si>
  <si>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</si>
  <si>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</si>
  <si>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</si>
  <si>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</si>
  <si>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8월 1주
</t>
    </r>
    <r>
      <rPr>
        <rFont val="Arial"/>
        <color theme="1"/>
      </rPr>
      <t>8/3~8/9
(토~금)</t>
    </r>
  </si>
  <si>
    <t>메타</t>
  </si>
  <si>
    <t>8/9 까지</t>
  </si>
  <si>
    <t>24.08.15</t>
  </si>
  <si>
    <t>크리스</t>
  </si>
  <si>
    <t>아이린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</si>
  <si>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</si>
  <si>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</si>
  <si>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</si>
  <si>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</si>
  <si>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</si>
  <si>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</si>
  <si>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</si>
  <si>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8월 2주
</t>
    </r>
    <r>
      <rPr>
        <rFont val="Arial"/>
        <color theme="1"/>
      </rPr>
      <t>8/10~8/16
(토~금)</t>
    </r>
  </si>
  <si>
    <t>8/16까지</t>
  </si>
  <si>
    <t>24.08.16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</si>
  <si>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</si>
  <si>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</si>
  <si>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</si>
  <si>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</si>
  <si>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</si>
  <si>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</si>
  <si>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</si>
  <si>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8월 3주
</t>
    </r>
    <r>
      <rPr>
        <rFont val="Arial"/>
        <color theme="1"/>
      </rPr>
      <t>8/17~8/23
(토~금)</t>
    </r>
  </si>
  <si>
    <t>8/20 오전9시반</t>
  </si>
  <si>
    <t>24.08.24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</si>
  <si>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</si>
  <si>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</si>
  <si>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</si>
  <si>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</si>
  <si>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</si>
  <si>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</si>
  <si>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</si>
  <si>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r>
      <rPr>
        <rFont val="Arial"/>
        <b/>
        <color theme="1"/>
        <sz val="15.0"/>
      </rPr>
      <t xml:space="preserve">8월 4주
</t>
    </r>
    <r>
      <rPr>
        <rFont val="Arial"/>
        <color theme="1"/>
      </rPr>
      <t>8/24~8/30
(토~금)</t>
    </r>
  </si>
  <si>
    <t>8월 통계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</si>
  <si>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</si>
  <si>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</si>
  <si>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t>월간 광고집행비</t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</si>
  <si>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</si>
  <si>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</si>
  <si>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</si>
  <si>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</si>
  <si>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</si>
  <si>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7~8월 
누적 통계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</si>
  <si>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</si>
  <si>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</si>
  <si>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</si>
  <si>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</si>
  <si>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</si>
  <si>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</si>
  <si>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</si>
  <si>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나폴레온</t>
  </si>
  <si>
    <t>7월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</si>
  <si>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</si>
  <si>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</si>
  <si>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</si>
  <si>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</si>
  <si>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</si>
  <si>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</si>
  <si>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</si>
  <si>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2024.07.05</t>
  </si>
  <si>
    <r>
      <rPr>
        <rFont val="Arial"/>
        <b/>
        <color theme="1"/>
        <sz val="15.0"/>
      </rPr>
      <t xml:space="preserve">7월 1주
</t>
    </r>
    <r>
      <rPr>
        <rFont val="Arial"/>
        <color theme="1"/>
      </rPr>
      <t>6/30~7/5
(토~금)</t>
    </r>
  </si>
  <si>
    <t>7/7 오후 1시반</t>
  </si>
  <si>
    <t>7/1~7/6</t>
  </si>
  <si>
    <t>제니</t>
  </si>
  <si>
    <t>케빈</t>
  </si>
  <si>
    <t>엘리</t>
  </si>
  <si>
    <t>칼리</t>
  </si>
  <si>
    <r>
      <rPr>
        <rFont val="Arial"/>
        <b/>
        <color theme="1"/>
        <sz val="15.0"/>
      </rPr>
      <t xml:space="preserve">7월 2주
</t>
    </r>
    <r>
      <rPr>
        <rFont val="Arial"/>
        <color theme="1"/>
      </rPr>
      <t>7/6~7/12
(토~금)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</si>
  <si>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</si>
  <si>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</si>
  <si>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</si>
  <si>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</si>
  <si>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</si>
  <si>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</si>
  <si>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</si>
  <si>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2024.07.12</t>
  </si>
  <si>
    <t>7/12 밤 12시</t>
  </si>
  <si>
    <t>7/7~7/13</t>
  </si>
  <si>
    <t>7/13 오전</t>
  </si>
  <si>
    <t>7/13 오전 방금</t>
  </si>
  <si>
    <t>2024.7.20</t>
  </si>
  <si>
    <r>
      <rPr>
        <rFont val="Arial"/>
        <b/>
        <color theme="1"/>
        <sz val="15.0"/>
      </rPr>
      <t xml:space="preserve">7월 3주
</t>
    </r>
    <r>
      <rPr>
        <rFont val="Arial"/>
        <color theme="1"/>
      </rPr>
      <t>7/13~7/19
(토~금)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</si>
  <si>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</si>
  <si>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</si>
  <si>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</si>
  <si>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</si>
  <si>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</si>
  <si>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</si>
  <si>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</si>
  <si>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7/19 밤12시까지</t>
  </si>
  <si>
    <t>7/14~7/20</t>
  </si>
  <si>
    <r>
      <rPr>
        <rFont val="Arial"/>
        <b/>
        <color theme="1"/>
        <sz val="15.0"/>
      </rPr>
      <t xml:space="preserve">7월 4주
</t>
    </r>
    <r>
      <rPr>
        <rFont val="Arial"/>
        <color theme="1"/>
      </rPr>
      <t>7/20~7/26
(토~금)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</si>
  <si>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</si>
  <si>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</si>
  <si>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</si>
  <si>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</si>
  <si>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</si>
  <si>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</si>
  <si>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</si>
  <si>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7/26 까지</t>
  </si>
  <si>
    <t>7/21~7/27</t>
  </si>
  <si>
    <r>
      <rPr>
        <rFont val="Arial"/>
        <b/>
        <color theme="1"/>
        <sz val="15.0"/>
      </rPr>
      <t xml:space="preserve">7월 5주
</t>
    </r>
    <r>
      <rPr>
        <rFont val="Arial"/>
        <color theme="1"/>
      </rPr>
      <t>7/27~8/2
(토~금)</t>
    </r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</si>
  <si>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</si>
  <si>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</si>
  <si>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</si>
  <si>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</si>
  <si>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</si>
  <si>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</si>
  <si>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</si>
  <si>
    <t>8/2까지</t>
  </si>
  <si>
    <t>7/28~7/31</t>
  </si>
  <si>
    <t>개인별 월간 통계</t>
  </si>
  <si>
    <r>
      <rPr>
        <rFont val="Arial"/>
        <b/>
        <color theme="1"/>
      </rPr>
      <t xml:space="preserve">클릭당 단가 (원)
CPC
</t>
    </r>
    <r>
      <rPr>
        <rFont val="Arial"/>
        <b/>
        <color theme="1"/>
        <sz val="8.0"/>
      </rPr>
      <t>(광고집행비/클릭)</t>
    </r>
  </si>
  <si>
    <r>
      <rPr>
        <rFont val="Arial"/>
        <b/>
        <color theme="1"/>
      </rPr>
      <t xml:space="preserve">클릭률 
CTR
</t>
    </r>
    <r>
      <rPr>
        <rFont val="Arial"/>
        <b/>
        <color theme="1"/>
        <sz val="8.0"/>
      </rPr>
      <t>(클릭/노출량)</t>
    </r>
  </si>
  <si>
    <r>
      <rPr>
        <rFont val="Arial"/>
        <b/>
        <color theme="1"/>
      </rPr>
      <t xml:space="preserve">DB전환률
</t>
    </r>
    <r>
      <rPr>
        <rFont val="Arial"/>
        <b/>
        <color theme="1"/>
        <sz val="7.0"/>
      </rPr>
      <t>(DB수량/클릭)</t>
    </r>
  </si>
  <si>
    <r>
      <rPr>
        <rFont val="Arial"/>
        <b/>
        <color theme="1"/>
      </rPr>
      <t xml:space="preserve">DB단가
</t>
    </r>
    <r>
      <rPr>
        <rFont val="Arial"/>
        <b/>
        <color theme="1"/>
        <sz val="7.0"/>
      </rPr>
      <t>(광고비/DB수량)</t>
    </r>
  </si>
  <si>
    <r>
      <rPr>
        <rFont val="Arial"/>
        <b/>
        <color theme="1"/>
      </rPr>
      <t xml:space="preserve">클로징률
</t>
    </r>
    <r>
      <rPr>
        <rFont val="Arial"/>
        <b/>
        <color theme="1"/>
        <sz val="7.0"/>
      </rPr>
      <t>(클로징건수/DB수량)</t>
    </r>
  </si>
  <si>
    <r>
      <rPr>
        <rFont val="Arial"/>
        <b/>
        <color theme="1"/>
      </rPr>
      <t xml:space="preserve">ROAS
</t>
    </r>
    <r>
      <rPr>
        <rFont val="Arial"/>
        <b/>
        <color theme="1"/>
        <sz val="8.0"/>
      </rPr>
      <t>(매출/광고비)*100</t>
    </r>
  </si>
  <si>
    <r>
      <rPr>
        <rFont val="Arial"/>
        <b/>
        <color theme="1"/>
      </rPr>
      <t xml:space="preserve">ROI
</t>
    </r>
    <r>
      <rPr>
        <rFont val="Arial"/>
        <b/>
        <color theme="1"/>
        <sz val="8.0"/>
      </rPr>
      <t>(순이익/광고비)*100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</si>
</sst>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8">
    <numFmt numFmtId="164" formatCode="m/d"/>
    <numFmt numFmtId="165" formatCode="[$₩-412]#,##0"/>
    <numFmt numFmtId="166" formatCode="#,##0.0"/>
    <numFmt numFmtId="167" formatCode="m/d am/pm h:mm"/>
    <numFmt numFmtId="168" formatCode="m/d/yyyy h:mm:ss"/>
    <numFmt numFmtId="169" formatCode="yyyy. m. d"/>
    <numFmt numFmtId="170" formatCode="0.0%"/>
    <numFmt numFmtId="171" formatCode="yyyy. m. d am/pm h:mm"/>
  </numFmts>
  <fonts count="22">
    <font>
      <sz val="10.0"/>
      <color rgb="FF000000"/>
      <name val="Arial"/>
      <scheme val="minor"/>
    </font>
    <font>
      <b/>
      <sz val="17.0"/>
      <color theme="1"/>
      <name val="Arial"/>
      <scheme val="minor"/>
    </font>
    <font>
      <b/>
      <color theme="1"/>
      <name val="Arial"/>
      <scheme val="minor"/>
    </font>
    <font>
      <b/>
      <color rgb="FFFFFFFF"/>
      <name val="Arial"/>
      <scheme val="minor"/>
    </font>
    <font/>
    <font>
      <color theme="1"/>
      <name val="Arial"/>
      <scheme val="minor"/>
    </font>
    <font>
      <b/>
      <i/>
      <color rgb="FFFF00FF"/>
      <name val="Malgun Gothic"/>
    </font>
    <font>
      <b/>
      <i/>
      <color rgb="FF0000FF"/>
      <name val="Arial"/>
      <scheme val="minor"/>
    </font>
    <font>
      <b/>
      <i/>
      <color rgb="FFFF0000"/>
      <name val="Arial"/>
      <scheme val="minor"/>
    </font>
    <font>
      <b/>
      <color rgb="FFFF0000"/>
      <name val="Arial"/>
      <scheme val="minor"/>
    </font>
    <font>
      <b/>
      <sz val="14.0"/>
      <color theme="1"/>
      <name val="Arial"/>
      <scheme val="minor"/>
    </font>
    <font>
      <b/>
      <i/>
      <sz val="14.0"/>
      <color rgb="FFFF00FF"/>
      <name val="Arial"/>
      <scheme val="minor"/>
    </font>
    <font>
      <b/>
      <i/>
      <sz val="14.0"/>
      <color rgb="FF0000FF"/>
      <name val="Arial"/>
      <scheme val="minor"/>
    </font>
    <font>
      <b/>
      <i/>
      <sz val="14.0"/>
      <color rgb="FFFF0000"/>
      <name val="Arial"/>
      <scheme val="minor"/>
    </font>
    <font>
      <sz val="10.0"/>
      <color theme="1"/>
      <name val="Arial"/>
      <scheme val="minor"/>
    </font>
    <font>
      <sz val="8.0"/>
      <color theme="1"/>
      <name val="Arial"/>
      <scheme val="minor"/>
    </font>
    <font>
      <color theme="1"/>
      <name val="Arial"/>
    </font>
    <font>
      <b/>
      <sz val="15.0"/>
      <color rgb="FFFFFFFF"/>
      <name val="Arial"/>
      <scheme val="minor"/>
    </font>
    <font>
      <b/>
      <color theme="0"/>
      <name val="Arial"/>
      <scheme val="minor"/>
    </font>
    <font>
      <b/>
      <i/>
      <color rgb="FFFF0000"/>
      <name val="Arial"/>
    </font>
    <font>
      <sz val="12.0"/>
      <color theme="1"/>
      <name val="Arial"/>
      <scheme val="minor"/>
    </font>
    <font>
      <b/>
      <sz val="16.0"/>
      <color theme="1"/>
      <name val="Arial"/>
      <scheme val="minor"/>
    </font>
  </fonts>
  <fills count="10">
    <fill>
      <patternFill patternType="none"/>
    </fill>
    <fill>
      <patternFill patternType="lightGray"/>
    </fill>
    <fill>
      <patternFill patternType="solid">
        <fgColor rgb="FFD9D9D9"/>
        <bgColor rgb="FFD9D9D9"/>
      </patternFill>
    </fill>
    <fill>
      <patternFill patternType="solid">
        <fgColor rgb="FFFF00FF"/>
        <bgColor rgb="FFFF00FF"/>
      </patternFill>
    </fill>
    <fill>
      <patternFill patternType="solid">
        <fgColor rgb="FF0000FF"/>
        <bgColor rgb="FF0000FF"/>
      </patternFill>
    </fill>
    <fill>
      <patternFill patternType="solid">
        <fgColor rgb="FFFF0000"/>
        <bgColor rgb="FFFF0000"/>
      </patternFill>
    </fill>
    <fill>
      <patternFill patternType="solid">
        <fgColor rgb="FFEFEFEF"/>
        <bgColor rgb="FFEFEFEF"/>
      </patternFill>
    </fill>
    <fill>
      <patternFill patternType="solid">
        <fgColor rgb="FFFFFF00"/>
        <bgColor rgb="FFFFFF00"/>
      </patternFill>
    </fill>
    <fill>
      <patternFill patternType="solid">
        <fgColor rgb="FF000000"/>
        <bgColor rgb="FF000000"/>
      </patternFill>
    </fill>
    <fill>
      <patternFill patternType="solid">
        <fgColor rgb="FFFF9900"/>
        <bgColor rgb="FFFF9900"/>
      </patternFill>
    </fill>
  </fills>
  <borders count="33">
    <border/>
    <border>
      <left style="thick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right style="thin">
        <color rgb="FF000000"/>
      </right>
      <top style="thick">
        <color rgb="FF000000"/>
      </top>
    </border>
    <border>
      <left style="thin">
        <color rgb="FF000000"/>
      </left>
      <top style="thick">
        <color rgb="FF000000"/>
      </top>
      <bottom style="thin">
        <color rgb="FF000000"/>
      </bottom>
    </border>
    <border>
      <top style="thick">
        <color rgb="FF000000"/>
      </top>
      <bottom style="thin">
        <color rgb="FF000000"/>
      </bottom>
    </border>
    <border>
      <right style="thin">
        <color rgb="FF000000"/>
      </right>
      <top style="thick">
        <color rgb="FF000000"/>
      </top>
      <bottom style="thin">
        <color rgb="FF000000"/>
      </bottom>
    </border>
    <border>
      <right style="thick">
        <color rgb="FF000000"/>
      </right>
      <top style="thick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</border>
    <border>
      <left style="thick">
        <color rgb="FF000000"/>
      </left>
      <right style="thin">
        <color rgb="FF000000"/>
      </right>
    </border>
    <border>
      <left style="thick">
        <color rgb="FF000000"/>
      </left>
      <top style="thin">
        <color rgb="FF000000"/>
      </top>
      <bottom style="thick">
        <color rgb="FF000000"/>
      </bottom>
    </border>
    <border>
      <top style="thin">
        <color rgb="FF000000"/>
      </top>
      <bottom style="thick">
        <color rgb="FF000000"/>
      </bottom>
    </border>
    <border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</border>
    <border>
      <right style="thick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right style="thin">
        <color rgb="FF000000"/>
      </right>
      <top style="medium">
        <color rgb="FF000000"/>
      </top>
    </border>
    <border>
      <left style="thin">
        <color rgb="FF000000"/>
      </left>
      <top style="medium">
        <color rgb="FF000000"/>
      </top>
      <bottom style="thin">
        <color rgb="FF000000"/>
      </bottom>
    </border>
    <border>
      <top style="medium">
        <color rgb="FF000000"/>
      </top>
      <bottom style="thin">
        <color rgb="FF000000"/>
      </bottom>
    </border>
    <border>
      <right style="thin">
        <color rgb="FF000000"/>
      </right>
      <top style="medium">
        <color rgb="FF000000"/>
      </top>
      <bottom style="thin">
        <color rgb="FF000000"/>
      </bottom>
    </border>
    <border>
      <right style="medium">
        <color rgb="FF000000"/>
      </right>
      <top style="medium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</border>
    <border>
      <left style="medium">
        <color rgb="FF000000"/>
      </left>
      <right style="thin">
        <color rgb="FF000000"/>
      </right>
      <bottom style="thin">
        <color rgb="FF000000"/>
      </bottom>
    </border>
    <border>
      <left style="medium">
        <color rgb="FF000000"/>
      </left>
      <top style="thin">
        <color rgb="FF000000"/>
      </top>
      <bottom style="medium">
        <color rgb="FF000000"/>
      </bottom>
    </border>
    <border>
      <top style="thin">
        <color rgb="FF000000"/>
      </top>
      <bottom style="medium">
        <color rgb="FF000000"/>
      </bottom>
    </border>
    <border>
      <right style="thin">
        <color rgb="FF000000"/>
      </right>
      <top style="thin">
        <color rgb="FF000000"/>
      </top>
      <bottom style="medium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center"/>
    </xf>
    <xf borderId="2" fillId="2" fontId="2" numFmtId="0" xfId="0" applyAlignment="1" applyBorder="1" applyFont="1">
      <alignment horizontal="center" readingOrder="0" vertical="center"/>
    </xf>
    <xf borderId="3" fillId="3" fontId="3" numFmtId="0" xfId="0" applyAlignment="1" applyBorder="1" applyFill="1" applyFont="1">
      <alignment horizontal="center" readingOrder="0" vertical="center"/>
    </xf>
    <xf borderId="4" fillId="0" fontId="4" numFmtId="0" xfId="0" applyBorder="1" applyFont="1"/>
    <xf borderId="5" fillId="0" fontId="4" numFmtId="0" xfId="0" applyBorder="1" applyFont="1"/>
    <xf borderId="3" fillId="4" fontId="3" numFmtId="0" xfId="0" applyAlignment="1" applyBorder="1" applyFill="1" applyFont="1">
      <alignment horizontal="center" readingOrder="0" vertical="center"/>
    </xf>
    <xf borderId="3" fillId="5" fontId="3" numFmtId="0" xfId="0" applyAlignment="1" applyBorder="1" applyFill="1" applyFont="1">
      <alignment horizontal="center" readingOrder="0" vertical="center"/>
    </xf>
    <xf borderId="6" fillId="0" fontId="4" numFmtId="0" xfId="0" applyBorder="1" applyFont="1"/>
    <xf borderId="0" fillId="0" fontId="5" numFmtId="0" xfId="0" applyAlignment="1" applyFont="1">
      <alignment vertical="center"/>
    </xf>
    <xf borderId="7" fillId="0" fontId="4" numFmtId="0" xfId="0" applyBorder="1" applyFont="1"/>
    <xf borderId="8" fillId="0" fontId="4" numFmtId="0" xfId="0" applyBorder="1" applyFont="1"/>
    <xf borderId="9" fillId="2" fontId="2" numFmtId="0" xfId="0" applyAlignment="1" applyBorder="1" applyFont="1">
      <alignment horizontal="center" readingOrder="0" vertical="center"/>
    </xf>
    <xf borderId="9" fillId="2" fontId="2" numFmtId="0" xfId="0" applyAlignment="1" applyBorder="1" applyFont="1">
      <alignment horizontal="center" readingOrder="0" shrinkToFit="0" vertical="center" wrapText="1"/>
    </xf>
    <xf borderId="10" fillId="2" fontId="2" numFmtId="0" xfId="0" applyAlignment="1" applyBorder="1" applyFont="1">
      <alignment horizontal="center" readingOrder="0" vertical="center"/>
    </xf>
    <xf borderId="11" fillId="0" fontId="5" numFmtId="0" xfId="0" applyAlignment="1" applyBorder="1" applyFont="1">
      <alignment horizontal="center" readingOrder="0" vertical="center"/>
    </xf>
    <xf borderId="9" fillId="0" fontId="5" numFmtId="0" xfId="0" applyAlignment="1" applyBorder="1" applyFont="1">
      <alignment horizontal="center" readingOrder="0" vertical="center"/>
    </xf>
    <xf borderId="9" fillId="0" fontId="5" numFmtId="164" xfId="0" applyAlignment="1" applyBorder="1" applyFont="1" applyNumberFormat="1">
      <alignment horizontal="center" readingOrder="0" shrinkToFit="0" vertical="center" wrapText="1"/>
    </xf>
    <xf borderId="9" fillId="0" fontId="5" numFmtId="3" xfId="0" applyAlignment="1" applyBorder="1" applyFont="1" applyNumberFormat="1">
      <alignment horizontal="center" readingOrder="0" vertical="center"/>
    </xf>
    <xf borderId="9" fillId="6" fontId="6" numFmtId="165" xfId="0" applyAlignment="1" applyBorder="1" applyFill="1" applyFont="1" applyNumberFormat="1">
      <alignment horizontal="center" vertical="center"/>
    </xf>
    <xf borderId="9" fillId="6" fontId="6" numFmtId="10" xfId="0" applyAlignment="1" applyBorder="1" applyFont="1" applyNumberFormat="1">
      <alignment horizontal="center" vertical="center"/>
    </xf>
    <xf borderId="9" fillId="0" fontId="5" numFmtId="165" xfId="0" applyAlignment="1" applyBorder="1" applyFont="1" applyNumberFormat="1">
      <alignment horizontal="center" readingOrder="0" vertical="center"/>
    </xf>
    <xf borderId="9" fillId="6" fontId="7" numFmtId="10" xfId="0" applyAlignment="1" applyBorder="1" applyFont="1" applyNumberFormat="1">
      <alignment horizontal="center" readingOrder="0" vertical="center"/>
    </xf>
    <xf borderId="9" fillId="6" fontId="7" numFmtId="165" xfId="0" applyAlignment="1" applyBorder="1" applyFont="1" applyNumberFormat="1">
      <alignment horizontal="center" readingOrder="0" vertical="center"/>
    </xf>
    <xf borderId="9" fillId="6" fontId="8" numFmtId="10" xfId="0" applyAlignment="1" applyBorder="1" applyFont="1" applyNumberFormat="1">
      <alignment horizontal="center" readingOrder="0" vertical="center"/>
    </xf>
    <xf borderId="9" fillId="6" fontId="5" numFmtId="3" xfId="0" applyAlignment="1" applyBorder="1" applyFont="1" applyNumberFormat="1">
      <alignment horizontal="center" readingOrder="0" vertical="center"/>
    </xf>
    <xf borderId="10" fillId="6" fontId="8" numFmtId="10" xfId="0" applyAlignment="1" applyBorder="1" applyFont="1" applyNumberFormat="1">
      <alignment horizontal="center" readingOrder="0" vertical="center"/>
    </xf>
    <xf borderId="12" fillId="0" fontId="4" numFmtId="0" xfId="0" applyBorder="1" applyFont="1"/>
    <xf borderId="0" fillId="0" fontId="9" numFmtId="0" xfId="0" applyAlignment="1" applyFont="1">
      <alignment readingOrder="0" vertical="center"/>
    </xf>
    <xf borderId="9" fillId="0" fontId="5" numFmtId="0" xfId="0" applyAlignment="1" applyBorder="1" applyFont="1">
      <alignment horizontal="center" readingOrder="0" shrinkToFit="0" vertical="center" wrapText="1"/>
    </xf>
    <xf borderId="13" fillId="7" fontId="10" numFmtId="0" xfId="0" applyAlignment="1" applyBorder="1" applyFill="1" applyFont="1">
      <alignment horizontal="center" readingOrder="0" vertical="center"/>
    </xf>
    <xf borderId="14" fillId="0" fontId="4" numFmtId="0" xfId="0" applyBorder="1" applyFont="1"/>
    <xf borderId="15" fillId="0" fontId="4" numFmtId="0" xfId="0" applyBorder="1" applyFont="1"/>
    <xf borderId="16" fillId="7" fontId="11" numFmtId="165" xfId="0" applyAlignment="1" applyBorder="1" applyFont="1" applyNumberFormat="1">
      <alignment horizontal="center" vertical="center"/>
    </xf>
    <xf borderId="16" fillId="7" fontId="11" numFmtId="10" xfId="0" applyAlignment="1" applyBorder="1" applyFont="1" applyNumberFormat="1">
      <alignment horizontal="center" vertical="center"/>
    </xf>
    <xf borderId="16" fillId="8" fontId="10" numFmtId="165" xfId="0" applyAlignment="1" applyBorder="1" applyFill="1" applyFont="1" applyNumberFormat="1">
      <alignment horizontal="center" readingOrder="0" vertical="center"/>
    </xf>
    <xf borderId="16" fillId="7" fontId="10" numFmtId="3" xfId="0" applyAlignment="1" applyBorder="1" applyFont="1" applyNumberFormat="1">
      <alignment horizontal="center" readingOrder="0" vertical="center"/>
    </xf>
    <xf borderId="16" fillId="7" fontId="12" numFmtId="10" xfId="0" applyAlignment="1" applyBorder="1" applyFont="1" applyNumberFormat="1">
      <alignment horizontal="center" vertical="center"/>
    </xf>
    <xf borderId="16" fillId="7" fontId="12" numFmtId="165" xfId="0" applyAlignment="1" applyBorder="1" applyFont="1" applyNumberFormat="1">
      <alignment horizontal="center" readingOrder="0" vertical="center"/>
    </xf>
    <xf borderId="16" fillId="7" fontId="10" numFmtId="0" xfId="0" applyAlignment="1" applyBorder="1" applyFont="1">
      <alignment horizontal="center" readingOrder="0" vertical="center"/>
    </xf>
    <xf borderId="16" fillId="7" fontId="13" numFmtId="10" xfId="0" applyAlignment="1" applyBorder="1" applyFont="1" applyNumberFormat="1">
      <alignment horizontal="center" vertical="center"/>
    </xf>
    <xf borderId="17" fillId="7" fontId="13" numFmtId="10" xfId="0" applyAlignment="1" applyBorder="1" applyFont="1" applyNumberFormat="1">
      <alignment horizontal="center" vertical="center"/>
    </xf>
    <xf borderId="9" fillId="6" fontId="6" numFmtId="165" xfId="0" applyAlignment="1" applyBorder="1" applyFont="1" applyNumberFormat="1">
      <alignment horizontal="center" readingOrder="0" vertical="center"/>
    </xf>
    <xf borderId="9" fillId="0" fontId="14" numFmtId="0" xfId="0" applyAlignment="1" applyBorder="1" applyFont="1">
      <alignment horizontal="center" readingOrder="0" shrinkToFit="0" vertical="center" wrapText="1"/>
    </xf>
    <xf borderId="9" fillId="0" fontId="15" numFmtId="0" xfId="0" applyAlignment="1" applyBorder="1" applyFont="1">
      <alignment horizontal="center" readingOrder="0" shrinkToFit="0" vertical="center" wrapText="1"/>
    </xf>
    <xf borderId="9" fillId="0" fontId="16" numFmtId="0" xfId="0" applyAlignment="1" applyBorder="1" applyFont="1">
      <alignment horizontal="center" readingOrder="0" shrinkToFit="0" vertical="center" wrapText="1"/>
    </xf>
    <xf borderId="9" fillId="0" fontId="16" numFmtId="3" xfId="0" applyAlignment="1" applyBorder="1" applyFont="1" applyNumberFormat="1">
      <alignment horizontal="center" readingOrder="0" vertical="center"/>
    </xf>
    <xf borderId="9" fillId="0" fontId="16" numFmtId="165" xfId="0" applyAlignment="1" applyBorder="1" applyFont="1" applyNumberFormat="1">
      <alignment horizontal="center" readingOrder="0" vertical="center"/>
    </xf>
    <xf borderId="9" fillId="0" fontId="16" numFmtId="0" xfId="0" applyAlignment="1" applyBorder="1" applyFont="1">
      <alignment horizontal="center" readingOrder="0" vertical="center"/>
    </xf>
    <xf borderId="11" fillId="5" fontId="17" numFmtId="49" xfId="0" applyAlignment="1" applyBorder="1" applyFont="1" applyNumberFormat="1">
      <alignment horizontal="center" readingOrder="0" vertical="center"/>
    </xf>
    <xf borderId="9" fillId="0" fontId="16" numFmtId="164" xfId="0" applyAlignment="1" applyBorder="1" applyFont="1" applyNumberFormat="1">
      <alignment horizontal="center" readingOrder="0" shrinkToFit="0" vertical="center" wrapText="1"/>
    </xf>
    <xf borderId="9" fillId="0" fontId="5" numFmtId="0" xfId="0" applyAlignment="1" applyBorder="1" applyFont="1">
      <alignment horizontal="center" readingOrder="0"/>
    </xf>
    <xf borderId="9" fillId="0" fontId="5" numFmtId="164" xfId="0" applyAlignment="1" applyBorder="1" applyFont="1" applyNumberFormat="1">
      <alignment horizontal="center" readingOrder="0" shrinkToFit="0" wrapText="1"/>
    </xf>
    <xf borderId="9" fillId="0" fontId="5" numFmtId="3" xfId="0" applyAlignment="1" applyBorder="1" applyFont="1" applyNumberFormat="1">
      <alignment horizontal="center" readingOrder="0"/>
    </xf>
    <xf borderId="9" fillId="6" fontId="6" numFmtId="165" xfId="0" applyAlignment="1" applyBorder="1" applyFont="1" applyNumberFormat="1">
      <alignment horizontal="center"/>
    </xf>
    <xf borderId="9" fillId="6" fontId="6" numFmtId="10" xfId="0" applyAlignment="1" applyBorder="1" applyFont="1" applyNumberFormat="1">
      <alignment horizontal="center"/>
    </xf>
    <xf borderId="9" fillId="0" fontId="5" numFmtId="165" xfId="0" applyAlignment="1" applyBorder="1" applyFont="1" applyNumberFormat="1">
      <alignment horizontal="center" readingOrder="0"/>
    </xf>
    <xf borderId="9" fillId="6" fontId="7" numFmtId="10" xfId="0" applyAlignment="1" applyBorder="1" applyFont="1" applyNumberFormat="1">
      <alignment horizontal="center" readingOrder="0"/>
    </xf>
    <xf borderId="9" fillId="6" fontId="7" numFmtId="165" xfId="0" applyAlignment="1" applyBorder="1" applyFont="1" applyNumberFormat="1">
      <alignment horizontal="center" readingOrder="0"/>
    </xf>
    <xf borderId="9" fillId="6" fontId="8" numFmtId="10" xfId="0" applyAlignment="1" applyBorder="1" applyFont="1" applyNumberFormat="1">
      <alignment horizontal="center" readingOrder="0"/>
    </xf>
    <xf borderId="9" fillId="6" fontId="5" numFmtId="3" xfId="0" applyAlignment="1" applyBorder="1" applyFont="1" applyNumberFormat="1">
      <alignment horizontal="center" readingOrder="0"/>
    </xf>
    <xf borderId="10" fillId="6" fontId="8" numFmtId="10" xfId="0" applyAlignment="1" applyBorder="1" applyFont="1" applyNumberFormat="1">
      <alignment horizontal="center" readingOrder="0"/>
    </xf>
    <xf borderId="9" fillId="0" fontId="14" numFmtId="0" xfId="0" applyAlignment="1" applyBorder="1" applyFont="1">
      <alignment horizontal="center" readingOrder="0" shrinkToFit="0" wrapText="1"/>
    </xf>
    <xf borderId="9" fillId="0" fontId="5" numFmtId="0" xfId="0" applyAlignment="1" applyBorder="1" applyFont="1">
      <alignment horizontal="center" readingOrder="0" shrinkToFit="0" wrapText="1"/>
    </xf>
    <xf borderId="0" fillId="0" fontId="9" numFmtId="0" xfId="0" applyAlignment="1" applyFont="1">
      <alignment readingOrder="0"/>
    </xf>
    <xf borderId="16" fillId="7" fontId="11" numFmtId="165" xfId="0" applyAlignment="1" applyBorder="1" applyFont="1" applyNumberFormat="1">
      <alignment horizontal="center"/>
    </xf>
    <xf borderId="16" fillId="7" fontId="11" numFmtId="10" xfId="0" applyAlignment="1" applyBorder="1" applyFont="1" applyNumberFormat="1">
      <alignment horizontal="center"/>
    </xf>
    <xf borderId="16" fillId="8" fontId="10" numFmtId="165" xfId="0" applyAlignment="1" applyBorder="1" applyFont="1" applyNumberFormat="1">
      <alignment horizontal="center" readingOrder="0"/>
    </xf>
    <xf borderId="16" fillId="7" fontId="10" numFmtId="3" xfId="0" applyAlignment="1" applyBorder="1" applyFont="1" applyNumberFormat="1">
      <alignment horizontal="center" readingOrder="0"/>
    </xf>
    <xf borderId="16" fillId="7" fontId="12" numFmtId="10" xfId="0" applyAlignment="1" applyBorder="1" applyFont="1" applyNumberFormat="1">
      <alignment horizontal="center"/>
    </xf>
    <xf borderId="16" fillId="7" fontId="12" numFmtId="165" xfId="0" applyAlignment="1" applyBorder="1" applyFont="1" applyNumberFormat="1">
      <alignment horizontal="center" readingOrder="0"/>
    </xf>
    <xf borderId="16" fillId="7" fontId="10" numFmtId="0" xfId="0" applyAlignment="1" applyBorder="1" applyFont="1">
      <alignment horizontal="center" readingOrder="0"/>
    </xf>
    <xf borderId="16" fillId="7" fontId="13" numFmtId="10" xfId="0" applyAlignment="1" applyBorder="1" applyFont="1" applyNumberFormat="1">
      <alignment horizontal="center"/>
    </xf>
    <xf borderId="17" fillId="7" fontId="13" numFmtId="10" xfId="0" applyAlignment="1" applyBorder="1" applyFont="1" applyNumberFormat="1">
      <alignment horizontal="center"/>
    </xf>
    <xf borderId="9" fillId="6" fontId="6" numFmtId="165" xfId="0" applyAlignment="1" applyBorder="1" applyFont="1" applyNumberFormat="1">
      <alignment horizontal="center" readingOrder="0"/>
    </xf>
    <xf borderId="0" fillId="0" fontId="5" numFmtId="0" xfId="0" applyAlignment="1" applyFont="1">
      <alignment horizontal="center" readingOrder="0"/>
    </xf>
    <xf borderId="9" fillId="0" fontId="14" numFmtId="164" xfId="0" applyAlignment="1" applyBorder="1" applyFont="1" applyNumberFormat="1">
      <alignment horizontal="center" readingOrder="0" shrinkToFit="0" wrapText="1"/>
    </xf>
    <xf borderId="9" fillId="0" fontId="15" numFmtId="0" xfId="0" applyAlignment="1" applyBorder="1" applyFont="1">
      <alignment horizontal="center" readingOrder="0" shrinkToFit="0" wrapText="1"/>
    </xf>
    <xf borderId="9" fillId="0" fontId="16" numFmtId="164" xfId="0" applyAlignment="1" applyBorder="1" applyFont="1" applyNumberFormat="1">
      <alignment horizontal="center" readingOrder="0" shrinkToFit="0" vertical="bottom" wrapText="1"/>
    </xf>
    <xf borderId="9" fillId="0" fontId="16" numFmtId="3" xfId="0" applyAlignment="1" applyBorder="1" applyFont="1" applyNumberFormat="1">
      <alignment horizontal="center" readingOrder="0" vertical="bottom"/>
    </xf>
    <xf borderId="9" fillId="0" fontId="16" numFmtId="165" xfId="0" applyAlignment="1" applyBorder="1" applyFont="1" applyNumberFormat="1">
      <alignment horizontal="center" readingOrder="0" vertical="bottom"/>
    </xf>
    <xf borderId="9" fillId="0" fontId="16" numFmtId="0" xfId="0" applyAlignment="1" applyBorder="1" applyFont="1">
      <alignment horizontal="center" readingOrder="0" vertical="bottom"/>
    </xf>
    <xf borderId="11" fillId="5" fontId="17" numFmtId="49" xfId="0" applyAlignment="1" applyBorder="1" applyFont="1" applyNumberFormat="1">
      <alignment horizontal="center" readingOrder="0" shrinkToFit="0" vertical="center" wrapText="1"/>
    </xf>
    <xf borderId="11" fillId="8" fontId="17" numFmtId="49" xfId="0" applyAlignment="1" applyBorder="1" applyFont="1" applyNumberFormat="1">
      <alignment horizontal="center" readingOrder="0" shrinkToFit="0" vertical="center" wrapText="1"/>
    </xf>
    <xf borderId="9" fillId="0" fontId="5" numFmtId="166" xfId="0" applyAlignment="1" applyBorder="1" applyFont="1" applyNumberFormat="1">
      <alignment horizontal="center" readingOrder="0"/>
    </xf>
    <xf borderId="9" fillId="0" fontId="16" numFmtId="3" xfId="0" applyAlignment="1" applyBorder="1" applyFont="1" applyNumberFormat="1">
      <alignment horizontal="center" vertical="bottom"/>
    </xf>
    <xf borderId="9" fillId="0" fontId="16" numFmtId="0" xfId="0" applyAlignment="1" applyBorder="1" applyFont="1">
      <alignment horizontal="center" vertical="bottom"/>
    </xf>
    <xf borderId="9" fillId="0" fontId="14" numFmtId="167" xfId="0" applyAlignment="1" applyBorder="1" applyFont="1" applyNumberFormat="1">
      <alignment horizontal="center" readingOrder="0" shrinkToFit="0" wrapText="1"/>
    </xf>
    <xf borderId="9" fillId="0" fontId="5" numFmtId="3" xfId="0" applyAlignment="1" applyBorder="1" applyFont="1" applyNumberFormat="1">
      <alignment horizontal="center" readingOrder="0" shrinkToFit="0" wrapText="1"/>
    </xf>
    <xf borderId="9" fillId="0" fontId="5" numFmtId="3" xfId="0" applyAlignment="1" applyBorder="1" applyFont="1" applyNumberFormat="1">
      <alignment horizontal="center"/>
    </xf>
    <xf borderId="9" fillId="0" fontId="5" numFmtId="0" xfId="0" applyAlignment="1" applyBorder="1" applyFont="1">
      <alignment horizontal="center"/>
    </xf>
    <xf borderId="9" fillId="0" fontId="5" numFmtId="3" xfId="0" applyAlignment="1" applyBorder="1" applyFont="1" applyNumberFormat="1">
      <alignment horizontal="center" shrinkToFit="0" wrapText="1"/>
    </xf>
    <xf borderId="9" fillId="0" fontId="5" numFmtId="165" xfId="0" applyAlignment="1" applyBorder="1" applyFont="1" applyNumberFormat="1">
      <alignment horizontal="center"/>
    </xf>
    <xf borderId="9" fillId="0" fontId="5" numFmtId="167" xfId="0" applyAlignment="1" applyBorder="1" applyFont="1" applyNumberFormat="1">
      <alignment horizontal="center" readingOrder="0" shrinkToFit="0" wrapText="1"/>
    </xf>
    <xf borderId="9" fillId="0" fontId="16" numFmtId="0" xfId="0" applyAlignment="1" applyBorder="1" applyFont="1">
      <alignment horizontal="center" readingOrder="0" shrinkToFit="0" vertical="bottom" wrapText="1"/>
    </xf>
    <xf borderId="11" fillId="8" fontId="17" numFmtId="49" xfId="0" applyAlignment="1" applyBorder="1" applyFont="1" applyNumberFormat="1">
      <alignment horizontal="center" readingOrder="0" vertical="center"/>
    </xf>
    <xf borderId="3" fillId="3" fontId="18" numFmtId="0" xfId="0" applyAlignment="1" applyBorder="1" applyFont="1">
      <alignment horizontal="center" readingOrder="0" vertical="center"/>
    </xf>
    <xf borderId="9" fillId="0" fontId="5" numFmtId="168" xfId="0" applyAlignment="1" applyBorder="1" applyFont="1" applyNumberFormat="1">
      <alignment horizontal="center" shrinkToFit="0" wrapText="1"/>
    </xf>
    <xf borderId="1" fillId="5" fontId="1" numFmtId="0" xfId="0" applyAlignment="1" applyBorder="1" applyFont="1">
      <alignment horizontal="center" readingOrder="0" vertical="center"/>
    </xf>
    <xf borderId="9" fillId="0" fontId="5" numFmtId="165" xfId="0" applyAlignment="1" applyBorder="1" applyFont="1" applyNumberFormat="1">
      <alignment horizontal="center" readingOrder="0"/>
    </xf>
    <xf borderId="9" fillId="6" fontId="19" numFmtId="10" xfId="0" applyAlignment="1" applyBorder="1" applyFont="1" applyNumberFormat="1">
      <alignment horizontal="center" vertical="bottom"/>
    </xf>
    <xf borderId="10" fillId="6" fontId="19" numFmtId="10" xfId="0" applyAlignment="1" applyBorder="1" applyFont="1" applyNumberFormat="1">
      <alignment horizontal="center" vertical="bottom"/>
    </xf>
    <xf borderId="1" fillId="9" fontId="1" numFmtId="0" xfId="0" applyAlignment="1" applyBorder="1" applyFill="1" applyFont="1">
      <alignment horizontal="center" readingOrder="0" vertical="center"/>
    </xf>
    <xf borderId="0" fillId="0" fontId="5" numFmtId="4" xfId="0" applyFont="1" applyNumberFormat="1"/>
    <xf borderId="18" fillId="0" fontId="20" numFmtId="168" xfId="0" applyAlignment="1" applyBorder="1" applyFont="1" applyNumberFormat="1">
      <alignment horizontal="center" shrinkToFit="0" wrapText="1"/>
    </xf>
    <xf borderId="1" fillId="0" fontId="5" numFmtId="0" xfId="0" applyAlignment="1" applyBorder="1" applyFont="1">
      <alignment horizontal="center" readingOrder="0" vertical="center"/>
    </xf>
    <xf borderId="19" fillId="6" fontId="19" numFmtId="10" xfId="0" applyAlignment="1" applyBorder="1" applyFont="1" applyNumberFormat="1">
      <alignment horizontal="center" vertical="bottom"/>
    </xf>
    <xf borderId="9" fillId="0" fontId="5" numFmtId="169" xfId="0" applyAlignment="1" applyBorder="1" applyFont="1" applyNumberFormat="1">
      <alignment horizontal="center" readingOrder="0"/>
    </xf>
    <xf borderId="9" fillId="0" fontId="5" numFmtId="168" xfId="0" applyAlignment="1" applyBorder="1" applyFont="1" applyNumberFormat="1">
      <alignment horizontal="center"/>
    </xf>
    <xf borderId="0" fillId="0" fontId="5" numFmtId="19" xfId="0" applyAlignment="1" applyFont="1" applyNumberFormat="1">
      <alignment readingOrder="0"/>
    </xf>
    <xf borderId="9" fillId="0" fontId="5" numFmtId="167" xfId="0" applyAlignment="1" applyBorder="1" applyFont="1" applyNumberFormat="1">
      <alignment horizontal="center" readingOrder="0"/>
    </xf>
    <xf borderId="0" fillId="0" fontId="5" numFmtId="168" xfId="0" applyFont="1" applyNumberFormat="1"/>
    <xf borderId="20" fillId="0" fontId="5" numFmtId="0" xfId="0" applyAlignment="1" applyBorder="1" applyFont="1">
      <alignment horizontal="center" readingOrder="0" vertical="center"/>
    </xf>
    <xf borderId="21" fillId="2" fontId="2" numFmtId="0" xfId="0" applyAlignment="1" applyBorder="1" applyFont="1">
      <alignment horizontal="center" readingOrder="0" vertical="center"/>
    </xf>
    <xf borderId="22" fillId="3" fontId="18" numFmtId="0" xfId="0" applyAlignment="1" applyBorder="1" applyFont="1">
      <alignment horizontal="center" readingOrder="0" vertical="center"/>
    </xf>
    <xf borderId="23" fillId="0" fontId="4" numFmtId="0" xfId="0" applyBorder="1" applyFont="1"/>
    <xf borderId="24" fillId="0" fontId="4" numFmtId="0" xfId="0" applyBorder="1" applyFont="1"/>
    <xf borderId="22" fillId="4" fontId="3" numFmtId="0" xfId="0" applyAlignment="1" applyBorder="1" applyFont="1">
      <alignment horizontal="center" readingOrder="0" vertical="center"/>
    </xf>
    <xf borderId="22" fillId="5" fontId="3" numFmtId="0" xfId="0" applyAlignment="1" applyBorder="1" applyFont="1">
      <alignment horizontal="center" readingOrder="0" vertical="center"/>
    </xf>
    <xf borderId="25" fillId="0" fontId="4" numFmtId="0" xfId="0" applyBorder="1" applyFont="1"/>
    <xf borderId="26" fillId="0" fontId="4" numFmtId="0" xfId="0" applyBorder="1" applyFont="1"/>
    <xf borderId="27" fillId="2" fontId="2" numFmtId="0" xfId="0" applyAlignment="1" applyBorder="1" applyFont="1">
      <alignment horizontal="center" readingOrder="0" vertical="center"/>
    </xf>
    <xf borderId="9" fillId="0" fontId="5" numFmtId="164" xfId="0" applyAlignment="1" applyBorder="1" applyFont="1" applyNumberFormat="1">
      <alignment horizontal="center" readingOrder="0"/>
    </xf>
    <xf borderId="9" fillId="6" fontId="5" numFmtId="0" xfId="0" applyAlignment="1" applyBorder="1" applyFont="1">
      <alignment horizontal="center" readingOrder="0"/>
    </xf>
    <xf borderId="9" fillId="6" fontId="5" numFmtId="170" xfId="0" applyAlignment="1" applyBorder="1" applyFont="1" applyNumberFormat="1">
      <alignment horizontal="center"/>
    </xf>
    <xf borderId="9" fillId="6" fontId="5" numFmtId="10" xfId="0" applyAlignment="1" applyBorder="1" applyFont="1" applyNumberFormat="1">
      <alignment horizontal="center" readingOrder="0"/>
    </xf>
    <xf borderId="9" fillId="6" fontId="5" numFmtId="165" xfId="0" applyAlignment="1" applyBorder="1" applyFont="1" applyNumberFormat="1">
      <alignment horizontal="center" readingOrder="0"/>
    </xf>
    <xf borderId="9" fillId="0" fontId="5" numFmtId="171" xfId="0" applyAlignment="1" applyBorder="1" applyFont="1" applyNumberFormat="1">
      <alignment horizontal="center" readingOrder="0"/>
    </xf>
    <xf borderId="28" fillId="0" fontId="4" numFmtId="0" xfId="0" applyBorder="1" applyFont="1"/>
    <xf borderId="29" fillId="7" fontId="10" numFmtId="0" xfId="0" applyAlignment="1" applyBorder="1" applyFont="1">
      <alignment horizontal="center" readingOrder="0" vertical="center"/>
    </xf>
    <xf borderId="30" fillId="0" fontId="4" numFmtId="0" xfId="0" applyBorder="1" applyFont="1"/>
    <xf borderId="31" fillId="0" fontId="4" numFmtId="0" xfId="0" applyBorder="1" applyFont="1"/>
    <xf borderId="32" fillId="0" fontId="5" numFmtId="0" xfId="0" applyAlignment="1" applyBorder="1" applyFont="1">
      <alignment horizontal="center" readingOrder="0"/>
    </xf>
    <xf borderId="32" fillId="0" fontId="5" numFmtId="164" xfId="0" applyAlignment="1" applyBorder="1" applyFont="1" applyNumberFormat="1">
      <alignment horizontal="center" readingOrder="0"/>
    </xf>
    <xf borderId="32" fillId="0" fontId="5" numFmtId="3" xfId="0" applyAlignment="1" applyBorder="1" applyFont="1" applyNumberFormat="1">
      <alignment horizontal="center" readingOrder="0"/>
    </xf>
    <xf borderId="32" fillId="6" fontId="6" numFmtId="165" xfId="0" applyAlignment="1" applyBorder="1" applyFont="1" applyNumberFormat="1">
      <alignment horizontal="center" readingOrder="0"/>
    </xf>
    <xf borderId="32" fillId="6" fontId="6" numFmtId="10" xfId="0" applyAlignment="1" applyBorder="1" applyFont="1" applyNumberFormat="1">
      <alignment horizontal="center"/>
    </xf>
    <xf borderId="32" fillId="0" fontId="5" numFmtId="165" xfId="0" applyAlignment="1" applyBorder="1" applyFont="1" applyNumberFormat="1">
      <alignment horizontal="center" readingOrder="0"/>
    </xf>
    <xf borderId="32" fillId="6" fontId="7" numFmtId="10" xfId="0" applyAlignment="1" applyBorder="1" applyFont="1" applyNumberFormat="1">
      <alignment horizontal="center" readingOrder="0"/>
    </xf>
    <xf borderId="32" fillId="6" fontId="7" numFmtId="165" xfId="0" applyAlignment="1" applyBorder="1" applyFont="1" applyNumberFormat="1">
      <alignment horizontal="center" readingOrder="0"/>
    </xf>
    <xf borderId="32" fillId="6" fontId="8" numFmtId="10" xfId="0" applyAlignment="1" applyBorder="1" applyFont="1" applyNumberFormat="1">
      <alignment horizontal="center" readingOrder="0"/>
    </xf>
    <xf borderId="32" fillId="6" fontId="5" numFmtId="3" xfId="0" applyAlignment="1" applyBorder="1" applyFont="1" applyNumberFormat="1">
      <alignment horizontal="center" readingOrder="0"/>
    </xf>
    <xf borderId="32" fillId="6" fontId="19" numFmtId="10" xfId="0" applyAlignment="1" applyBorder="1" applyFont="1" applyNumberFormat="1">
      <alignment horizontal="center" vertical="bottom"/>
    </xf>
    <xf borderId="6" fillId="6" fontId="19" numFmtId="10" xfId="0" applyAlignment="1" applyBorder="1" applyFont="1" applyNumberFormat="1">
      <alignment horizontal="center" vertical="bottom"/>
    </xf>
    <xf borderId="8" fillId="0" fontId="5" numFmtId="3" xfId="0" applyAlignment="1" applyBorder="1" applyFont="1" applyNumberFormat="1">
      <alignment horizontal="center" readingOrder="0"/>
    </xf>
    <xf borderId="8" fillId="0" fontId="5" numFmtId="164" xfId="0" applyAlignment="1" applyBorder="1" applyFont="1" applyNumberFormat="1">
      <alignment horizontal="center" readingOrder="0"/>
    </xf>
    <xf borderId="1" fillId="5" fontId="21" numFmtId="0" xfId="0" applyAlignment="1" applyBorder="1" applyFont="1">
      <alignment horizontal="center" readingOrder="0" vertical="center"/>
    </xf>
    <xf borderId="32" fillId="6" fontId="6" numFmtId="165" xfId="0" applyAlignment="1" applyBorder="1" applyFont="1" applyNumberFormat="1">
      <alignment horizontal="center"/>
    </xf>
    <xf borderId="8" fillId="6" fontId="5" numFmtId="3" xfId="0" applyAlignment="1" applyBorder="1" applyFont="1" applyNumberFormat="1">
      <alignment horizontal="center" readingOrder="0"/>
    </xf>
    <xf borderId="14" fillId="7" fontId="10" numFmtId="0" xfId="0" applyAlignment="1" applyBorder="1" applyFont="1">
      <alignment horizontal="center" readingOrder="0" vertical="center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2" Type="http://schemas.openxmlformats.org/officeDocument/2006/relationships/worksheet" Target="worksheets/sheet8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8월 1주차  Data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'8월'!$B$3:$B$10</c:f>
            </c:strRef>
          </c:cat>
          <c:val>
            <c:numRef>
              <c:f>'8월'!$H$3:$H$10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'8월'!$B$3:$B$10</c:f>
            </c:strRef>
          </c:cat>
          <c:val>
            <c:numRef>
              <c:f>'8월'!$K$3:$K$10</c:f>
              <c:numCache/>
            </c:numRef>
          </c:val>
        </c:ser>
        <c:axId val="1998726673"/>
        <c:axId val="1341727016"/>
      </c:barChart>
      <c:catAx>
        <c:axId val="1998726673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341727016"/>
      </c:catAx>
      <c:valAx>
        <c:axId val="1341727016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998726673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8월 2주차  Data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'8월'!$B$15:$B$22</c:f>
            </c:strRef>
          </c:cat>
          <c:val>
            <c:numRef>
              <c:f>'8월'!$H$15:$H$22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'8월'!$B$15:$B$22</c:f>
            </c:strRef>
          </c:cat>
          <c:val>
            <c:numRef>
              <c:f>'8월'!$K$15:$K$22</c:f>
              <c:numCache/>
            </c:numRef>
          </c:val>
        </c:ser>
        <c:axId val="408482345"/>
        <c:axId val="679192701"/>
      </c:barChart>
      <c:catAx>
        <c:axId val="408482345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79192701"/>
      </c:catAx>
      <c:valAx>
        <c:axId val="679192701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408482345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3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8월 1주차  Data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'8월'!$B$27:$B$34</c:f>
            </c:strRef>
          </c:cat>
          <c:val>
            <c:numRef>
              <c:f>'8월'!$H$27:$H$34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'8월'!$B$27:$B$34</c:f>
            </c:strRef>
          </c:cat>
          <c:val>
            <c:numRef>
              <c:f>'8월'!$K$27:$K$34</c:f>
              <c:numCache/>
            </c:numRef>
          </c:val>
        </c:ser>
        <c:axId val="1266940440"/>
        <c:axId val="942819940"/>
      </c:barChart>
      <c:catAx>
        <c:axId val="126694044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42819940"/>
      </c:catAx>
      <c:valAx>
        <c:axId val="942819940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94044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4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7월 1주차  Data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'7월'!$B$3:$B$13</c:f>
            </c:strRef>
          </c:cat>
          <c:val>
            <c:numRef>
              <c:f>'7월'!$H$3:$H$13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'7월'!$B$3:$B$13</c:f>
            </c:strRef>
          </c:cat>
          <c:val>
            <c:numRef>
              <c:f>'7월'!$K$3:$K$13</c:f>
              <c:numCache/>
            </c:numRef>
          </c:val>
        </c:ser>
        <c:axId val="545601886"/>
        <c:axId val="240971548"/>
      </c:barChart>
      <c:catAx>
        <c:axId val="545601886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40971548"/>
      </c:catAx>
      <c:valAx>
        <c:axId val="240971548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545601886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5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7월 2주차 Data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'7월'!$B$18:$B$28</c:f>
            </c:strRef>
          </c:cat>
          <c:val>
            <c:numRef>
              <c:f>'7월'!$H$18:$H$28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'7월'!$B$18:$B$28</c:f>
            </c:strRef>
          </c:cat>
          <c:val>
            <c:numRef>
              <c:f>'7월'!$K$18:$K$28</c:f>
              <c:numCache/>
            </c:numRef>
          </c:val>
        </c:ser>
        <c:axId val="1814353721"/>
        <c:axId val="729609609"/>
      </c:barChart>
      <c:catAx>
        <c:axId val="1814353721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729609609"/>
      </c:catAx>
      <c:valAx>
        <c:axId val="729609609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814353721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6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7월 3주차 Data</a:t>
            </a:r>
          </a:p>
        </c:rich>
      </c:tx>
      <c:layout>
        <c:manualLayout>
          <c:xMode val="edge"/>
          <c:yMode val="edge"/>
          <c:x val="0.02235668789808917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'7월'!$B$33:$B$43</c:f>
            </c:strRef>
          </c:cat>
          <c:val>
            <c:numRef>
              <c:f>'7월'!$H$33:$H$43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'7월'!$B$33:$B$43</c:f>
            </c:strRef>
          </c:cat>
          <c:val>
            <c:numRef>
              <c:f>'7월'!$K$33:$K$43</c:f>
              <c:numCache/>
            </c:numRef>
          </c:val>
        </c:ser>
        <c:axId val="803555519"/>
        <c:axId val="1237103052"/>
      </c:barChart>
      <c:catAx>
        <c:axId val="803555519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37103052"/>
      </c:catAx>
      <c:valAx>
        <c:axId val="1237103052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803555519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7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7월 4주차 Data</a:t>
            </a:r>
          </a:p>
        </c:rich>
      </c:tx>
      <c:layout>
        <c:manualLayout>
          <c:xMode val="edge"/>
          <c:yMode val="edge"/>
          <c:x val="0.02235668789808917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'7월'!$B$48:$B$58</c:f>
            </c:strRef>
          </c:cat>
          <c:val>
            <c:numRef>
              <c:f>'7월'!$H$48:$H$58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'7월'!$B$48:$B$58</c:f>
            </c:strRef>
          </c:cat>
          <c:val>
            <c:numRef>
              <c:f>'7월'!$K$48:$K$58</c:f>
              <c:numCache/>
            </c:numRef>
          </c:val>
        </c:ser>
        <c:axId val="998993277"/>
        <c:axId val="1127891336"/>
      </c:barChart>
      <c:catAx>
        <c:axId val="998993277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27891336"/>
      </c:catAx>
      <c:valAx>
        <c:axId val="1127891336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998993277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8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1" sz="2000">
                <a:solidFill>
                  <a:srgbClr val="757575"/>
                </a:solidFill>
                <a:latin typeface="+mn-lt"/>
              </a:defRPr>
            </a:pPr>
            <a:r>
              <a:rPr b="1" sz="2000">
                <a:solidFill>
                  <a:srgbClr val="757575"/>
                </a:solidFill>
                <a:latin typeface="+mn-lt"/>
              </a:rPr>
              <a:t>7월 5주차 Data</a:t>
            </a:r>
          </a:p>
        </c:rich>
      </c:tx>
      <c:layout>
        <c:manualLayout>
          <c:xMode val="edge"/>
          <c:yMode val="edge"/>
          <c:x val="0.022356687898089173"/>
          <c:y val="0.05"/>
        </c:manualLayout>
      </c:layout>
      <c:overlay val="0"/>
    </c:title>
    <c:plotArea>
      <c:layout/>
      <c:barChart>
        <c:barDir val="col"/>
        <c:ser>
          <c:idx val="0"/>
          <c:order val="0"/>
          <c:tx>
            <c:v>CTR</c:v>
          </c:tx>
          <c:spPr>
            <a:solidFill>
              <a:schemeClr val="accent1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'7월'!$B$63:$B$73</c:f>
            </c:strRef>
          </c:cat>
          <c:val>
            <c:numRef>
              <c:f>'7월'!$H$63:$H$73</c:f>
              <c:numCache/>
            </c:numRef>
          </c:val>
        </c:ser>
        <c:ser>
          <c:idx val="1"/>
          <c:order val="1"/>
          <c:tx>
            <c:v>DB 전환률</c:v>
          </c:tx>
          <c:spPr>
            <a:solidFill>
              <a:schemeClr val="accent2"/>
            </a:solidFill>
            <a:ln cmpd="sng">
              <a:solidFill>
                <a:srgbClr val="000000"/>
              </a:solidFill>
            </a:ln>
          </c:spPr>
          <c:dLbls>
            <c:numFmt formatCode="General" sourceLinked="1"/>
            <c:txPr>
              <a:bodyPr/>
              <a:lstStyle/>
              <a:p>
                <a:pPr lvl="0">
                  <a:defRPr/>
                </a:pPr>
              </a:p>
            </c:txPr>
            <c:showLegendKey val="0"/>
            <c:showVal val="1"/>
            <c:showCatName val="0"/>
            <c:showSerName val="0"/>
            <c:showPercent val="0"/>
            <c:showBubbleSize val="0"/>
          </c:dLbls>
          <c:cat>
            <c:strRef>
              <c:f>'7월'!$B$63:$B$73</c:f>
            </c:strRef>
          </c:cat>
          <c:val>
            <c:numRef>
              <c:f>'7월'!$K$63:$K$73</c:f>
              <c:numCache/>
            </c:numRef>
          </c:val>
        </c:ser>
        <c:axId val="280073620"/>
        <c:axId val="1758392971"/>
      </c:barChart>
      <c:catAx>
        <c:axId val="28007362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758392971"/>
      </c:catAx>
      <c:valAx>
        <c:axId val="1758392971"/>
        <c:scaling>
          <c:orientation val="minMax"/>
          <c:max val="0.125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/>
                </a:r>
              </a:p>
            </c:rich>
          </c:tx>
          <c:overlay val="0"/>
        </c:title>
        <c:numFmt formatCode="0.00%" sourceLinked="0"/>
        <c:majorTickMark val="none"/>
        <c:minorTickMark val="none"/>
        <c:tickLblPos val="nextTo"/>
        <c:spPr>
          <a:ln>
            <a:solidFill/>
          </a:ln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28007362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chart" Target="../charts/chart4.xml"/><Relationship Id="rId2" Type="http://schemas.openxmlformats.org/officeDocument/2006/relationships/chart" Target="../charts/chart5.xml"/><Relationship Id="rId3" Type="http://schemas.openxmlformats.org/officeDocument/2006/relationships/chart" Target="../charts/chart6.xml"/><Relationship Id="rId4" Type="http://schemas.openxmlformats.org/officeDocument/2006/relationships/chart" Target="../charts/chart7.xml"/><Relationship Id="rId5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66675</xdr:colOff>
      <xdr:row>0</xdr:row>
      <xdr:rowOff>19050</xdr:rowOff>
    </xdr:from>
    <xdr:ext cx="7524750" cy="2476500"/>
    <xdr:graphicFrame>
      <xdr:nvGraphicFramePr>
        <xdr:cNvPr id="1" name="Chart 1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66675</xdr:colOff>
      <xdr:row>12</xdr:row>
      <xdr:rowOff>19050</xdr:rowOff>
    </xdr:from>
    <xdr:ext cx="7524750" cy="2476500"/>
    <xdr:graphicFrame>
      <xdr:nvGraphicFramePr>
        <xdr:cNvPr id="2" name="Chart 2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66675</xdr:colOff>
      <xdr:row>24</xdr:row>
      <xdr:rowOff>19050</xdr:rowOff>
    </xdr:from>
    <xdr:ext cx="7524750" cy="2476500"/>
    <xdr:graphicFrame>
      <xdr:nvGraphicFramePr>
        <xdr:cNvPr id="3" name="Chart 3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19</xdr:col>
      <xdr:colOff>66675</xdr:colOff>
      <xdr:row>0</xdr:row>
      <xdr:rowOff>19050</xdr:rowOff>
    </xdr:from>
    <xdr:ext cx="7534275" cy="3171825"/>
    <xdr:graphicFrame>
      <xdr:nvGraphicFramePr>
        <xdr:cNvPr id="4" name="Chart 4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  <xdr:oneCellAnchor>
    <xdr:from>
      <xdr:col>19</xdr:col>
      <xdr:colOff>114300</xdr:colOff>
      <xdr:row>14</xdr:row>
      <xdr:rowOff>180975</xdr:rowOff>
    </xdr:from>
    <xdr:ext cx="7477125" cy="3171825"/>
    <xdr:graphicFrame>
      <xdr:nvGraphicFramePr>
        <xdr:cNvPr id="5" name="Chart 5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2"/>
        </a:graphicData>
      </a:graphic>
    </xdr:graphicFrame>
    <xdr:clientData fLocksWithSheet="0"/>
  </xdr:oneCellAnchor>
  <xdr:oneCellAnchor>
    <xdr:from>
      <xdr:col>19</xdr:col>
      <xdr:colOff>114300</xdr:colOff>
      <xdr:row>29</xdr:row>
      <xdr:rowOff>190500</xdr:rowOff>
    </xdr:from>
    <xdr:ext cx="7477125" cy="3086100"/>
    <xdr:graphicFrame>
      <xdr:nvGraphicFramePr>
        <xdr:cNvPr id="6" name="Chart 6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3"/>
        </a:graphicData>
      </a:graphic>
    </xdr:graphicFrame>
    <xdr:clientData fLocksWithSheet="0"/>
  </xdr:oneCellAnchor>
  <xdr:oneCellAnchor>
    <xdr:from>
      <xdr:col>19</xdr:col>
      <xdr:colOff>57150</xdr:colOff>
      <xdr:row>45</xdr:row>
      <xdr:rowOff>9525</xdr:rowOff>
    </xdr:from>
    <xdr:ext cx="7534275" cy="3086100"/>
    <xdr:graphicFrame>
      <xdr:nvGraphicFramePr>
        <xdr:cNvPr id="7" name="Chart 7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4"/>
        </a:graphicData>
      </a:graphic>
    </xdr:graphicFrame>
    <xdr:clientData fLocksWithSheet="0"/>
  </xdr:oneCellAnchor>
  <xdr:oneCellAnchor>
    <xdr:from>
      <xdr:col>19</xdr:col>
      <xdr:colOff>95250</xdr:colOff>
      <xdr:row>60</xdr:row>
      <xdr:rowOff>0</xdr:rowOff>
    </xdr:from>
    <xdr:ext cx="7477125" cy="3086100"/>
    <xdr:graphicFrame>
      <xdr:nvGraphicFramePr>
        <xdr:cNvPr id="8" name="Chart 8" title="차트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5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Rose Kim (로즈킴)" id="{139322be-5ef6-485c-969f-e04e0536be4a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16" dT="2024-08-16T14:35:48.00" personId="{139322be-5ef6-485c-969f-e04e0536be4a}" id="{0e0d1fc7-66fd-41da-8ec2-d89339a7f0d7}" done="1">
    <x18tc:text xml:space="preserve">김경수</x18tc:text>
  </x18tc:threadedComment>
  <x18tc:threadedComment ref="M5" dT="2024-08-14T08:42:20.00" personId="{139322be-5ef6-485c-969f-e04e0536be4a}" id="{ed035fbe-d2d0-4e3f-a66d-575fd7d45808}" done="1">
    <x18tc:text xml:space="preserve">김태경 1인 오션뷰
김철민 3인 발코니</x18tc:text>
  </x18tc:threadedComment>
  <x18tc:threadedComment ref="M17" dT="2024-08-16T14:36:31.00" personId="{139322be-5ef6-485c-969f-e04e0536be4a}" id="{01d6f084-78b3-4137-aaac-413774c2e2ca}" done="1">
    <x18tc:text xml:space="preserve">김경수</x18tc:text>
  </x18tc:threadedComment>
  <x18tc:threadedComment ref="M3" dT="2024-08-13T10:54:18.00" personId="{139322be-5ef6-485c-969f-e04e0536be4a}" id="{e1515d54-ecee-4689-992b-cdacdb21ff9e}" done="1">
    <x18tc:text xml:space="preserve">+??
(패키지 2명 본사 인당5만원할인)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M65" dT="2024-08-22T09:54:11.00" personId="{139322be-5ef6-485c-969f-e04e0536be4a}" id="{f8aef818-5ad1-4eeb-b4b4-56d7b62ed6f9}" done="1">
    <x18tc:text xml:space="preserve">이수언, 오묘숙</x18tc:text>
  </x18tc:threadedComment>
  <x18tc:threadedComment ref="M65" dT="2024-08-16T14:39:26.00" personId="{139322be-5ef6-485c-969f-e04e0536be4a}" id="{3b1ba7e1-6647-4b40-b5e5-24b419d8b94a}" done="1">
    <x18tc:text xml:space="preserve">이수언, 오묘숙</x18tc:text>
  </x18tc:threadedComment>
  <x18tc:threadedComment ref="M50" dT="2024-08-16T14:38:11.00" personId="{139322be-5ef6-485c-969f-e04e0536be4a}" id="{86996113-9f08-4d7d-88c0-3ddac9dc1f62}" done="1">
    <x18tc:text xml:space="preserve">류경식</x18tc:text>
  </x18tc:threadedComment>
  <x18tc:threadedComment ref="M35" dT="2024-08-16T14:34:51.00" personId="{139322be-5ef6-485c-969f-e04e0536be4a}" id="{f2ab7d28-67b2-45c1-b8f7-32900ec2165b}" done="1">
    <x18tc:text xml:space="preserve">진현우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openxmlformats.org/officeDocument/2006/relationships/drawing" Target="../drawings/drawing2.xml"/><Relationship Id="rId3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openxmlformats.org/officeDocument/2006/relationships/drawing" Target="../drawings/drawing3.xml"/><Relationship Id="rId3" Type="http://schemas.openxmlformats.org/officeDocument/2006/relationships/vmlDrawing" Target="../drawings/vmlDrawing3.v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comments" Target="../comments4.xml"/><Relationship Id="rId2" Type="http://schemas.openxmlformats.org/officeDocument/2006/relationships/drawing" Target="../drawings/drawing4.xml"/><Relationship Id="rId3" Type="http://schemas.openxmlformats.org/officeDocument/2006/relationships/vmlDrawing" Target="../drawings/vmlDrawing4.v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5.xml"/><Relationship Id="rId2" Type="http://schemas.openxmlformats.org/officeDocument/2006/relationships/drawing" Target="../drawings/drawing5.xml"/><Relationship Id="rId3" Type="http://schemas.openxmlformats.org/officeDocument/2006/relationships/vmlDrawing" Target="../drawings/vmlDrawing5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6.xml"/><Relationship Id="rId2" Type="http://schemas.openxmlformats.org/officeDocument/2006/relationships/drawing" Target="../drawings/drawing6.xml"/><Relationship Id="rId3" Type="http://schemas.openxmlformats.org/officeDocument/2006/relationships/vmlDrawing" Target="../drawings/vmlDrawing6.v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comments" Target="../comments7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7.xml"/><Relationship Id="rId5" Type="http://schemas.openxmlformats.org/officeDocument/2006/relationships/vmlDrawing" Target="../drawings/vmlDrawing7.v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comments" Target="../comments8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8.xml"/><Relationship Id="rId5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63"/>
    <col customWidth="1" min="3" max="3" width="10.88"/>
    <col customWidth="1" min="4" max="4" width="9.63"/>
    <col customWidth="1" min="5" max="5" width="6.0"/>
    <col customWidth="1" min="8" max="8" width="11.25"/>
    <col customWidth="1" min="9" max="13" width="11.5"/>
    <col customWidth="1" min="16" max="16" width="39.0"/>
    <col customWidth="1" min="17" max="17" width="11.88"/>
    <col customWidth="1" min="19" max="19" width="11.5"/>
    <col customWidth="1" min="20" max="20" width="12.38"/>
  </cols>
  <sheetData>
    <row r="1">
      <c r="A1" s="1" t="s">
        <v>0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4"/>
      <c r="K1" s="4"/>
      <c r="L1" s="4"/>
      <c r="M1" s="5"/>
      <c r="N1" s="7" t="s">
        <v>4</v>
      </c>
      <c r="O1" s="4"/>
      <c r="P1" s="4"/>
      <c r="Q1" s="4"/>
      <c r="R1" s="4"/>
      <c r="S1" s="4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0"/>
      <c r="B2" s="11"/>
      <c r="C2" s="12" t="s">
        <v>5</v>
      </c>
      <c r="D2" s="12" t="s">
        <v>6</v>
      </c>
      <c r="E2" s="12" t="s">
        <v>7</v>
      </c>
      <c r="F2" s="12" t="s">
        <v>8</v>
      </c>
      <c r="G2" s="12" t="s">
        <v>9</v>
      </c>
      <c r="H2" s="12" t="s">
        <v>10</v>
      </c>
      <c r="I2" s="12" t="s">
        <v>11</v>
      </c>
      <c r="J2" s="12" t="s">
        <v>12</v>
      </c>
      <c r="K2" s="12" t="s">
        <v>13</v>
      </c>
      <c r="L2" s="13" t="s">
        <v>14</v>
      </c>
      <c r="M2" s="12" t="s">
        <v>15</v>
      </c>
      <c r="N2" s="12" t="s">
        <v>16</v>
      </c>
      <c r="O2" s="12" t="s">
        <v>17</v>
      </c>
      <c r="P2" s="12" t="s">
        <v>18</v>
      </c>
      <c r="Q2" s="12" t="s">
        <v>19</v>
      </c>
      <c r="R2" s="12" t="s">
        <v>20</v>
      </c>
      <c r="S2" s="12" t="s">
        <v>21</v>
      </c>
      <c r="T2" s="14" t="s">
        <v>22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5" t="s">
        <v>23</v>
      </c>
      <c r="B3" s="16" t="s">
        <v>24</v>
      </c>
      <c r="C3" s="17"/>
      <c r="D3" s="18"/>
      <c r="E3" s="18"/>
      <c r="F3" s="19" t="str">
        <f t="shared" ref="F3:F6" si="1">iferror(H3/E3,"")</f>
        <v/>
      </c>
      <c r="G3" s="20" t="str">
        <f t="shared" ref="G3:G6" si="2">iferror(E3/D3,"")</f>
        <v/>
      </c>
      <c r="H3" s="21"/>
      <c r="I3" s="16"/>
      <c r="J3" s="22" t="str">
        <f t="shared" ref="J3:J4" si="3">iferror(G3/C3,"")</f>
        <v/>
      </c>
      <c r="K3" s="23" t="str">
        <f t="shared" ref="K3:K6" si="4">iferror(H3/I3,"")</f>
        <v/>
      </c>
      <c r="L3" s="16"/>
      <c r="M3" s="22" t="str">
        <f t="shared" ref="M3:M6" si="5">iferror(L3/I3,"")</f>
        <v/>
      </c>
      <c r="N3" s="18"/>
      <c r="O3" s="16"/>
      <c r="P3" s="18"/>
      <c r="Q3" s="24" t="str">
        <f t="shared" ref="Q3:Q4" si="6">iferror(O3/I3,"")</f>
        <v/>
      </c>
      <c r="R3" s="25">
        <f t="shared" ref="R3:R4" si="7">iferror(N3-H3,"")</f>
        <v>0</v>
      </c>
      <c r="S3" s="24" t="str">
        <f t="shared" ref="S3:S4" si="8">iferror(N3/H3,"")</f>
        <v/>
      </c>
      <c r="T3" s="26" t="str">
        <f t="shared" ref="T3:T4" si="9">iferror(R3/H3,"")</f>
        <v/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27"/>
      <c r="B4" s="16" t="s">
        <v>25</v>
      </c>
      <c r="C4" s="17">
        <v>45691.0</v>
      </c>
      <c r="D4" s="18"/>
      <c r="E4" s="18"/>
      <c r="F4" s="19" t="str">
        <f t="shared" si="1"/>
        <v/>
      </c>
      <c r="G4" s="20" t="str">
        <f t="shared" si="2"/>
        <v/>
      </c>
      <c r="H4" s="21"/>
      <c r="I4" s="16"/>
      <c r="J4" s="22">
        <f t="shared" si="3"/>
        <v>0</v>
      </c>
      <c r="K4" s="23" t="str">
        <f t="shared" si="4"/>
        <v/>
      </c>
      <c r="L4" s="16"/>
      <c r="M4" s="22" t="str">
        <f t="shared" si="5"/>
        <v/>
      </c>
      <c r="N4" s="18">
        <v>500000.0</v>
      </c>
      <c r="O4" s="16">
        <v>2.0</v>
      </c>
      <c r="P4" s="18" t="s">
        <v>26</v>
      </c>
      <c r="Q4" s="24" t="str">
        <f t="shared" si="6"/>
        <v/>
      </c>
      <c r="R4" s="25">
        <f t="shared" si="7"/>
        <v>500000</v>
      </c>
      <c r="S4" s="24" t="str">
        <f t="shared" si="8"/>
        <v/>
      </c>
      <c r="T4" s="26" t="str">
        <f t="shared" si="9"/>
        <v/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27"/>
      <c r="B5" s="16" t="s">
        <v>27</v>
      </c>
      <c r="C5" s="17"/>
      <c r="D5" s="18"/>
      <c r="E5" s="18"/>
      <c r="F5" s="19" t="str">
        <f t="shared" si="1"/>
        <v/>
      </c>
      <c r="G5" s="20" t="str">
        <f t="shared" si="2"/>
        <v/>
      </c>
      <c r="H5" s="21"/>
      <c r="I5" s="16"/>
      <c r="J5" s="22" t="str">
        <f>iferror(I5/E5,"")</f>
        <v/>
      </c>
      <c r="K5" s="23" t="str">
        <f t="shared" si="4"/>
        <v/>
      </c>
      <c r="L5" s="16"/>
      <c r="M5" s="22" t="str">
        <f t="shared" si="5"/>
        <v/>
      </c>
      <c r="N5" s="18"/>
      <c r="O5" s="16"/>
      <c r="P5" s="18"/>
      <c r="Q5" s="24"/>
      <c r="R5" s="25"/>
      <c r="S5" s="24"/>
      <c r="T5" s="26"/>
      <c r="U5" s="28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0"/>
      <c r="B6" s="16" t="s">
        <v>28</v>
      </c>
      <c r="C6" s="29"/>
      <c r="D6" s="18"/>
      <c r="E6" s="18"/>
      <c r="F6" s="19" t="str">
        <f t="shared" si="1"/>
        <v/>
      </c>
      <c r="G6" s="20" t="str">
        <f t="shared" si="2"/>
        <v/>
      </c>
      <c r="H6" s="21"/>
      <c r="I6" s="16"/>
      <c r="J6" s="22" t="str">
        <f>iferror(G6/C6,"")</f>
        <v/>
      </c>
      <c r="K6" s="23" t="str">
        <f t="shared" si="4"/>
        <v/>
      </c>
      <c r="L6" s="16"/>
      <c r="M6" s="22" t="str">
        <f t="shared" si="5"/>
        <v/>
      </c>
      <c r="N6" s="18"/>
      <c r="O6" s="16"/>
      <c r="P6" s="18"/>
      <c r="Q6" s="24"/>
      <c r="R6" s="25"/>
      <c r="S6" s="24"/>
      <c r="T6" s="26"/>
      <c r="U6" s="28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30" t="s">
        <v>29</v>
      </c>
      <c r="B7" s="31"/>
      <c r="C7" s="31"/>
      <c r="D7" s="31"/>
      <c r="E7" s="32"/>
      <c r="F7" s="33" t="str">
        <f t="shared" ref="F7:G7" si="10">averageif(F3:F6,"&gt;0")</f>
        <v>#DIV/0!</v>
      </c>
      <c r="G7" s="34" t="str">
        <f t="shared" si="10"/>
        <v>#DIV/0!</v>
      </c>
      <c r="H7" s="35"/>
      <c r="I7" s="36">
        <f>SUM(I3:I6)</f>
        <v>0</v>
      </c>
      <c r="J7" s="37" t="str">
        <f t="shared" ref="J7:K7" si="11">averageif(J3:J6,"&gt;0")</f>
        <v>#DIV/0!</v>
      </c>
      <c r="K7" s="38" t="str">
        <f t="shared" si="11"/>
        <v>#DIV/0!</v>
      </c>
      <c r="L7" s="37"/>
      <c r="M7" s="37" t="str">
        <f>averageif(M3:M6,"&gt;0")</f>
        <v>#DIV/0!</v>
      </c>
      <c r="N7" s="36">
        <f t="shared" ref="N7:O7" si="12">SUM(N3:N6)</f>
        <v>500000</v>
      </c>
      <c r="O7" s="39">
        <f t="shared" si="12"/>
        <v>2</v>
      </c>
      <c r="P7" s="36"/>
      <c r="Q7" s="40" t="str">
        <f>averageif(Q3:Q6,"&gt;0")</f>
        <v>#DIV/0!</v>
      </c>
      <c r="R7" s="35"/>
      <c r="S7" s="40" t="str">
        <f t="shared" ref="S7:T7" si="13">averageif(S3:S6,"&gt;0")</f>
        <v>#DIV/0!</v>
      </c>
      <c r="T7" s="41" t="str">
        <f t="shared" si="13"/>
        <v>#DIV/0!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"/>
      <c r="B9" s="2" t="s">
        <v>1</v>
      </c>
      <c r="C9" s="3" t="s">
        <v>2</v>
      </c>
      <c r="D9" s="4"/>
      <c r="E9" s="4"/>
      <c r="F9" s="4"/>
      <c r="G9" s="4"/>
      <c r="H9" s="5"/>
      <c r="I9" s="6" t="s">
        <v>3</v>
      </c>
      <c r="J9" s="4"/>
      <c r="K9" s="4"/>
      <c r="L9" s="4"/>
      <c r="M9" s="5"/>
      <c r="N9" s="7" t="s">
        <v>4</v>
      </c>
      <c r="O9" s="4"/>
      <c r="P9" s="4"/>
      <c r="Q9" s="4"/>
      <c r="R9" s="4"/>
      <c r="S9" s="4"/>
      <c r="T9" s="8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0"/>
      <c r="B10" s="11"/>
      <c r="C10" s="12" t="s">
        <v>5</v>
      </c>
      <c r="D10" s="12" t="s">
        <v>6</v>
      </c>
      <c r="E10" s="12" t="s">
        <v>7</v>
      </c>
      <c r="F10" s="12" t="s">
        <v>30</v>
      </c>
      <c r="G10" s="12" t="s">
        <v>31</v>
      </c>
      <c r="H10" s="12" t="s">
        <v>10</v>
      </c>
      <c r="I10" s="12" t="s">
        <v>11</v>
      </c>
      <c r="J10" s="12" t="s">
        <v>32</v>
      </c>
      <c r="K10" s="12" t="s">
        <v>33</v>
      </c>
      <c r="L10" s="13" t="s">
        <v>14</v>
      </c>
      <c r="M10" s="12" t="s">
        <v>34</v>
      </c>
      <c r="N10" s="12" t="s">
        <v>16</v>
      </c>
      <c r="O10" s="12" t="s">
        <v>17</v>
      </c>
      <c r="P10" s="12" t="s">
        <v>35</v>
      </c>
      <c r="Q10" s="12" t="s">
        <v>36</v>
      </c>
      <c r="R10" s="12" t="s">
        <v>20</v>
      </c>
      <c r="S10" s="12" t="s">
        <v>37</v>
      </c>
      <c r="T10" s="14" t="s">
        <v>38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5" t="s">
        <v>39</v>
      </c>
      <c r="B11" s="16" t="s">
        <v>24</v>
      </c>
      <c r="C11" s="17"/>
      <c r="D11" s="18"/>
      <c r="E11" s="18"/>
      <c r="F11" s="42"/>
      <c r="G11" s="20" t="str">
        <f t="shared" ref="G11:G14" si="14">iferror(E11/D11,"")</f>
        <v/>
      </c>
      <c r="H11" s="21"/>
      <c r="I11" s="16"/>
      <c r="J11" s="22" t="str">
        <f>iferror(G11/C11,"")</f>
        <v/>
      </c>
      <c r="K11" s="23" t="str">
        <f t="shared" ref="K11:K14" si="15">iferror(H11/I11,"")</f>
        <v/>
      </c>
      <c r="L11" s="16"/>
      <c r="M11" s="22" t="str">
        <f t="shared" ref="M11:M14" si="16">iferror(L11/I11,"")</f>
        <v/>
      </c>
      <c r="N11" s="18"/>
      <c r="O11" s="16"/>
      <c r="P11" s="18"/>
      <c r="Q11" s="24" t="str">
        <f t="shared" ref="Q11:Q14" si="17">iferror(O11/I11,"")</f>
        <v/>
      </c>
      <c r="R11" s="25">
        <f t="shared" ref="R11:R14" si="18">iferror(N11-H11,"")</f>
        <v>0</v>
      </c>
      <c r="S11" s="24" t="str">
        <f t="shared" ref="S11:S14" si="19">iferror(N11/H11,"")</f>
        <v/>
      </c>
      <c r="T11" s="26" t="str">
        <f t="shared" ref="T11:T14" si="20">iferror(R11/H11,"")</f>
        <v/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27"/>
      <c r="B12" s="16" t="s">
        <v>25</v>
      </c>
      <c r="C12" s="29"/>
      <c r="D12" s="18"/>
      <c r="E12" s="18"/>
      <c r="F12" s="19" t="str">
        <f t="shared" ref="F12:F14" si="21">iferror(H12/E12,"")</f>
        <v/>
      </c>
      <c r="G12" s="20" t="str">
        <f t="shared" si="14"/>
        <v/>
      </c>
      <c r="H12" s="21"/>
      <c r="I12" s="16"/>
      <c r="J12" s="22" t="str">
        <f t="shared" ref="J12:J13" si="22">iferror(I12/E12,"")</f>
        <v/>
      </c>
      <c r="K12" s="23" t="str">
        <f t="shared" si="15"/>
        <v/>
      </c>
      <c r="L12" s="16"/>
      <c r="M12" s="22" t="str">
        <f t="shared" si="16"/>
        <v/>
      </c>
      <c r="N12" s="18">
        <v>100000.0</v>
      </c>
      <c r="O12" s="16">
        <v>1.0</v>
      </c>
      <c r="P12" s="18" t="s">
        <v>40</v>
      </c>
      <c r="Q12" s="24" t="str">
        <f t="shared" si="17"/>
        <v/>
      </c>
      <c r="R12" s="25">
        <f t="shared" si="18"/>
        <v>100000</v>
      </c>
      <c r="S12" s="24" t="str">
        <f t="shared" si="19"/>
        <v/>
      </c>
      <c r="T12" s="26" t="str">
        <f t="shared" si="20"/>
        <v/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27"/>
      <c r="B13" s="16" t="s">
        <v>27</v>
      </c>
      <c r="C13" s="43"/>
      <c r="D13" s="18"/>
      <c r="E13" s="18"/>
      <c r="F13" s="19" t="str">
        <f t="shared" si="21"/>
        <v/>
      </c>
      <c r="G13" s="20" t="str">
        <f t="shared" si="14"/>
        <v/>
      </c>
      <c r="H13" s="21"/>
      <c r="I13" s="16"/>
      <c r="J13" s="22" t="str">
        <f t="shared" si="22"/>
        <v/>
      </c>
      <c r="K13" s="23" t="str">
        <f t="shared" si="15"/>
        <v/>
      </c>
      <c r="L13" s="16"/>
      <c r="M13" s="22" t="str">
        <f t="shared" si="16"/>
        <v/>
      </c>
      <c r="N13" s="18"/>
      <c r="O13" s="16"/>
      <c r="P13" s="18"/>
      <c r="Q13" s="24" t="str">
        <f t="shared" si="17"/>
        <v/>
      </c>
      <c r="R13" s="25">
        <f t="shared" si="18"/>
        <v>0</v>
      </c>
      <c r="S13" s="24" t="str">
        <f t="shared" si="19"/>
        <v/>
      </c>
      <c r="T13" s="26" t="str">
        <f t="shared" si="20"/>
        <v/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0"/>
      <c r="B14" s="16" t="s">
        <v>28</v>
      </c>
      <c r="C14" s="29"/>
      <c r="D14" s="18"/>
      <c r="E14" s="18"/>
      <c r="F14" s="19" t="str">
        <f t="shared" si="21"/>
        <v/>
      </c>
      <c r="G14" s="20" t="str">
        <f t="shared" si="14"/>
        <v/>
      </c>
      <c r="H14" s="21"/>
      <c r="I14" s="16"/>
      <c r="J14" s="22" t="str">
        <f>iferror(G14/C14,"")</f>
        <v/>
      </c>
      <c r="K14" s="23" t="str">
        <f t="shared" si="15"/>
        <v/>
      </c>
      <c r="L14" s="16"/>
      <c r="M14" s="22" t="str">
        <f t="shared" si="16"/>
        <v/>
      </c>
      <c r="N14" s="18"/>
      <c r="O14" s="16"/>
      <c r="P14" s="18"/>
      <c r="Q14" s="24" t="str">
        <f t="shared" si="17"/>
        <v/>
      </c>
      <c r="R14" s="25">
        <f t="shared" si="18"/>
        <v>0</v>
      </c>
      <c r="S14" s="24" t="str">
        <f t="shared" si="19"/>
        <v/>
      </c>
      <c r="T14" s="26" t="str">
        <f t="shared" si="20"/>
        <v/>
      </c>
      <c r="U14" s="2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30" t="s">
        <v>29</v>
      </c>
      <c r="B15" s="31"/>
      <c r="C15" s="31"/>
      <c r="D15" s="31"/>
      <c r="E15" s="32"/>
      <c r="F15" s="33" t="str">
        <f t="shared" ref="F15:G15" si="23">averageif(F11:F14,"&gt;0")</f>
        <v>#DIV/0!</v>
      </c>
      <c r="G15" s="34" t="str">
        <f t="shared" si="23"/>
        <v>#DIV/0!</v>
      </c>
      <c r="H15" s="35"/>
      <c r="I15" s="36">
        <f>SUM(I11:I14)</f>
        <v>0</v>
      </c>
      <c r="J15" s="37" t="str">
        <f t="shared" ref="J15:K15" si="24">averageif(J11:J14,"&gt;0")</f>
        <v>#DIV/0!</v>
      </c>
      <c r="K15" s="38" t="str">
        <f t="shared" si="24"/>
        <v>#DIV/0!</v>
      </c>
      <c r="L15" s="37"/>
      <c r="M15" s="37" t="str">
        <f>averageif(M11:M14,"&gt;0")</f>
        <v>#DIV/0!</v>
      </c>
      <c r="N15" s="36">
        <f t="shared" ref="N15:O15" si="25">SUM(N11:N14)</f>
        <v>100000</v>
      </c>
      <c r="O15" s="39">
        <f t="shared" si="25"/>
        <v>1</v>
      </c>
      <c r="P15" s="36"/>
      <c r="Q15" s="40" t="str">
        <f>averageif(Q11:Q14,"&gt;0")</f>
        <v>#DIV/0!</v>
      </c>
      <c r="R15" s="35"/>
      <c r="S15" s="40" t="str">
        <f t="shared" ref="S15:T15" si="26">averageif(S11:S14,"&gt;0")</f>
        <v>#DIV/0!</v>
      </c>
      <c r="T15" s="41" t="str">
        <f t="shared" si="26"/>
        <v>#DIV/0!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"/>
      <c r="B17" s="2" t="s">
        <v>1</v>
      </c>
      <c r="C17" s="3" t="s">
        <v>2</v>
      </c>
      <c r="D17" s="4"/>
      <c r="E17" s="4"/>
      <c r="F17" s="4"/>
      <c r="G17" s="4"/>
      <c r="H17" s="5"/>
      <c r="I17" s="6" t="s">
        <v>3</v>
      </c>
      <c r="J17" s="4"/>
      <c r="K17" s="4"/>
      <c r="L17" s="4"/>
      <c r="M17" s="5"/>
      <c r="N17" s="7" t="s">
        <v>4</v>
      </c>
      <c r="O17" s="4"/>
      <c r="P17" s="4"/>
      <c r="Q17" s="4"/>
      <c r="R17" s="4"/>
      <c r="S17" s="4"/>
      <c r="T17" s="8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0"/>
      <c r="B18" s="11"/>
      <c r="C18" s="12" t="s">
        <v>5</v>
      </c>
      <c r="D18" s="12" t="s">
        <v>6</v>
      </c>
      <c r="E18" s="12" t="s">
        <v>7</v>
      </c>
      <c r="F18" s="12" t="s">
        <v>41</v>
      </c>
      <c r="G18" s="12" t="s">
        <v>42</v>
      </c>
      <c r="H18" s="12" t="s">
        <v>10</v>
      </c>
      <c r="I18" s="12" t="s">
        <v>11</v>
      </c>
      <c r="J18" s="12" t="s">
        <v>43</v>
      </c>
      <c r="K18" s="12" t="s">
        <v>44</v>
      </c>
      <c r="L18" s="13" t="s">
        <v>14</v>
      </c>
      <c r="M18" s="12" t="s">
        <v>45</v>
      </c>
      <c r="N18" s="12" t="s">
        <v>16</v>
      </c>
      <c r="O18" s="12" t="s">
        <v>17</v>
      </c>
      <c r="P18" s="12" t="s">
        <v>46</v>
      </c>
      <c r="Q18" s="12" t="s">
        <v>47</v>
      </c>
      <c r="R18" s="12" t="s">
        <v>20</v>
      </c>
      <c r="S18" s="12" t="s">
        <v>48</v>
      </c>
      <c r="T18" s="14" t="s">
        <v>49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7.25" customHeight="1">
      <c r="A19" s="15" t="s">
        <v>50</v>
      </c>
      <c r="B19" s="16" t="s">
        <v>24</v>
      </c>
      <c r="C19" s="17"/>
      <c r="D19" s="18"/>
      <c r="E19" s="18"/>
      <c r="F19" s="42"/>
      <c r="G19" s="20" t="str">
        <f t="shared" ref="G19:G22" si="27">iferror(E19/D19,"")</f>
        <v/>
      </c>
      <c r="H19" s="21"/>
      <c r="I19" s="16"/>
      <c r="J19" s="22" t="str">
        <f t="shared" ref="J19:J20" si="28">iferror(G19/C19,"")</f>
        <v/>
      </c>
      <c r="K19" s="23" t="str">
        <f t="shared" ref="K19:K22" si="29">iferror(H19/I19,"")</f>
        <v/>
      </c>
      <c r="L19" s="16"/>
      <c r="M19" s="22" t="str">
        <f t="shared" ref="M19:M22" si="30">iferror(L19/I19,"")</f>
        <v/>
      </c>
      <c r="N19" s="18"/>
      <c r="O19" s="16"/>
      <c r="P19" s="18"/>
      <c r="Q19" s="24" t="str">
        <f t="shared" ref="Q19:Q22" si="31">iferror(O19/I19,"")</f>
        <v/>
      </c>
      <c r="R19" s="25">
        <f t="shared" ref="R19:R22" si="32">iferror(N19-H19,"")</f>
        <v>0</v>
      </c>
      <c r="S19" s="24" t="str">
        <f t="shared" ref="S19:S22" si="33">iferror(N19/H19,"")</f>
        <v/>
      </c>
      <c r="T19" s="26" t="str">
        <f t="shared" ref="T19:T22" si="34">iferror(R19/H19,"")</f>
        <v/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7.25" customHeight="1">
      <c r="A20" s="27"/>
      <c r="B20" s="16" t="s">
        <v>25</v>
      </c>
      <c r="C20" s="17"/>
      <c r="D20" s="18"/>
      <c r="E20" s="18"/>
      <c r="F20" s="19" t="str">
        <f t="shared" ref="F20:F22" si="35">iferror(H20/E20,"")</f>
        <v/>
      </c>
      <c r="G20" s="20" t="str">
        <f t="shared" si="27"/>
        <v/>
      </c>
      <c r="H20" s="21"/>
      <c r="I20" s="16"/>
      <c r="J20" s="22" t="str">
        <f t="shared" si="28"/>
        <v/>
      </c>
      <c r="K20" s="23" t="str">
        <f t="shared" si="29"/>
        <v/>
      </c>
      <c r="L20" s="16"/>
      <c r="M20" s="22" t="str">
        <f t="shared" si="30"/>
        <v/>
      </c>
      <c r="N20" s="18"/>
      <c r="O20" s="16"/>
      <c r="P20" s="18"/>
      <c r="Q20" s="24" t="str">
        <f t="shared" si="31"/>
        <v/>
      </c>
      <c r="R20" s="25">
        <f t="shared" si="32"/>
        <v>0</v>
      </c>
      <c r="S20" s="24" t="str">
        <f t="shared" si="33"/>
        <v/>
      </c>
      <c r="T20" s="26" t="str">
        <f t="shared" si="34"/>
        <v/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7.25" customHeight="1">
      <c r="A21" s="27"/>
      <c r="B21" s="16" t="s">
        <v>27</v>
      </c>
      <c r="C21" s="43"/>
      <c r="D21" s="18"/>
      <c r="E21" s="18"/>
      <c r="F21" s="19" t="str">
        <f t="shared" si="35"/>
        <v/>
      </c>
      <c r="G21" s="20" t="str">
        <f t="shared" si="27"/>
        <v/>
      </c>
      <c r="H21" s="21"/>
      <c r="I21" s="16"/>
      <c r="J21" s="22" t="str">
        <f>iferror(I21/E21,"")</f>
        <v/>
      </c>
      <c r="K21" s="23" t="str">
        <f t="shared" si="29"/>
        <v/>
      </c>
      <c r="L21" s="16"/>
      <c r="M21" s="22" t="str">
        <f t="shared" si="30"/>
        <v/>
      </c>
      <c r="N21" s="18"/>
      <c r="O21" s="16"/>
      <c r="P21" s="44"/>
      <c r="Q21" s="24" t="str">
        <f t="shared" si="31"/>
        <v/>
      </c>
      <c r="R21" s="25">
        <f t="shared" si="32"/>
        <v>0</v>
      </c>
      <c r="S21" s="24" t="str">
        <f t="shared" si="33"/>
        <v/>
      </c>
      <c r="T21" s="26" t="str">
        <f t="shared" si="34"/>
        <v/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7.25" customHeight="1">
      <c r="A22" s="10"/>
      <c r="B22" s="16" t="s">
        <v>28</v>
      </c>
      <c r="C22" s="29"/>
      <c r="D22" s="18"/>
      <c r="E22" s="18"/>
      <c r="F22" s="19" t="str">
        <f t="shared" si="35"/>
        <v/>
      </c>
      <c r="G22" s="20" t="str">
        <f t="shared" si="27"/>
        <v/>
      </c>
      <c r="H22" s="21"/>
      <c r="I22" s="16"/>
      <c r="J22" s="22" t="str">
        <f>iferror(G22/C22,"")</f>
        <v/>
      </c>
      <c r="K22" s="23" t="str">
        <f t="shared" si="29"/>
        <v/>
      </c>
      <c r="L22" s="16"/>
      <c r="M22" s="22" t="str">
        <f t="shared" si="30"/>
        <v/>
      </c>
      <c r="N22" s="18"/>
      <c r="O22" s="16"/>
      <c r="P22" s="18"/>
      <c r="Q22" s="24" t="str">
        <f t="shared" si="31"/>
        <v/>
      </c>
      <c r="R22" s="25">
        <f t="shared" si="32"/>
        <v>0</v>
      </c>
      <c r="S22" s="24" t="str">
        <f t="shared" si="33"/>
        <v/>
      </c>
      <c r="T22" s="26" t="str">
        <f t="shared" si="34"/>
        <v/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30" t="s">
        <v>29</v>
      </c>
      <c r="B23" s="31"/>
      <c r="C23" s="31"/>
      <c r="D23" s="31"/>
      <c r="E23" s="32"/>
      <c r="F23" s="33" t="str">
        <f t="shared" ref="F23:G23" si="36">averageif(F19:F22,"&gt;0")</f>
        <v>#DIV/0!</v>
      </c>
      <c r="G23" s="34" t="str">
        <f t="shared" si="36"/>
        <v>#DIV/0!</v>
      </c>
      <c r="H23" s="35"/>
      <c r="I23" s="36">
        <f>SUM(I19:I22)</f>
        <v>0</v>
      </c>
      <c r="J23" s="37" t="str">
        <f t="shared" ref="J23:K23" si="37">averageif(J19:J22,"&gt;0")</f>
        <v>#DIV/0!</v>
      </c>
      <c r="K23" s="38" t="str">
        <f t="shared" si="37"/>
        <v>#DIV/0!</v>
      </c>
      <c r="L23" s="37"/>
      <c r="M23" s="37" t="str">
        <f>averageif(M19:M22,"&gt;0")</f>
        <v>#DIV/0!</v>
      </c>
      <c r="N23" s="36">
        <f t="shared" ref="N23:O23" si="38">SUM(N19:N22)</f>
        <v>0</v>
      </c>
      <c r="O23" s="39">
        <f t="shared" si="38"/>
        <v>0</v>
      </c>
      <c r="P23" s="36"/>
      <c r="Q23" s="40" t="str">
        <f>averageif(Q19:Q22,"&gt;0")</f>
        <v>#DIV/0!</v>
      </c>
      <c r="R23" s="35"/>
      <c r="S23" s="40" t="str">
        <f t="shared" ref="S23:T23" si="39">averageif(S19:S22,"&gt;0")</f>
        <v>#DIV/0!</v>
      </c>
      <c r="T23" s="41" t="str">
        <f t="shared" si="39"/>
        <v>#DIV/0!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1"/>
      <c r="B25" s="2" t="s">
        <v>1</v>
      </c>
      <c r="C25" s="3" t="s">
        <v>2</v>
      </c>
      <c r="D25" s="4"/>
      <c r="E25" s="4"/>
      <c r="F25" s="4"/>
      <c r="G25" s="4"/>
      <c r="H25" s="5"/>
      <c r="I25" s="6" t="s">
        <v>3</v>
      </c>
      <c r="J25" s="4"/>
      <c r="K25" s="4"/>
      <c r="L25" s="4"/>
      <c r="M25" s="5"/>
      <c r="N25" s="7" t="s">
        <v>4</v>
      </c>
      <c r="O25" s="4"/>
      <c r="P25" s="4"/>
      <c r="Q25" s="4"/>
      <c r="R25" s="4"/>
      <c r="S25" s="4"/>
      <c r="T25" s="8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10"/>
      <c r="B26" s="11"/>
      <c r="C26" s="12" t="s">
        <v>5</v>
      </c>
      <c r="D26" s="12" t="s">
        <v>6</v>
      </c>
      <c r="E26" s="12" t="s">
        <v>7</v>
      </c>
      <c r="F26" s="12" t="s">
        <v>51</v>
      </c>
      <c r="G26" s="12" t="s">
        <v>52</v>
      </c>
      <c r="H26" s="12" t="s">
        <v>10</v>
      </c>
      <c r="I26" s="12" t="s">
        <v>11</v>
      </c>
      <c r="J26" s="12" t="s">
        <v>53</v>
      </c>
      <c r="K26" s="12" t="s">
        <v>54</v>
      </c>
      <c r="L26" s="13" t="s">
        <v>14</v>
      </c>
      <c r="M26" s="12" t="s">
        <v>55</v>
      </c>
      <c r="N26" s="12" t="s">
        <v>16</v>
      </c>
      <c r="O26" s="12" t="s">
        <v>17</v>
      </c>
      <c r="P26" s="12" t="s">
        <v>56</v>
      </c>
      <c r="Q26" s="12" t="s">
        <v>57</v>
      </c>
      <c r="R26" s="12" t="s">
        <v>20</v>
      </c>
      <c r="S26" s="12" t="s">
        <v>58</v>
      </c>
      <c r="T26" s="14" t="s">
        <v>59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15" t="s">
        <v>60</v>
      </c>
      <c r="B27" s="16" t="s">
        <v>24</v>
      </c>
      <c r="C27" s="17"/>
      <c r="D27" s="18"/>
      <c r="E27" s="18"/>
      <c r="F27" s="42"/>
      <c r="G27" s="20" t="str">
        <f t="shared" ref="G27:G30" si="40">iferror(E27/D27,"")</f>
        <v/>
      </c>
      <c r="H27" s="21"/>
      <c r="I27" s="16"/>
      <c r="J27" s="22" t="str">
        <f t="shared" ref="J27:J28" si="41">iferror(G27/C27,"")</f>
        <v/>
      </c>
      <c r="K27" s="23" t="str">
        <f t="shared" ref="K27:K30" si="42">iferror(H27/I27,"")</f>
        <v/>
      </c>
      <c r="L27" s="16"/>
      <c r="M27" s="22" t="str">
        <f t="shared" ref="M27:M30" si="43">iferror(L27/I27,"")</f>
        <v/>
      </c>
      <c r="N27" s="18"/>
      <c r="O27" s="16"/>
      <c r="P27" s="18"/>
      <c r="Q27" s="24" t="str">
        <f t="shared" ref="Q27:Q30" si="44">iferror(O27/I27,"")</f>
        <v/>
      </c>
      <c r="R27" s="25">
        <f t="shared" ref="R27:R30" si="45">iferror(N27-H27,"")</f>
        <v>0</v>
      </c>
      <c r="S27" s="24" t="str">
        <f t="shared" ref="S27:S30" si="46">iferror(N27/H27,"")</f>
        <v/>
      </c>
      <c r="T27" s="26" t="str">
        <f t="shared" ref="T27:T30" si="47">iferror(R27/H27,"")</f>
        <v/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27"/>
      <c r="B28" s="16" t="s">
        <v>25</v>
      </c>
      <c r="C28" s="17"/>
      <c r="D28" s="18"/>
      <c r="E28" s="18"/>
      <c r="F28" s="19" t="str">
        <f t="shared" ref="F28:F30" si="48">iferror(H28/E28,"")</f>
        <v/>
      </c>
      <c r="G28" s="20" t="str">
        <f t="shared" si="40"/>
        <v/>
      </c>
      <c r="H28" s="21"/>
      <c r="I28" s="16"/>
      <c r="J28" s="22" t="str">
        <f t="shared" si="41"/>
        <v/>
      </c>
      <c r="K28" s="23" t="str">
        <f t="shared" si="42"/>
        <v/>
      </c>
      <c r="L28" s="16"/>
      <c r="M28" s="22" t="str">
        <f t="shared" si="43"/>
        <v/>
      </c>
      <c r="N28" s="18"/>
      <c r="O28" s="16"/>
      <c r="P28" s="18"/>
      <c r="Q28" s="24" t="str">
        <f t="shared" si="44"/>
        <v/>
      </c>
      <c r="R28" s="25">
        <f t="shared" si="45"/>
        <v>0</v>
      </c>
      <c r="S28" s="24" t="str">
        <f t="shared" si="46"/>
        <v/>
      </c>
      <c r="T28" s="26" t="str">
        <f t="shared" si="47"/>
        <v/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27"/>
      <c r="B29" s="16" t="s">
        <v>27</v>
      </c>
      <c r="C29" s="45"/>
      <c r="D29" s="46"/>
      <c r="E29" s="46"/>
      <c r="F29" s="19" t="str">
        <f t="shared" si="48"/>
        <v/>
      </c>
      <c r="G29" s="20" t="str">
        <f t="shared" si="40"/>
        <v/>
      </c>
      <c r="H29" s="47"/>
      <c r="I29" s="48"/>
      <c r="J29" s="22" t="str">
        <f>iferror(I29/E29,"")</f>
        <v/>
      </c>
      <c r="K29" s="23" t="str">
        <f t="shared" si="42"/>
        <v/>
      </c>
      <c r="L29" s="16"/>
      <c r="M29" s="22" t="str">
        <f t="shared" si="43"/>
        <v/>
      </c>
      <c r="N29" s="46"/>
      <c r="O29" s="48"/>
      <c r="P29" s="46"/>
      <c r="Q29" s="24" t="str">
        <f t="shared" si="44"/>
        <v/>
      </c>
      <c r="R29" s="25">
        <f t="shared" si="45"/>
        <v>0</v>
      </c>
      <c r="S29" s="24" t="str">
        <f t="shared" si="46"/>
        <v/>
      </c>
      <c r="T29" s="26" t="str">
        <f t="shared" si="47"/>
        <v/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10"/>
      <c r="B30" s="16" t="s">
        <v>28</v>
      </c>
      <c r="C30" s="29"/>
      <c r="D30" s="18"/>
      <c r="E30" s="18"/>
      <c r="F30" s="19" t="str">
        <f t="shared" si="48"/>
        <v/>
      </c>
      <c r="G30" s="20" t="str">
        <f t="shared" si="40"/>
        <v/>
      </c>
      <c r="H30" s="21"/>
      <c r="I30" s="16"/>
      <c r="J30" s="22" t="str">
        <f>iferror(G30/C30,"")</f>
        <v/>
      </c>
      <c r="K30" s="23" t="str">
        <f t="shared" si="42"/>
        <v/>
      </c>
      <c r="L30" s="16"/>
      <c r="M30" s="22" t="str">
        <f t="shared" si="43"/>
        <v/>
      </c>
      <c r="N30" s="18"/>
      <c r="O30" s="16"/>
      <c r="P30" s="18"/>
      <c r="Q30" s="24" t="str">
        <f t="shared" si="44"/>
        <v/>
      </c>
      <c r="R30" s="25">
        <f t="shared" si="45"/>
        <v>0</v>
      </c>
      <c r="S30" s="24" t="str">
        <f t="shared" si="46"/>
        <v/>
      </c>
      <c r="T30" s="26" t="str">
        <f t="shared" si="47"/>
        <v/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30" t="s">
        <v>29</v>
      </c>
      <c r="B31" s="31"/>
      <c r="C31" s="31"/>
      <c r="D31" s="31"/>
      <c r="E31" s="32"/>
      <c r="F31" s="33" t="str">
        <f t="shared" ref="F31:G31" si="49">averageif(F27:F30,"&gt;0")</f>
        <v>#DIV/0!</v>
      </c>
      <c r="G31" s="34" t="str">
        <f t="shared" si="49"/>
        <v>#DIV/0!</v>
      </c>
      <c r="H31" s="35"/>
      <c r="I31" s="36">
        <f>SUM(I27:I30)</f>
        <v>0</v>
      </c>
      <c r="J31" s="37" t="str">
        <f t="shared" ref="J31:K31" si="50">averageif(J27:J30,"&gt;0")</f>
        <v>#DIV/0!</v>
      </c>
      <c r="K31" s="38" t="str">
        <f t="shared" si="50"/>
        <v>#DIV/0!</v>
      </c>
      <c r="L31" s="37"/>
      <c r="M31" s="37" t="str">
        <f>averageif(M27:M30,"&gt;0")</f>
        <v>#DIV/0!</v>
      </c>
      <c r="N31" s="36">
        <f t="shared" ref="N31:O31" si="51">SUM(N27:N30)</f>
        <v>0</v>
      </c>
      <c r="O31" s="39">
        <f t="shared" si="51"/>
        <v>0</v>
      </c>
      <c r="P31" s="36"/>
      <c r="Q31" s="40" t="str">
        <f>averageif(Q27:Q30,"&gt;0")</f>
        <v>#DIV/0!</v>
      </c>
      <c r="R31" s="35"/>
      <c r="S31" s="40" t="str">
        <f t="shared" ref="S31:T31" si="52">averageif(S27:S30,"&gt;0")</f>
        <v>#DIV/0!</v>
      </c>
      <c r="T31" s="41" t="str">
        <f t="shared" si="52"/>
        <v>#DIV/0!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9"/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1" t="s">
        <v>0</v>
      </c>
      <c r="B34" s="2" t="s">
        <v>1</v>
      </c>
      <c r="C34" s="3" t="s">
        <v>2</v>
      </c>
      <c r="D34" s="4"/>
      <c r="E34" s="4"/>
      <c r="F34" s="4"/>
      <c r="G34" s="4"/>
      <c r="H34" s="5"/>
      <c r="I34" s="6" t="s">
        <v>3</v>
      </c>
      <c r="J34" s="4"/>
      <c r="K34" s="4"/>
      <c r="L34" s="4"/>
      <c r="M34" s="5"/>
      <c r="N34" s="7" t="s">
        <v>4</v>
      </c>
      <c r="O34" s="4"/>
      <c r="P34" s="4"/>
      <c r="Q34" s="4"/>
      <c r="R34" s="4"/>
      <c r="S34" s="4"/>
      <c r="T34" s="8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10"/>
      <c r="B35" s="11"/>
      <c r="C35" s="12" t="s">
        <v>5</v>
      </c>
      <c r="D35" s="12" t="s">
        <v>6</v>
      </c>
      <c r="E35" s="12" t="s">
        <v>7</v>
      </c>
      <c r="F35" s="12" t="s">
        <v>61</v>
      </c>
      <c r="G35" s="12" t="s">
        <v>62</v>
      </c>
      <c r="H35" s="12" t="s">
        <v>63</v>
      </c>
      <c r="I35" s="12" t="s">
        <v>11</v>
      </c>
      <c r="J35" s="12" t="s">
        <v>64</v>
      </c>
      <c r="K35" s="12" t="s">
        <v>65</v>
      </c>
      <c r="L35" s="13" t="s">
        <v>14</v>
      </c>
      <c r="M35" s="12" t="s">
        <v>66</v>
      </c>
      <c r="N35" s="12" t="s">
        <v>16</v>
      </c>
      <c r="O35" s="12" t="s">
        <v>17</v>
      </c>
      <c r="P35" s="12" t="s">
        <v>67</v>
      </c>
      <c r="Q35" s="12" t="s">
        <v>68</v>
      </c>
      <c r="R35" s="12" t="s">
        <v>20</v>
      </c>
      <c r="S35" s="12" t="s">
        <v>69</v>
      </c>
      <c r="T35" s="14" t="s">
        <v>70</v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49" t="s">
        <v>71</v>
      </c>
      <c r="B36" s="16" t="s">
        <v>24</v>
      </c>
      <c r="C36" s="17"/>
      <c r="D36" s="18">
        <f t="shared" ref="D36:E36" si="53">D3+D11+D19+D27</f>
        <v>0</v>
      </c>
      <c r="E36" s="18">
        <f t="shared" si="53"/>
        <v>0</v>
      </c>
      <c r="F36" s="19" t="str">
        <f t="shared" ref="F36:F39" si="57">iferror(H36/E36,"")</f>
        <v/>
      </c>
      <c r="G36" s="20" t="str">
        <f t="shared" ref="G36:G39" si="58">iferror(E36/D36,"")</f>
        <v/>
      </c>
      <c r="H36" s="18">
        <f t="shared" ref="H36:I36" si="54">H3+H11+H19+H27</f>
        <v>0</v>
      </c>
      <c r="I36" s="18">
        <f t="shared" si="54"/>
        <v>0</v>
      </c>
      <c r="J36" s="22" t="str">
        <f t="shared" ref="J36:J37" si="60">iferror(F36/B36,"")</f>
        <v/>
      </c>
      <c r="K36" s="23" t="str">
        <f>iferror(E36/F36,"")</f>
        <v/>
      </c>
      <c r="L36" s="18">
        <f t="shared" ref="L36:L39" si="61">L3+L11+L19+L27</f>
        <v>0</v>
      </c>
      <c r="M36" s="22" t="str">
        <f t="shared" ref="M36:M39" si="62">iferror(I36/E36,"")</f>
        <v/>
      </c>
      <c r="N36" s="18">
        <f t="shared" ref="N36:O36" si="55">N3+N11+N19+N27</f>
        <v>0</v>
      </c>
      <c r="O36" s="18">
        <f t="shared" si="55"/>
        <v>0</v>
      </c>
      <c r="P36" s="18"/>
      <c r="Q36" s="24" t="str">
        <f t="shared" ref="Q36:Q39" si="64">iferror(O36/I36,"")</f>
        <v/>
      </c>
      <c r="R36" s="25">
        <f t="shared" ref="R36:R39" si="65">iferror(N36-H36,"")</f>
        <v>0</v>
      </c>
      <c r="S36" s="24" t="str">
        <f t="shared" ref="S36:S39" si="66">iferror(N36/H36,"")</f>
        <v/>
      </c>
      <c r="T36" s="26" t="str">
        <f t="shared" ref="T36:T39" si="67">iferror(R36/H36,"")</f>
        <v/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27"/>
      <c r="B37" s="16" t="s">
        <v>25</v>
      </c>
      <c r="C37" s="17"/>
      <c r="D37" s="18">
        <f t="shared" ref="D37:E37" si="56">D4+D12+D20+D28</f>
        <v>0</v>
      </c>
      <c r="E37" s="18">
        <f t="shared" si="56"/>
        <v>0</v>
      </c>
      <c r="F37" s="19" t="str">
        <f t="shared" si="57"/>
        <v/>
      </c>
      <c r="G37" s="20" t="str">
        <f t="shared" si="58"/>
        <v/>
      </c>
      <c r="H37" s="18">
        <f t="shared" ref="H37:I37" si="59">H4+H12+H20+H28</f>
        <v>0</v>
      </c>
      <c r="I37" s="18">
        <f t="shared" si="59"/>
        <v>0</v>
      </c>
      <c r="J37" s="22" t="str">
        <f t="shared" si="60"/>
        <v/>
      </c>
      <c r="K37" s="23" t="str">
        <f t="shared" ref="K37:K38" si="70">iferror(H37/I37,"")</f>
        <v/>
      </c>
      <c r="L37" s="18">
        <f t="shared" si="61"/>
        <v>0</v>
      </c>
      <c r="M37" s="22" t="str">
        <f t="shared" si="62"/>
        <v/>
      </c>
      <c r="N37" s="18">
        <f t="shared" ref="N37:O37" si="63">N4+N12+N20+N28</f>
        <v>600000</v>
      </c>
      <c r="O37" s="18">
        <f t="shared" si="63"/>
        <v>3</v>
      </c>
      <c r="P37" s="18"/>
      <c r="Q37" s="24" t="str">
        <f t="shared" si="64"/>
        <v/>
      </c>
      <c r="R37" s="25">
        <f t="shared" si="65"/>
        <v>600000</v>
      </c>
      <c r="S37" s="24" t="str">
        <f t="shared" si="66"/>
        <v/>
      </c>
      <c r="T37" s="26" t="str">
        <f t="shared" si="67"/>
        <v/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27"/>
      <c r="B38" s="16" t="s">
        <v>27</v>
      </c>
      <c r="C38" s="43"/>
      <c r="D38" s="18">
        <f t="shared" ref="D38:E38" si="68">D5+D13+D21+D29</f>
        <v>0</v>
      </c>
      <c r="E38" s="18">
        <f t="shared" si="68"/>
        <v>0</v>
      </c>
      <c r="F38" s="19" t="str">
        <f t="shared" si="57"/>
        <v/>
      </c>
      <c r="G38" s="20" t="str">
        <f t="shared" si="58"/>
        <v/>
      </c>
      <c r="H38" s="18">
        <f t="shared" ref="H38:I38" si="69">H5+H13+H21+H29</f>
        <v>0</v>
      </c>
      <c r="I38" s="18">
        <f t="shared" si="69"/>
        <v>0</v>
      </c>
      <c r="J38" s="22" t="str">
        <f t="shared" ref="J38:J39" si="74">iferror(I38/E38,"")</f>
        <v/>
      </c>
      <c r="K38" s="23" t="str">
        <f t="shared" si="70"/>
        <v/>
      </c>
      <c r="L38" s="18">
        <f t="shared" si="61"/>
        <v>0</v>
      </c>
      <c r="M38" s="22" t="str">
        <f t="shared" si="62"/>
        <v/>
      </c>
      <c r="N38" s="18">
        <f t="shared" ref="N38:O38" si="71">N5+N13+N21+N29</f>
        <v>0</v>
      </c>
      <c r="O38" s="18">
        <f t="shared" si="71"/>
        <v>0</v>
      </c>
      <c r="P38" s="18"/>
      <c r="Q38" s="24" t="str">
        <f t="shared" si="64"/>
        <v/>
      </c>
      <c r="R38" s="25">
        <f t="shared" si="65"/>
        <v>0</v>
      </c>
      <c r="S38" s="24" t="str">
        <f t="shared" si="66"/>
        <v/>
      </c>
      <c r="T38" s="26" t="str">
        <f t="shared" si="67"/>
        <v/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10"/>
      <c r="B39" s="16" t="s">
        <v>28</v>
      </c>
      <c r="C39" s="29"/>
      <c r="D39" s="18">
        <f t="shared" ref="D39:E39" si="72">D6+D14+D22+D30</f>
        <v>0</v>
      </c>
      <c r="E39" s="18">
        <f t="shared" si="72"/>
        <v>0</v>
      </c>
      <c r="F39" s="19" t="str">
        <f t="shared" si="57"/>
        <v/>
      </c>
      <c r="G39" s="20" t="str">
        <f t="shared" si="58"/>
        <v/>
      </c>
      <c r="H39" s="18">
        <f t="shared" ref="H39:I39" si="73">H6+H14+H22+H30</f>
        <v>0</v>
      </c>
      <c r="I39" s="18">
        <f t="shared" si="73"/>
        <v>0</v>
      </c>
      <c r="J39" s="22" t="str">
        <f t="shared" si="74"/>
        <v/>
      </c>
      <c r="K39" s="23" t="str">
        <f>iferror(E39/F39,"")</f>
        <v/>
      </c>
      <c r="L39" s="18">
        <f t="shared" si="61"/>
        <v>0</v>
      </c>
      <c r="M39" s="22" t="str">
        <f t="shared" si="62"/>
        <v/>
      </c>
      <c r="N39" s="18">
        <f t="shared" ref="N39:O39" si="75">N6+N14+N22+N30</f>
        <v>0</v>
      </c>
      <c r="O39" s="18">
        <f t="shared" si="75"/>
        <v>0</v>
      </c>
      <c r="P39" s="18"/>
      <c r="Q39" s="24" t="str">
        <f t="shared" si="64"/>
        <v/>
      </c>
      <c r="R39" s="25">
        <f t="shared" si="65"/>
        <v>0</v>
      </c>
      <c r="S39" s="24" t="str">
        <f t="shared" si="66"/>
        <v/>
      </c>
      <c r="T39" s="26" t="str">
        <f t="shared" si="67"/>
        <v/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30" t="s">
        <v>29</v>
      </c>
      <c r="B40" s="31"/>
      <c r="C40" s="31"/>
      <c r="D40" s="31"/>
      <c r="E40" s="32"/>
      <c r="F40" s="33" t="str">
        <f t="shared" ref="F40:G40" si="76">averageif(F36:F39,"&gt;0")</f>
        <v>#DIV/0!</v>
      </c>
      <c r="G40" s="34" t="str">
        <f t="shared" si="76"/>
        <v>#DIV/0!</v>
      </c>
      <c r="H40" s="35"/>
      <c r="I40" s="36">
        <f>SUM(I36:I39)</f>
        <v>0</v>
      </c>
      <c r="J40" s="37"/>
      <c r="K40" s="38" t="str">
        <f>averageif(K36:K39,"&gt;0")</f>
        <v>#DIV/0!</v>
      </c>
      <c r="L40" s="37"/>
      <c r="M40" s="37" t="str">
        <f>averageif(M36:M39,"&gt;0")</f>
        <v>#DIV/0!</v>
      </c>
      <c r="N40" s="36">
        <f t="shared" ref="N40:O40" si="77">SUM(N36:N39)</f>
        <v>600000</v>
      </c>
      <c r="O40" s="36">
        <f t="shared" si="77"/>
        <v>3</v>
      </c>
      <c r="P40" s="36"/>
      <c r="Q40" s="40" t="str">
        <f>averageif(Q36:Q39,"&gt;0")</f>
        <v>#DIV/0!</v>
      </c>
      <c r="R40" s="35"/>
      <c r="S40" s="40" t="str">
        <f t="shared" ref="S40:T40" si="78">averageif(S36:S39,"&gt;0")</f>
        <v>#DIV/0!</v>
      </c>
      <c r="T40" s="41" t="str">
        <f t="shared" si="78"/>
        <v>#DIV/0!</v>
      </c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1" t="s">
        <v>72</v>
      </c>
      <c r="B42" s="2" t="s">
        <v>1</v>
      </c>
      <c r="C42" s="3" t="s">
        <v>2</v>
      </c>
      <c r="D42" s="4"/>
      <c r="E42" s="4"/>
      <c r="F42" s="4"/>
      <c r="G42" s="4"/>
      <c r="H42" s="5"/>
      <c r="I42" s="6" t="s">
        <v>3</v>
      </c>
      <c r="J42" s="4"/>
      <c r="K42" s="4"/>
      <c r="L42" s="4"/>
      <c r="M42" s="5"/>
      <c r="N42" s="7" t="s">
        <v>4</v>
      </c>
      <c r="O42" s="4"/>
      <c r="P42" s="4"/>
      <c r="Q42" s="4"/>
      <c r="R42" s="4"/>
      <c r="S42" s="4"/>
      <c r="T42" s="8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10"/>
      <c r="B43" s="11"/>
      <c r="C43" s="12" t="s">
        <v>5</v>
      </c>
      <c r="D43" s="12" t="s">
        <v>6</v>
      </c>
      <c r="E43" s="12" t="s">
        <v>7</v>
      </c>
      <c r="F43" s="12" t="s">
        <v>73</v>
      </c>
      <c r="G43" s="12" t="s">
        <v>74</v>
      </c>
      <c r="H43" s="12" t="s">
        <v>63</v>
      </c>
      <c r="I43" s="12" t="s">
        <v>11</v>
      </c>
      <c r="J43" s="12" t="s">
        <v>75</v>
      </c>
      <c r="K43" s="12" t="s">
        <v>76</v>
      </c>
      <c r="L43" s="13" t="s">
        <v>14</v>
      </c>
      <c r="M43" s="12" t="s">
        <v>77</v>
      </c>
      <c r="N43" s="12" t="s">
        <v>16</v>
      </c>
      <c r="O43" s="12" t="s">
        <v>17</v>
      </c>
      <c r="P43" s="12" t="s">
        <v>78</v>
      </c>
      <c r="Q43" s="12" t="s">
        <v>79</v>
      </c>
      <c r="R43" s="12" t="s">
        <v>20</v>
      </c>
      <c r="S43" s="12" t="s">
        <v>80</v>
      </c>
      <c r="T43" s="14" t="s">
        <v>81</v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49" t="s">
        <v>82</v>
      </c>
      <c r="B44" s="16" t="s">
        <v>24</v>
      </c>
      <c r="C44" s="17"/>
      <c r="D44" s="18">
        <f>D36+'1월'!D51</f>
        <v>0</v>
      </c>
      <c r="E44" s="18">
        <f>E36+'1월'!E51</f>
        <v>0</v>
      </c>
      <c r="F44" s="19" t="str">
        <f t="shared" ref="F44:F47" si="79">iferror(H44/E44,"")</f>
        <v/>
      </c>
      <c r="G44" s="20" t="str">
        <f t="shared" ref="G44:G47" si="80">iferror(E44/D44,"")</f>
        <v/>
      </c>
      <c r="H44" s="18">
        <f>H36+'1월'!H51</f>
        <v>0</v>
      </c>
      <c r="I44" s="18">
        <f>I36+'1월'!I51</f>
        <v>0</v>
      </c>
      <c r="J44" s="22" t="str">
        <f t="shared" ref="J44:J45" si="81">iferror(F44/B44,"")</f>
        <v/>
      </c>
      <c r="K44" s="23" t="str">
        <f>iferror(E44/F44,"")</f>
        <v/>
      </c>
      <c r="L44" s="18">
        <f>L36+'1월'!L51</f>
        <v>0</v>
      </c>
      <c r="M44" s="22" t="str">
        <f t="shared" ref="M44:M47" si="82">iferror(I44/E44,"")</f>
        <v/>
      </c>
      <c r="N44" s="18">
        <f>N36+'1월'!N51</f>
        <v>0</v>
      </c>
      <c r="O44" s="18">
        <f>O36+'1월'!O51</f>
        <v>0</v>
      </c>
      <c r="P44" s="18"/>
      <c r="Q44" s="24" t="str">
        <f t="shared" ref="Q44:Q47" si="83">iferror(O44/I44,"")</f>
        <v/>
      </c>
      <c r="R44" s="25">
        <f t="shared" ref="R44:R47" si="84">iferror(N44-H44,"")</f>
        <v>0</v>
      </c>
      <c r="S44" s="24" t="str">
        <f t="shared" ref="S44:S47" si="85">iferror(N44/H44,"")</f>
        <v/>
      </c>
      <c r="T44" s="26" t="str">
        <f t="shared" ref="T44:T47" si="86">iferror(R44/H44,"")</f>
        <v/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27"/>
      <c r="B45" s="16" t="s">
        <v>25</v>
      </c>
      <c r="C45" s="17"/>
      <c r="D45" s="18">
        <f>D37+'1월'!D52</f>
        <v>8591</v>
      </c>
      <c r="E45" s="18">
        <f>E37+'1월'!E52</f>
        <v>397</v>
      </c>
      <c r="F45" s="19">
        <f t="shared" si="79"/>
        <v>695.0528967</v>
      </c>
      <c r="G45" s="20">
        <f t="shared" si="80"/>
        <v>0.0462111512</v>
      </c>
      <c r="H45" s="18">
        <f>H37+'1월'!H52</f>
        <v>275936</v>
      </c>
      <c r="I45" s="18">
        <f>I37+'1월'!I52</f>
        <v>125</v>
      </c>
      <c r="J45" s="22" t="str">
        <f t="shared" si="81"/>
        <v/>
      </c>
      <c r="K45" s="23">
        <f t="shared" ref="K45:K46" si="87">iferror(H45/I45,"")</f>
        <v>2207.488</v>
      </c>
      <c r="L45" s="18">
        <f>L37+'1월'!L52</f>
        <v>30</v>
      </c>
      <c r="M45" s="22">
        <f t="shared" si="82"/>
        <v>0.314861461</v>
      </c>
      <c r="N45" s="18">
        <f>N37+'1월'!N52</f>
        <v>2960000</v>
      </c>
      <c r="O45" s="18">
        <f>O37+'1월'!O52</f>
        <v>7</v>
      </c>
      <c r="P45" s="18"/>
      <c r="Q45" s="24">
        <f t="shared" si="83"/>
        <v>0.056</v>
      </c>
      <c r="R45" s="25">
        <f t="shared" si="84"/>
        <v>2684064</v>
      </c>
      <c r="S45" s="24">
        <f t="shared" si="85"/>
        <v>10.72712513</v>
      </c>
      <c r="T45" s="26">
        <f t="shared" si="86"/>
        <v>9.72712513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27"/>
      <c r="B46" s="16" t="s">
        <v>27</v>
      </c>
      <c r="C46" s="43"/>
      <c r="D46" s="18">
        <f>D38+'1월'!D53</f>
        <v>30001</v>
      </c>
      <c r="E46" s="18">
        <f>E38+'1월'!E53</f>
        <v>1612</v>
      </c>
      <c r="F46" s="19">
        <f t="shared" si="79"/>
        <v>496.7555831</v>
      </c>
      <c r="G46" s="20">
        <f t="shared" si="80"/>
        <v>0.05373154228</v>
      </c>
      <c r="H46" s="18">
        <f>H38+'1월'!H53</f>
        <v>800770</v>
      </c>
      <c r="I46" s="18">
        <f>I38+'1월'!I53</f>
        <v>183</v>
      </c>
      <c r="J46" s="22">
        <f t="shared" ref="J46:J47" si="88">iferror(I46/E46,"")</f>
        <v>0.1135235732</v>
      </c>
      <c r="K46" s="23">
        <f t="shared" si="87"/>
        <v>4375.79235</v>
      </c>
      <c r="L46" s="18">
        <f>L38+'1월'!L53</f>
        <v>8</v>
      </c>
      <c r="M46" s="22">
        <f t="shared" si="82"/>
        <v>0.1135235732</v>
      </c>
      <c r="N46" s="18">
        <f>N38+'1월'!N53</f>
        <v>880000</v>
      </c>
      <c r="O46" s="18">
        <f>O38+'1월'!O53</f>
        <v>1</v>
      </c>
      <c r="P46" s="18"/>
      <c r="Q46" s="24">
        <f t="shared" si="83"/>
        <v>0.005464480874</v>
      </c>
      <c r="R46" s="25">
        <f t="shared" si="84"/>
        <v>79230</v>
      </c>
      <c r="S46" s="24">
        <f t="shared" si="85"/>
        <v>1.098942268</v>
      </c>
      <c r="T46" s="26">
        <f t="shared" si="86"/>
        <v>0.09894226807</v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10"/>
      <c r="B47" s="16" t="s">
        <v>28</v>
      </c>
      <c r="C47" s="29"/>
      <c r="D47" s="18">
        <f>D39+'1월'!D54</f>
        <v>0</v>
      </c>
      <c r="E47" s="18">
        <f>E39+'1월'!E54</f>
        <v>0</v>
      </c>
      <c r="F47" s="19" t="str">
        <f t="shared" si="79"/>
        <v/>
      </c>
      <c r="G47" s="20" t="str">
        <f t="shared" si="80"/>
        <v/>
      </c>
      <c r="H47" s="18">
        <f>H39+'1월'!H54</f>
        <v>0</v>
      </c>
      <c r="I47" s="18">
        <f>I39+'1월'!I54</f>
        <v>0</v>
      </c>
      <c r="J47" s="22" t="str">
        <f t="shared" si="88"/>
        <v/>
      </c>
      <c r="K47" s="23" t="str">
        <f>iferror(E47/F47,"")</f>
        <v/>
      </c>
      <c r="L47" s="18">
        <f>L39+'1월'!L54</f>
        <v>0</v>
      </c>
      <c r="M47" s="22" t="str">
        <f t="shared" si="82"/>
        <v/>
      </c>
      <c r="N47" s="18">
        <f>N39+'1월'!N54</f>
        <v>0</v>
      </c>
      <c r="O47" s="18">
        <f>O39+'1월'!O54</f>
        <v>0</v>
      </c>
      <c r="P47" s="18"/>
      <c r="Q47" s="24" t="str">
        <f t="shared" si="83"/>
        <v/>
      </c>
      <c r="R47" s="25">
        <f t="shared" si="84"/>
        <v>0</v>
      </c>
      <c r="S47" s="24" t="str">
        <f t="shared" si="85"/>
        <v/>
      </c>
      <c r="T47" s="26" t="str">
        <f t="shared" si="86"/>
        <v/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30" t="s">
        <v>29</v>
      </c>
      <c r="B48" s="31"/>
      <c r="C48" s="31"/>
      <c r="D48" s="31"/>
      <c r="E48" s="32"/>
      <c r="F48" s="33">
        <f t="shared" ref="F48:G48" si="89">averageif(F44:F47,"&gt;0")</f>
        <v>595.9042399</v>
      </c>
      <c r="G48" s="34">
        <f t="shared" si="89"/>
        <v>0.04997134674</v>
      </c>
      <c r="H48" s="35"/>
      <c r="I48" s="36">
        <f>SUM(I44:I47)</f>
        <v>308</v>
      </c>
      <c r="J48" s="37"/>
      <c r="K48" s="38">
        <f>averageif(K44:K47,"&gt;0")</f>
        <v>3291.640175</v>
      </c>
      <c r="L48" s="37"/>
      <c r="M48" s="37">
        <f>averageif(M44:M47,"&gt;0")</f>
        <v>0.2141925171</v>
      </c>
      <c r="N48" s="36">
        <f t="shared" ref="N48:O48" si="90">SUM(N44:N47)</f>
        <v>3840000</v>
      </c>
      <c r="O48" s="36">
        <f t="shared" si="90"/>
        <v>8</v>
      </c>
      <c r="P48" s="36"/>
      <c r="Q48" s="40">
        <f>averageif(Q44:Q47,"&gt;0")</f>
        <v>0.03073224044</v>
      </c>
      <c r="R48" s="35"/>
      <c r="S48" s="40">
        <f t="shared" ref="S48:T48" si="91">averageif(S44:S47,"&gt;0")</f>
        <v>5.913033699</v>
      </c>
      <c r="T48" s="41">
        <f t="shared" si="91"/>
        <v>4.913033699</v>
      </c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</sheetData>
  <mergeCells count="42">
    <mergeCell ref="A1:A2"/>
    <mergeCell ref="B1:B2"/>
    <mergeCell ref="C1:H1"/>
    <mergeCell ref="I1:M1"/>
    <mergeCell ref="N1:T1"/>
    <mergeCell ref="A3:A6"/>
    <mergeCell ref="A7:E7"/>
    <mergeCell ref="A9:A10"/>
    <mergeCell ref="B9:B10"/>
    <mergeCell ref="C9:H9"/>
    <mergeCell ref="I9:M9"/>
    <mergeCell ref="N9:T9"/>
    <mergeCell ref="A11:A14"/>
    <mergeCell ref="A15:E15"/>
    <mergeCell ref="A17:A18"/>
    <mergeCell ref="B17:B18"/>
    <mergeCell ref="C17:H17"/>
    <mergeCell ref="I17:M17"/>
    <mergeCell ref="N17:T17"/>
    <mergeCell ref="A19:A22"/>
    <mergeCell ref="A23:E23"/>
    <mergeCell ref="A25:A26"/>
    <mergeCell ref="B25:B26"/>
    <mergeCell ref="C25:H25"/>
    <mergeCell ref="I25:M25"/>
    <mergeCell ref="N25:T25"/>
    <mergeCell ref="A27:A30"/>
    <mergeCell ref="A31:E31"/>
    <mergeCell ref="A42:A43"/>
    <mergeCell ref="B42:B43"/>
    <mergeCell ref="C42:H42"/>
    <mergeCell ref="I42:M42"/>
    <mergeCell ref="N42:T42"/>
    <mergeCell ref="A44:A47"/>
    <mergeCell ref="A48:E48"/>
    <mergeCell ref="A34:A35"/>
    <mergeCell ref="B34:B35"/>
    <mergeCell ref="C34:H34"/>
    <mergeCell ref="I34:M34"/>
    <mergeCell ref="N34:T34"/>
    <mergeCell ref="A36:A39"/>
    <mergeCell ref="A40:E40"/>
  </mergeCells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63"/>
    <col customWidth="1" min="3" max="3" width="10.88"/>
    <col customWidth="1" min="4" max="4" width="9.63"/>
    <col customWidth="1" min="5" max="5" width="6.0"/>
    <col customWidth="1" min="8" max="8" width="11.25"/>
    <col customWidth="1" min="9" max="13" width="11.5"/>
    <col customWidth="1" min="16" max="16" width="39.0"/>
    <col customWidth="1" min="17" max="17" width="11.88"/>
    <col customWidth="1" min="19" max="19" width="11.5"/>
    <col customWidth="1" min="20" max="20" width="12.38"/>
  </cols>
  <sheetData>
    <row r="1">
      <c r="A1" s="1" t="s">
        <v>83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4"/>
      <c r="K1" s="4"/>
      <c r="L1" s="4"/>
      <c r="M1" s="5"/>
      <c r="N1" s="7" t="s">
        <v>4</v>
      </c>
      <c r="O1" s="4"/>
      <c r="P1" s="4"/>
      <c r="Q1" s="4"/>
      <c r="R1" s="4"/>
      <c r="S1" s="4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0"/>
      <c r="B2" s="11"/>
      <c r="C2" s="12" t="s">
        <v>5</v>
      </c>
      <c r="D2" s="12" t="s">
        <v>6</v>
      </c>
      <c r="E2" s="12" t="s">
        <v>7</v>
      </c>
      <c r="F2" s="12" t="s">
        <v>84</v>
      </c>
      <c r="G2" s="12" t="s">
        <v>85</v>
      </c>
      <c r="H2" s="12" t="s">
        <v>10</v>
      </c>
      <c r="I2" s="12" t="s">
        <v>11</v>
      </c>
      <c r="J2" s="12" t="s">
        <v>86</v>
      </c>
      <c r="K2" s="12" t="s">
        <v>87</v>
      </c>
      <c r="L2" s="13" t="s">
        <v>14</v>
      </c>
      <c r="M2" s="12" t="s">
        <v>88</v>
      </c>
      <c r="N2" s="12" t="s">
        <v>16</v>
      </c>
      <c r="O2" s="12" t="s">
        <v>17</v>
      </c>
      <c r="P2" s="12" t="s">
        <v>89</v>
      </c>
      <c r="Q2" s="12" t="s">
        <v>90</v>
      </c>
      <c r="R2" s="12" t="s">
        <v>20</v>
      </c>
      <c r="S2" s="12" t="s">
        <v>91</v>
      </c>
      <c r="T2" s="14" t="s">
        <v>92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5" t="s">
        <v>93</v>
      </c>
      <c r="B3" s="16" t="s">
        <v>24</v>
      </c>
      <c r="C3" s="17"/>
      <c r="D3" s="18"/>
      <c r="E3" s="18"/>
      <c r="F3" s="19" t="str">
        <f t="shared" ref="F3:F6" si="1">iferror(H3/E3,"")</f>
        <v/>
      </c>
      <c r="G3" s="20" t="str">
        <f t="shared" ref="G3:G6" si="2">iferror(E3/D3,"")</f>
        <v/>
      </c>
      <c r="H3" s="21"/>
      <c r="I3" s="16"/>
      <c r="J3" s="22" t="str">
        <f t="shared" ref="J3:J4" si="3">iferror(G3/C3,"")</f>
        <v/>
      </c>
      <c r="K3" s="23" t="str">
        <f t="shared" ref="K3:K6" si="4">iferror(H3/I3,"")</f>
        <v/>
      </c>
      <c r="L3" s="16"/>
      <c r="M3" s="22" t="str">
        <f t="shared" ref="M3:M6" si="5">iferror(L3/I3,"")</f>
        <v/>
      </c>
      <c r="N3" s="18"/>
      <c r="O3" s="16"/>
      <c r="P3" s="18"/>
      <c r="Q3" s="24" t="str">
        <f t="shared" ref="Q3:Q4" si="6">iferror(O3/I3,"")</f>
        <v/>
      </c>
      <c r="R3" s="25">
        <f t="shared" ref="R3:R4" si="7">iferror(N3-H3,"")</f>
        <v>0</v>
      </c>
      <c r="S3" s="24" t="str">
        <f t="shared" ref="S3:S4" si="8">iferror(N3/H3,"")</f>
        <v/>
      </c>
      <c r="T3" s="26" t="str">
        <f t="shared" ref="T3:T4" si="9">iferror(R3/H3,"")</f>
        <v/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27"/>
      <c r="B4" s="16" t="s">
        <v>25</v>
      </c>
      <c r="C4" s="29"/>
      <c r="D4" s="18"/>
      <c r="E4" s="18"/>
      <c r="F4" s="19" t="str">
        <f t="shared" si="1"/>
        <v/>
      </c>
      <c r="G4" s="20" t="str">
        <f t="shared" si="2"/>
        <v/>
      </c>
      <c r="H4" s="21"/>
      <c r="I4" s="16"/>
      <c r="J4" s="22" t="str">
        <f t="shared" si="3"/>
        <v/>
      </c>
      <c r="K4" s="23" t="str">
        <f t="shared" si="4"/>
        <v/>
      </c>
      <c r="L4" s="16"/>
      <c r="M4" s="22" t="str">
        <f t="shared" si="5"/>
        <v/>
      </c>
      <c r="N4" s="18"/>
      <c r="O4" s="16"/>
      <c r="P4" s="18"/>
      <c r="Q4" s="24" t="str">
        <f t="shared" si="6"/>
        <v/>
      </c>
      <c r="R4" s="25">
        <f t="shared" si="7"/>
        <v>0</v>
      </c>
      <c r="S4" s="24" t="str">
        <f t="shared" si="8"/>
        <v/>
      </c>
      <c r="T4" s="26" t="str">
        <f t="shared" si="9"/>
        <v/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27"/>
      <c r="B5" s="16" t="s">
        <v>27</v>
      </c>
      <c r="C5" s="17">
        <v>45660.0</v>
      </c>
      <c r="D5" s="18">
        <v>1350.0</v>
      </c>
      <c r="E5" s="18">
        <v>86.0</v>
      </c>
      <c r="F5" s="19">
        <f t="shared" si="1"/>
        <v>376.4651163</v>
      </c>
      <c r="G5" s="20">
        <f t="shared" si="2"/>
        <v>0.0637037037</v>
      </c>
      <c r="H5" s="21">
        <v>32376.0</v>
      </c>
      <c r="I5" s="16">
        <v>9.0</v>
      </c>
      <c r="J5" s="22">
        <f>iferror(I5/E5,"")</f>
        <v>0.1046511628</v>
      </c>
      <c r="K5" s="23">
        <f t="shared" si="4"/>
        <v>3597.333333</v>
      </c>
      <c r="L5" s="16"/>
      <c r="M5" s="22">
        <f t="shared" si="5"/>
        <v>0</v>
      </c>
      <c r="N5" s="18"/>
      <c r="O5" s="16"/>
      <c r="P5" s="18"/>
      <c r="Q5" s="24"/>
      <c r="R5" s="25"/>
      <c r="S5" s="24"/>
      <c r="T5" s="26"/>
      <c r="U5" s="28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0"/>
      <c r="B6" s="16" t="s">
        <v>28</v>
      </c>
      <c r="C6" s="29"/>
      <c r="D6" s="18"/>
      <c r="E6" s="18"/>
      <c r="F6" s="19" t="str">
        <f t="shared" si="1"/>
        <v/>
      </c>
      <c r="G6" s="20" t="str">
        <f t="shared" si="2"/>
        <v/>
      </c>
      <c r="H6" s="21"/>
      <c r="I6" s="16"/>
      <c r="J6" s="22" t="str">
        <f>iferror(G6/C6,"")</f>
        <v/>
      </c>
      <c r="K6" s="23" t="str">
        <f t="shared" si="4"/>
        <v/>
      </c>
      <c r="L6" s="16"/>
      <c r="M6" s="22" t="str">
        <f t="shared" si="5"/>
        <v/>
      </c>
      <c r="N6" s="18"/>
      <c r="O6" s="16"/>
      <c r="P6" s="18"/>
      <c r="Q6" s="24"/>
      <c r="R6" s="25"/>
      <c r="S6" s="24"/>
      <c r="T6" s="26"/>
      <c r="U6" s="28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30" t="s">
        <v>29</v>
      </c>
      <c r="B7" s="31"/>
      <c r="C7" s="31"/>
      <c r="D7" s="31"/>
      <c r="E7" s="32"/>
      <c r="F7" s="33">
        <f t="shared" ref="F7:G7" si="10">averageif(F3:F6,"&gt;0")</f>
        <v>376.4651163</v>
      </c>
      <c r="G7" s="34">
        <f t="shared" si="10"/>
        <v>0.0637037037</v>
      </c>
      <c r="H7" s="35"/>
      <c r="I7" s="36">
        <f>SUM(I3:I6)</f>
        <v>9</v>
      </c>
      <c r="J7" s="37">
        <f t="shared" ref="J7:K7" si="11">averageif(J3:J6,"&gt;0")</f>
        <v>0.1046511628</v>
      </c>
      <c r="K7" s="38">
        <f t="shared" si="11"/>
        <v>3597.333333</v>
      </c>
      <c r="L7" s="37"/>
      <c r="M7" s="37" t="str">
        <f>averageif(M3:M6,"&gt;0")</f>
        <v>#DIV/0!</v>
      </c>
      <c r="N7" s="36">
        <f t="shared" ref="N7:O7" si="12">SUM(N3:N6)</f>
        <v>0</v>
      </c>
      <c r="O7" s="39">
        <f t="shared" si="12"/>
        <v>0</v>
      </c>
      <c r="P7" s="36"/>
      <c r="Q7" s="40" t="str">
        <f>averageif(Q3:Q6,"&gt;0")</f>
        <v>#DIV/0!</v>
      </c>
      <c r="R7" s="35"/>
      <c r="S7" s="40" t="str">
        <f t="shared" ref="S7:T7" si="13">averageif(S3:S6,"&gt;0")</f>
        <v>#DIV/0!</v>
      </c>
      <c r="T7" s="41" t="str">
        <f t="shared" si="13"/>
        <v>#DIV/0!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"/>
      <c r="B9" s="2" t="s">
        <v>1</v>
      </c>
      <c r="C9" s="3" t="s">
        <v>2</v>
      </c>
      <c r="D9" s="4"/>
      <c r="E9" s="4"/>
      <c r="F9" s="4"/>
      <c r="G9" s="4"/>
      <c r="H9" s="5"/>
      <c r="I9" s="6" t="s">
        <v>3</v>
      </c>
      <c r="J9" s="4"/>
      <c r="K9" s="4"/>
      <c r="L9" s="4"/>
      <c r="M9" s="5"/>
      <c r="N9" s="7" t="s">
        <v>4</v>
      </c>
      <c r="O9" s="4"/>
      <c r="P9" s="4"/>
      <c r="Q9" s="4"/>
      <c r="R9" s="4"/>
      <c r="S9" s="4"/>
      <c r="T9" s="8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0"/>
      <c r="B10" s="11"/>
      <c r="C10" s="12" t="s">
        <v>5</v>
      </c>
      <c r="D10" s="12" t="s">
        <v>6</v>
      </c>
      <c r="E10" s="12" t="s">
        <v>7</v>
      </c>
      <c r="F10" s="12" t="s">
        <v>94</v>
      </c>
      <c r="G10" s="12" t="s">
        <v>95</v>
      </c>
      <c r="H10" s="12" t="s">
        <v>10</v>
      </c>
      <c r="I10" s="12" t="s">
        <v>11</v>
      </c>
      <c r="J10" s="12" t="s">
        <v>96</v>
      </c>
      <c r="K10" s="12" t="s">
        <v>97</v>
      </c>
      <c r="L10" s="13" t="s">
        <v>14</v>
      </c>
      <c r="M10" s="12" t="s">
        <v>98</v>
      </c>
      <c r="N10" s="12" t="s">
        <v>16</v>
      </c>
      <c r="O10" s="12" t="s">
        <v>17</v>
      </c>
      <c r="P10" s="12" t="s">
        <v>99</v>
      </c>
      <c r="Q10" s="12" t="s">
        <v>100</v>
      </c>
      <c r="R10" s="12" t="s">
        <v>20</v>
      </c>
      <c r="S10" s="12" t="s">
        <v>101</v>
      </c>
      <c r="T10" s="14" t="s">
        <v>102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5" t="s">
        <v>103</v>
      </c>
      <c r="B11" s="16" t="s">
        <v>24</v>
      </c>
      <c r="C11" s="17"/>
      <c r="D11" s="18"/>
      <c r="E11" s="18"/>
      <c r="F11" s="42"/>
      <c r="G11" s="20" t="str">
        <f t="shared" ref="G11:G14" si="14">iferror(E11/D11,"")</f>
        <v/>
      </c>
      <c r="H11" s="21"/>
      <c r="I11" s="16"/>
      <c r="J11" s="22" t="str">
        <f>iferror(G11/C11,"")</f>
        <v/>
      </c>
      <c r="K11" s="23" t="str">
        <f t="shared" ref="K11:K14" si="15">iferror(H11/I11,"")</f>
        <v/>
      </c>
      <c r="L11" s="16"/>
      <c r="M11" s="22" t="str">
        <f t="shared" ref="M11:M14" si="16">iferror(L11/I11,"")</f>
        <v/>
      </c>
      <c r="N11" s="18"/>
      <c r="O11" s="16"/>
      <c r="P11" s="18"/>
      <c r="Q11" s="24" t="str">
        <f t="shared" ref="Q11:Q14" si="17">iferror(O11/I11,"")</f>
        <v/>
      </c>
      <c r="R11" s="25">
        <f t="shared" ref="R11:R14" si="18">iferror(N11-H11,"")</f>
        <v>0</v>
      </c>
      <c r="S11" s="24" t="str">
        <f t="shared" ref="S11:S14" si="19">iferror(N11/H11,"")</f>
        <v/>
      </c>
      <c r="T11" s="26" t="str">
        <f t="shared" ref="T11:T14" si="20">iferror(R11/H11,"")</f>
        <v/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27"/>
      <c r="B12" s="16" t="s">
        <v>25</v>
      </c>
      <c r="C12" s="29"/>
      <c r="D12" s="18"/>
      <c r="E12" s="18"/>
      <c r="F12" s="19" t="str">
        <f t="shared" ref="F12:F14" si="21">iferror(H12/E12,"")</f>
        <v/>
      </c>
      <c r="G12" s="20" t="str">
        <f t="shared" si="14"/>
        <v/>
      </c>
      <c r="H12" s="21"/>
      <c r="I12" s="16"/>
      <c r="J12" s="22" t="str">
        <f t="shared" ref="J12:J13" si="22">iferror(I12/E12,"")</f>
        <v/>
      </c>
      <c r="K12" s="23" t="str">
        <f t="shared" si="15"/>
        <v/>
      </c>
      <c r="L12" s="16"/>
      <c r="M12" s="22" t="str">
        <f t="shared" si="16"/>
        <v/>
      </c>
      <c r="N12" s="18"/>
      <c r="O12" s="16"/>
      <c r="P12" s="18"/>
      <c r="Q12" s="24" t="str">
        <f t="shared" si="17"/>
        <v/>
      </c>
      <c r="R12" s="25">
        <f t="shared" si="18"/>
        <v>0</v>
      </c>
      <c r="S12" s="24" t="str">
        <f t="shared" si="19"/>
        <v/>
      </c>
      <c r="T12" s="26" t="str">
        <f t="shared" si="20"/>
        <v/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27"/>
      <c r="B13" s="16" t="s">
        <v>27</v>
      </c>
      <c r="C13" s="43" t="s">
        <v>104</v>
      </c>
      <c r="D13" s="18">
        <v>4500.0</v>
      </c>
      <c r="E13" s="18">
        <v>242.0</v>
      </c>
      <c r="F13" s="19">
        <f t="shared" si="21"/>
        <v>480.5082645</v>
      </c>
      <c r="G13" s="20">
        <f t="shared" si="14"/>
        <v>0.05377777778</v>
      </c>
      <c r="H13" s="21">
        <v>116283.0</v>
      </c>
      <c r="I13" s="16">
        <v>20.0</v>
      </c>
      <c r="J13" s="22">
        <f t="shared" si="22"/>
        <v>0.0826446281</v>
      </c>
      <c r="K13" s="23">
        <f t="shared" si="15"/>
        <v>5814.15</v>
      </c>
      <c r="L13" s="16"/>
      <c r="M13" s="22">
        <f t="shared" si="16"/>
        <v>0</v>
      </c>
      <c r="N13" s="18"/>
      <c r="O13" s="16"/>
      <c r="P13" s="18"/>
      <c r="Q13" s="24">
        <f t="shared" si="17"/>
        <v>0</v>
      </c>
      <c r="R13" s="25">
        <f t="shared" si="18"/>
        <v>-116283</v>
      </c>
      <c r="S13" s="24">
        <f t="shared" si="19"/>
        <v>0</v>
      </c>
      <c r="T13" s="26">
        <f t="shared" si="20"/>
        <v>-1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0"/>
      <c r="B14" s="16" t="s">
        <v>28</v>
      </c>
      <c r="C14" s="29"/>
      <c r="D14" s="18"/>
      <c r="E14" s="18"/>
      <c r="F14" s="19" t="str">
        <f t="shared" si="21"/>
        <v/>
      </c>
      <c r="G14" s="20" t="str">
        <f t="shared" si="14"/>
        <v/>
      </c>
      <c r="H14" s="21"/>
      <c r="I14" s="16"/>
      <c r="J14" s="22" t="str">
        <f>iferror(G14/C14,"")</f>
        <v/>
      </c>
      <c r="K14" s="23" t="str">
        <f t="shared" si="15"/>
        <v/>
      </c>
      <c r="L14" s="16"/>
      <c r="M14" s="22" t="str">
        <f t="shared" si="16"/>
        <v/>
      </c>
      <c r="N14" s="18"/>
      <c r="O14" s="16"/>
      <c r="P14" s="18"/>
      <c r="Q14" s="24" t="str">
        <f t="shared" si="17"/>
        <v/>
      </c>
      <c r="R14" s="25">
        <f t="shared" si="18"/>
        <v>0</v>
      </c>
      <c r="S14" s="24" t="str">
        <f t="shared" si="19"/>
        <v/>
      </c>
      <c r="T14" s="26" t="str">
        <f t="shared" si="20"/>
        <v/>
      </c>
      <c r="U14" s="2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30" t="s">
        <v>29</v>
      </c>
      <c r="B15" s="31"/>
      <c r="C15" s="31"/>
      <c r="D15" s="31"/>
      <c r="E15" s="32"/>
      <c r="F15" s="33">
        <f t="shared" ref="F15:G15" si="23">averageif(F11:F14,"&gt;0")</f>
        <v>480.5082645</v>
      </c>
      <c r="G15" s="34">
        <f t="shared" si="23"/>
        <v>0.05377777778</v>
      </c>
      <c r="H15" s="35"/>
      <c r="I15" s="36">
        <f>SUM(I11:I14)</f>
        <v>20</v>
      </c>
      <c r="J15" s="37">
        <f t="shared" ref="J15:K15" si="24">averageif(J11:J14,"&gt;0")</f>
        <v>0.0826446281</v>
      </c>
      <c r="K15" s="38">
        <f t="shared" si="24"/>
        <v>5814.15</v>
      </c>
      <c r="L15" s="37"/>
      <c r="M15" s="37" t="str">
        <f>averageif(M11:M14,"&gt;0")</f>
        <v>#DIV/0!</v>
      </c>
      <c r="N15" s="36">
        <f t="shared" ref="N15:O15" si="25">SUM(N11:N14)</f>
        <v>0</v>
      </c>
      <c r="O15" s="39">
        <f t="shared" si="25"/>
        <v>0</v>
      </c>
      <c r="P15" s="36"/>
      <c r="Q15" s="40" t="str">
        <f>averageif(Q11:Q14,"&gt;0")</f>
        <v>#DIV/0!</v>
      </c>
      <c r="R15" s="35"/>
      <c r="S15" s="40" t="str">
        <f t="shared" ref="S15:T15" si="26">averageif(S11:S14,"&gt;0")</f>
        <v>#DIV/0!</v>
      </c>
      <c r="T15" s="41" t="str">
        <f t="shared" si="26"/>
        <v>#DIV/0!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"/>
      <c r="B17" s="2" t="s">
        <v>1</v>
      </c>
      <c r="C17" s="3" t="s">
        <v>2</v>
      </c>
      <c r="D17" s="4"/>
      <c r="E17" s="4"/>
      <c r="F17" s="4"/>
      <c r="G17" s="4"/>
      <c r="H17" s="5"/>
      <c r="I17" s="6" t="s">
        <v>3</v>
      </c>
      <c r="J17" s="4"/>
      <c r="K17" s="4"/>
      <c r="L17" s="4"/>
      <c r="M17" s="5"/>
      <c r="N17" s="7" t="s">
        <v>4</v>
      </c>
      <c r="O17" s="4"/>
      <c r="P17" s="4"/>
      <c r="Q17" s="4"/>
      <c r="R17" s="4"/>
      <c r="S17" s="4"/>
      <c r="T17" s="8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0"/>
      <c r="B18" s="11"/>
      <c r="C18" s="12" t="s">
        <v>5</v>
      </c>
      <c r="D18" s="12" t="s">
        <v>6</v>
      </c>
      <c r="E18" s="12" t="s">
        <v>7</v>
      </c>
      <c r="F18" s="12" t="s">
        <v>105</v>
      </c>
      <c r="G18" s="12" t="s">
        <v>106</v>
      </c>
      <c r="H18" s="12" t="s">
        <v>10</v>
      </c>
      <c r="I18" s="12" t="s">
        <v>11</v>
      </c>
      <c r="J18" s="12" t="s">
        <v>107</v>
      </c>
      <c r="K18" s="12" t="s">
        <v>108</v>
      </c>
      <c r="L18" s="13" t="s">
        <v>14</v>
      </c>
      <c r="M18" s="12" t="s">
        <v>109</v>
      </c>
      <c r="N18" s="12" t="s">
        <v>16</v>
      </c>
      <c r="O18" s="12" t="s">
        <v>17</v>
      </c>
      <c r="P18" s="12" t="s">
        <v>110</v>
      </c>
      <c r="Q18" s="12" t="s">
        <v>111</v>
      </c>
      <c r="R18" s="12" t="s">
        <v>20</v>
      </c>
      <c r="S18" s="12" t="s">
        <v>112</v>
      </c>
      <c r="T18" s="14" t="s">
        <v>113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7.25" customHeight="1">
      <c r="A19" s="15" t="s">
        <v>114</v>
      </c>
      <c r="B19" s="16" t="s">
        <v>24</v>
      </c>
      <c r="C19" s="17"/>
      <c r="D19" s="18"/>
      <c r="E19" s="18"/>
      <c r="F19" s="42"/>
      <c r="G19" s="20" t="str">
        <f t="shared" ref="G19:G22" si="27">iferror(E19/D19,"")</f>
        <v/>
      </c>
      <c r="H19" s="21"/>
      <c r="I19" s="16"/>
      <c r="J19" s="22" t="str">
        <f t="shared" ref="J19:J20" si="28">iferror(G19/C19,"")</f>
        <v/>
      </c>
      <c r="K19" s="23" t="str">
        <f t="shared" ref="K19:K22" si="29">iferror(H19/I19,"")</f>
        <v/>
      </c>
      <c r="L19" s="16"/>
      <c r="M19" s="22" t="str">
        <f t="shared" ref="M19:M22" si="30">iferror(L19/I19,"")</f>
        <v/>
      </c>
      <c r="N19" s="18"/>
      <c r="O19" s="16"/>
      <c r="P19" s="18"/>
      <c r="Q19" s="24" t="str">
        <f t="shared" ref="Q19:Q22" si="31">iferror(O19/I19,"")</f>
        <v/>
      </c>
      <c r="R19" s="25">
        <f t="shared" ref="R19:R22" si="32">iferror(N19-H19,"")</f>
        <v>0</v>
      </c>
      <c r="S19" s="24" t="str">
        <f t="shared" ref="S19:S22" si="33">iferror(N19/H19,"")</f>
        <v/>
      </c>
      <c r="T19" s="26" t="str">
        <f t="shared" ref="T19:T22" si="34">iferror(R19/H19,"")</f>
        <v/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7.25" customHeight="1">
      <c r="A20" s="27"/>
      <c r="B20" s="16" t="s">
        <v>25</v>
      </c>
      <c r="C20" s="17"/>
      <c r="D20" s="18"/>
      <c r="E20" s="18"/>
      <c r="F20" s="19" t="str">
        <f t="shared" ref="F20:F22" si="35">iferror(H20/E20,"")</f>
        <v/>
      </c>
      <c r="G20" s="20" t="str">
        <f t="shared" si="27"/>
        <v/>
      </c>
      <c r="H20" s="21"/>
      <c r="I20" s="16"/>
      <c r="J20" s="22" t="str">
        <f t="shared" si="28"/>
        <v/>
      </c>
      <c r="K20" s="23" t="str">
        <f t="shared" si="29"/>
        <v/>
      </c>
      <c r="L20" s="16"/>
      <c r="M20" s="22" t="str">
        <f t="shared" si="30"/>
        <v/>
      </c>
      <c r="N20" s="18"/>
      <c r="O20" s="16"/>
      <c r="P20" s="18"/>
      <c r="Q20" s="24" t="str">
        <f t="shared" si="31"/>
        <v/>
      </c>
      <c r="R20" s="25">
        <f t="shared" si="32"/>
        <v>0</v>
      </c>
      <c r="S20" s="24" t="str">
        <f t="shared" si="33"/>
        <v/>
      </c>
      <c r="T20" s="26" t="str">
        <f t="shared" si="34"/>
        <v/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7.25" customHeight="1">
      <c r="A21" s="27"/>
      <c r="B21" s="16" t="s">
        <v>27</v>
      </c>
      <c r="C21" s="43" t="s">
        <v>115</v>
      </c>
      <c r="D21" s="18">
        <v>2722.0</v>
      </c>
      <c r="E21" s="18">
        <v>133.0</v>
      </c>
      <c r="F21" s="19">
        <f t="shared" si="35"/>
        <v>626.1578947</v>
      </c>
      <c r="G21" s="20">
        <f t="shared" si="27"/>
        <v>0.04886113152</v>
      </c>
      <c r="H21" s="21">
        <v>83279.0</v>
      </c>
      <c r="I21" s="16">
        <v>15.0</v>
      </c>
      <c r="J21" s="22">
        <f>iferror(I21/E21,"")</f>
        <v>0.1127819549</v>
      </c>
      <c r="K21" s="23">
        <f t="shared" si="29"/>
        <v>5551.933333</v>
      </c>
      <c r="L21" s="16"/>
      <c r="M21" s="22">
        <f t="shared" si="30"/>
        <v>0</v>
      </c>
      <c r="N21" s="18"/>
      <c r="O21" s="16"/>
      <c r="P21" s="44"/>
      <c r="Q21" s="24">
        <f t="shared" si="31"/>
        <v>0</v>
      </c>
      <c r="R21" s="25">
        <f t="shared" si="32"/>
        <v>-83279</v>
      </c>
      <c r="S21" s="24">
        <f t="shared" si="33"/>
        <v>0</v>
      </c>
      <c r="T21" s="26">
        <f t="shared" si="34"/>
        <v>-1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7.25" customHeight="1">
      <c r="A22" s="10"/>
      <c r="B22" s="16" t="s">
        <v>28</v>
      </c>
      <c r="C22" s="29"/>
      <c r="D22" s="18"/>
      <c r="E22" s="18"/>
      <c r="F22" s="19" t="str">
        <f t="shared" si="35"/>
        <v/>
      </c>
      <c r="G22" s="20" t="str">
        <f t="shared" si="27"/>
        <v/>
      </c>
      <c r="H22" s="21"/>
      <c r="I22" s="16"/>
      <c r="J22" s="22" t="str">
        <f>iferror(G22/C22,"")</f>
        <v/>
      </c>
      <c r="K22" s="23" t="str">
        <f t="shared" si="29"/>
        <v/>
      </c>
      <c r="L22" s="16"/>
      <c r="M22" s="22" t="str">
        <f t="shared" si="30"/>
        <v/>
      </c>
      <c r="N22" s="18"/>
      <c r="O22" s="16"/>
      <c r="P22" s="18"/>
      <c r="Q22" s="24" t="str">
        <f t="shared" si="31"/>
        <v/>
      </c>
      <c r="R22" s="25">
        <f t="shared" si="32"/>
        <v>0</v>
      </c>
      <c r="S22" s="24" t="str">
        <f t="shared" si="33"/>
        <v/>
      </c>
      <c r="T22" s="26" t="str">
        <f t="shared" si="34"/>
        <v/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30" t="s">
        <v>29</v>
      </c>
      <c r="B23" s="31"/>
      <c r="C23" s="31"/>
      <c r="D23" s="31"/>
      <c r="E23" s="32"/>
      <c r="F23" s="33">
        <f t="shared" ref="F23:G23" si="36">averageif(F19:F22,"&gt;0")</f>
        <v>626.1578947</v>
      </c>
      <c r="G23" s="34">
        <f t="shared" si="36"/>
        <v>0.04886113152</v>
      </c>
      <c r="H23" s="35"/>
      <c r="I23" s="36">
        <f>SUM(I19:I22)</f>
        <v>15</v>
      </c>
      <c r="J23" s="37">
        <f t="shared" ref="J23:K23" si="37">averageif(J19:J22,"&gt;0")</f>
        <v>0.1127819549</v>
      </c>
      <c r="K23" s="38">
        <f t="shared" si="37"/>
        <v>5551.933333</v>
      </c>
      <c r="L23" s="37"/>
      <c r="M23" s="37" t="str">
        <f>averageif(M19:M22,"&gt;0")</f>
        <v>#DIV/0!</v>
      </c>
      <c r="N23" s="36">
        <f t="shared" ref="N23:O23" si="38">SUM(N19:N22)</f>
        <v>0</v>
      </c>
      <c r="O23" s="39">
        <f t="shared" si="38"/>
        <v>0</v>
      </c>
      <c r="P23" s="36"/>
      <c r="Q23" s="40" t="str">
        <f>averageif(Q19:Q22,"&gt;0")</f>
        <v>#DIV/0!</v>
      </c>
      <c r="R23" s="35"/>
      <c r="S23" s="40" t="str">
        <f t="shared" ref="S23:T23" si="39">averageif(S19:S22,"&gt;0")</f>
        <v>#DIV/0!</v>
      </c>
      <c r="T23" s="41" t="str">
        <f t="shared" si="39"/>
        <v>#DIV/0!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1"/>
      <c r="B25" s="2" t="s">
        <v>1</v>
      </c>
      <c r="C25" s="3" t="s">
        <v>2</v>
      </c>
      <c r="D25" s="4"/>
      <c r="E25" s="4"/>
      <c r="F25" s="4"/>
      <c r="G25" s="4"/>
      <c r="H25" s="5"/>
      <c r="I25" s="6" t="s">
        <v>3</v>
      </c>
      <c r="J25" s="4"/>
      <c r="K25" s="4"/>
      <c r="L25" s="4"/>
      <c r="M25" s="5"/>
      <c r="N25" s="7" t="s">
        <v>4</v>
      </c>
      <c r="O25" s="4"/>
      <c r="P25" s="4"/>
      <c r="Q25" s="4"/>
      <c r="R25" s="4"/>
      <c r="S25" s="4"/>
      <c r="T25" s="8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10"/>
      <c r="B26" s="11"/>
      <c r="C26" s="12" t="s">
        <v>5</v>
      </c>
      <c r="D26" s="12" t="s">
        <v>6</v>
      </c>
      <c r="E26" s="12" t="s">
        <v>7</v>
      </c>
      <c r="F26" s="12" t="s">
        <v>116</v>
      </c>
      <c r="G26" s="12" t="s">
        <v>117</v>
      </c>
      <c r="H26" s="12" t="s">
        <v>10</v>
      </c>
      <c r="I26" s="12" t="s">
        <v>11</v>
      </c>
      <c r="J26" s="12" t="s">
        <v>118</v>
      </c>
      <c r="K26" s="12" t="s">
        <v>119</v>
      </c>
      <c r="L26" s="13" t="s">
        <v>14</v>
      </c>
      <c r="M26" s="12" t="s">
        <v>120</v>
      </c>
      <c r="N26" s="12" t="s">
        <v>16</v>
      </c>
      <c r="O26" s="12" t="s">
        <v>17</v>
      </c>
      <c r="P26" s="12" t="s">
        <v>121</v>
      </c>
      <c r="Q26" s="12" t="s">
        <v>122</v>
      </c>
      <c r="R26" s="12" t="s">
        <v>20</v>
      </c>
      <c r="S26" s="12" t="s">
        <v>123</v>
      </c>
      <c r="T26" s="14" t="s">
        <v>124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15" t="s">
        <v>125</v>
      </c>
      <c r="B27" s="16" t="s">
        <v>24</v>
      </c>
      <c r="C27" s="17"/>
      <c r="D27" s="18"/>
      <c r="E27" s="18"/>
      <c r="F27" s="42"/>
      <c r="G27" s="20" t="str">
        <f t="shared" ref="G27:G30" si="40">iferror(E27/D27,"")</f>
        <v/>
      </c>
      <c r="H27" s="21"/>
      <c r="I27" s="16"/>
      <c r="J27" s="22" t="str">
        <f t="shared" ref="J27:J28" si="41">iferror(G27/C27,"")</f>
        <v/>
      </c>
      <c r="K27" s="23" t="str">
        <f t="shared" ref="K27:K30" si="42">iferror(H27/I27,"")</f>
        <v/>
      </c>
      <c r="L27" s="16"/>
      <c r="M27" s="22" t="str">
        <f t="shared" ref="M27:M30" si="43">iferror(L27/I27,"")</f>
        <v/>
      </c>
      <c r="N27" s="18"/>
      <c r="O27" s="16"/>
      <c r="P27" s="18"/>
      <c r="Q27" s="24" t="str">
        <f t="shared" ref="Q27:Q30" si="44">iferror(O27/I27,"")</f>
        <v/>
      </c>
      <c r="R27" s="25">
        <f t="shared" ref="R27:R30" si="45">iferror(N27-H27,"")</f>
        <v>0</v>
      </c>
      <c r="S27" s="24" t="str">
        <f t="shared" ref="S27:S30" si="46">iferror(N27/H27,"")</f>
        <v/>
      </c>
      <c r="T27" s="26" t="str">
        <f t="shared" ref="T27:T30" si="47">iferror(R27/H27,"")</f>
        <v/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27"/>
      <c r="B28" s="16" t="s">
        <v>25</v>
      </c>
      <c r="C28" s="17"/>
      <c r="D28" s="18"/>
      <c r="E28" s="18"/>
      <c r="F28" s="19" t="str">
        <f t="shared" ref="F28:F30" si="48">iferror(H28/E28,"")</f>
        <v/>
      </c>
      <c r="G28" s="20" t="str">
        <f t="shared" si="40"/>
        <v/>
      </c>
      <c r="H28" s="21"/>
      <c r="I28" s="16"/>
      <c r="J28" s="22" t="str">
        <f t="shared" si="41"/>
        <v/>
      </c>
      <c r="K28" s="23" t="str">
        <f t="shared" si="42"/>
        <v/>
      </c>
      <c r="L28" s="16"/>
      <c r="M28" s="22" t="str">
        <f t="shared" si="43"/>
        <v/>
      </c>
      <c r="N28" s="18"/>
      <c r="O28" s="16"/>
      <c r="P28" s="18"/>
      <c r="Q28" s="24" t="str">
        <f t="shared" si="44"/>
        <v/>
      </c>
      <c r="R28" s="25">
        <f t="shared" si="45"/>
        <v>0</v>
      </c>
      <c r="S28" s="24" t="str">
        <f t="shared" si="46"/>
        <v/>
      </c>
      <c r="T28" s="26" t="str">
        <f t="shared" si="47"/>
        <v/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27"/>
      <c r="B29" s="16" t="s">
        <v>27</v>
      </c>
      <c r="C29" s="45" t="s">
        <v>126</v>
      </c>
      <c r="D29" s="46">
        <v>3663.0</v>
      </c>
      <c r="E29" s="46">
        <v>165.0</v>
      </c>
      <c r="F29" s="19">
        <f t="shared" si="48"/>
        <v>509.9818182</v>
      </c>
      <c r="G29" s="20">
        <f t="shared" si="40"/>
        <v>0.04504504505</v>
      </c>
      <c r="H29" s="47">
        <v>84147.0</v>
      </c>
      <c r="I29" s="48">
        <v>17.0</v>
      </c>
      <c r="J29" s="22">
        <f>iferror(I29/E29,"")</f>
        <v>0.103030303</v>
      </c>
      <c r="K29" s="23">
        <f t="shared" si="42"/>
        <v>4949.823529</v>
      </c>
      <c r="L29" s="16"/>
      <c r="M29" s="22">
        <f t="shared" si="43"/>
        <v>0</v>
      </c>
      <c r="N29" s="46"/>
      <c r="O29" s="48"/>
      <c r="P29" s="46"/>
      <c r="Q29" s="24">
        <f t="shared" si="44"/>
        <v>0</v>
      </c>
      <c r="R29" s="25">
        <f t="shared" si="45"/>
        <v>-84147</v>
      </c>
      <c r="S29" s="24">
        <f t="shared" si="46"/>
        <v>0</v>
      </c>
      <c r="T29" s="26">
        <f t="shared" si="47"/>
        <v>-1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10"/>
      <c r="B30" s="16" t="s">
        <v>28</v>
      </c>
      <c r="C30" s="29"/>
      <c r="D30" s="18"/>
      <c r="E30" s="18"/>
      <c r="F30" s="19" t="str">
        <f t="shared" si="48"/>
        <v/>
      </c>
      <c r="G30" s="20" t="str">
        <f t="shared" si="40"/>
        <v/>
      </c>
      <c r="H30" s="21"/>
      <c r="I30" s="16"/>
      <c r="J30" s="22" t="str">
        <f>iferror(G30/C30,"")</f>
        <v/>
      </c>
      <c r="K30" s="23" t="str">
        <f t="shared" si="42"/>
        <v/>
      </c>
      <c r="L30" s="16"/>
      <c r="M30" s="22" t="str">
        <f t="shared" si="43"/>
        <v/>
      </c>
      <c r="N30" s="18"/>
      <c r="O30" s="16"/>
      <c r="P30" s="18"/>
      <c r="Q30" s="24" t="str">
        <f t="shared" si="44"/>
        <v/>
      </c>
      <c r="R30" s="25">
        <f t="shared" si="45"/>
        <v>0</v>
      </c>
      <c r="S30" s="24" t="str">
        <f t="shared" si="46"/>
        <v/>
      </c>
      <c r="T30" s="26" t="str">
        <f t="shared" si="47"/>
        <v/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30" t="s">
        <v>29</v>
      </c>
      <c r="B31" s="31"/>
      <c r="C31" s="31"/>
      <c r="D31" s="31"/>
      <c r="E31" s="32"/>
      <c r="F31" s="33">
        <f t="shared" ref="F31:G31" si="49">averageif(F27:F30,"&gt;0")</f>
        <v>509.9818182</v>
      </c>
      <c r="G31" s="34">
        <f t="shared" si="49"/>
        <v>0.04504504505</v>
      </c>
      <c r="H31" s="35"/>
      <c r="I31" s="36">
        <f>SUM(I27:I30)</f>
        <v>17</v>
      </c>
      <c r="J31" s="37">
        <f t="shared" ref="J31:K31" si="50">averageif(J27:J30,"&gt;0")</f>
        <v>0.103030303</v>
      </c>
      <c r="K31" s="38">
        <f t="shared" si="50"/>
        <v>4949.823529</v>
      </c>
      <c r="L31" s="37"/>
      <c r="M31" s="37" t="str">
        <f>averageif(M27:M30,"&gt;0")</f>
        <v>#DIV/0!</v>
      </c>
      <c r="N31" s="36">
        <f t="shared" ref="N31:O31" si="51">SUM(N27:N30)</f>
        <v>0</v>
      </c>
      <c r="O31" s="39">
        <f t="shared" si="51"/>
        <v>0</v>
      </c>
      <c r="P31" s="36"/>
      <c r="Q31" s="40" t="str">
        <f>averageif(Q27:Q30,"&gt;0")</f>
        <v>#DIV/0!</v>
      </c>
      <c r="R31" s="35"/>
      <c r="S31" s="40" t="str">
        <f t="shared" ref="S31:T31" si="52">averageif(S27:S30,"&gt;0")</f>
        <v>#DIV/0!</v>
      </c>
      <c r="T31" s="41" t="str">
        <f t="shared" si="52"/>
        <v>#DIV/0!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1"/>
      <c r="B33" s="2" t="s">
        <v>1</v>
      </c>
      <c r="C33" s="3" t="s">
        <v>2</v>
      </c>
      <c r="D33" s="4"/>
      <c r="E33" s="4"/>
      <c r="F33" s="4"/>
      <c r="G33" s="4"/>
      <c r="H33" s="5"/>
      <c r="I33" s="6" t="s">
        <v>3</v>
      </c>
      <c r="J33" s="4"/>
      <c r="K33" s="4"/>
      <c r="L33" s="4"/>
      <c r="M33" s="5"/>
      <c r="N33" s="7" t="s">
        <v>4</v>
      </c>
      <c r="O33" s="4"/>
      <c r="P33" s="4"/>
      <c r="Q33" s="4"/>
      <c r="R33" s="4"/>
      <c r="S33" s="4"/>
      <c r="T33" s="8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10"/>
      <c r="B34" s="11"/>
      <c r="C34" s="12" t="s">
        <v>5</v>
      </c>
      <c r="D34" s="12" t="s">
        <v>6</v>
      </c>
      <c r="E34" s="12" t="s">
        <v>7</v>
      </c>
      <c r="F34" s="12" t="s">
        <v>127</v>
      </c>
      <c r="G34" s="12" t="s">
        <v>128</v>
      </c>
      <c r="H34" s="12" t="s">
        <v>10</v>
      </c>
      <c r="I34" s="12" t="s">
        <v>11</v>
      </c>
      <c r="J34" s="12" t="s">
        <v>129</v>
      </c>
      <c r="K34" s="12" t="s">
        <v>130</v>
      </c>
      <c r="L34" s="13" t="s">
        <v>14</v>
      </c>
      <c r="M34" s="12" t="s">
        <v>131</v>
      </c>
      <c r="N34" s="12" t="s">
        <v>16</v>
      </c>
      <c r="O34" s="12" t="s">
        <v>17</v>
      </c>
      <c r="P34" s="12" t="s">
        <v>132</v>
      </c>
      <c r="Q34" s="12" t="s">
        <v>133</v>
      </c>
      <c r="R34" s="12" t="s">
        <v>20</v>
      </c>
      <c r="S34" s="12" t="s">
        <v>134</v>
      </c>
      <c r="T34" s="14" t="s">
        <v>135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15" t="s">
        <v>136</v>
      </c>
      <c r="B35" s="16" t="s">
        <v>24</v>
      </c>
      <c r="C35" s="17"/>
      <c r="D35" s="18"/>
      <c r="E35" s="18"/>
      <c r="F35" s="42"/>
      <c r="G35" s="20" t="str">
        <f t="shared" ref="G35:G38" si="53">iferror(E35/D35,"")</f>
        <v/>
      </c>
      <c r="H35" s="21"/>
      <c r="I35" s="16"/>
      <c r="J35" s="22" t="str">
        <f t="shared" ref="J35:J36" si="54">iferror(G35/C35,"")</f>
        <v/>
      </c>
      <c r="K35" s="23" t="str">
        <f t="shared" ref="K35:K38" si="55">iferror(H35/I35,"")</f>
        <v/>
      </c>
      <c r="L35" s="16"/>
      <c r="M35" s="22" t="str">
        <f t="shared" ref="M35:M38" si="56">iferror(L35/I35,"")</f>
        <v/>
      </c>
      <c r="N35" s="18"/>
      <c r="O35" s="16"/>
      <c r="P35" s="18"/>
      <c r="Q35" s="24" t="str">
        <f t="shared" ref="Q35:Q38" si="57">iferror(O35/I35,"")</f>
        <v/>
      </c>
      <c r="R35" s="25">
        <f t="shared" ref="R35:R38" si="58">iferror(N35-H35,"")</f>
        <v>0</v>
      </c>
      <c r="S35" s="24" t="str">
        <f t="shared" ref="S35:S38" si="59">iferror(N35/H35,"")</f>
        <v/>
      </c>
      <c r="T35" s="26" t="str">
        <f t="shared" ref="T35:T38" si="60">iferror(R35/H35,"")</f>
        <v/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27"/>
      <c r="B36" s="16" t="s">
        <v>25</v>
      </c>
      <c r="C36" s="17"/>
      <c r="D36" s="18"/>
      <c r="E36" s="18"/>
      <c r="F36" s="19" t="str">
        <f t="shared" ref="F36:F38" si="61">iferror(H36/E36,"")</f>
        <v/>
      </c>
      <c r="G36" s="20" t="str">
        <f t="shared" si="53"/>
        <v/>
      </c>
      <c r="H36" s="21"/>
      <c r="I36" s="16"/>
      <c r="J36" s="22" t="str">
        <f t="shared" si="54"/>
        <v/>
      </c>
      <c r="K36" s="23" t="str">
        <f t="shared" si="55"/>
        <v/>
      </c>
      <c r="L36" s="16"/>
      <c r="M36" s="22" t="str">
        <f t="shared" si="56"/>
        <v/>
      </c>
      <c r="N36" s="18"/>
      <c r="O36" s="16"/>
      <c r="P36" s="18"/>
      <c r="Q36" s="24" t="str">
        <f t="shared" si="57"/>
        <v/>
      </c>
      <c r="R36" s="25">
        <f t="shared" si="58"/>
        <v>0</v>
      </c>
      <c r="S36" s="24" t="str">
        <f t="shared" si="59"/>
        <v/>
      </c>
      <c r="T36" s="26" t="str">
        <f t="shared" si="60"/>
        <v/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27"/>
      <c r="B37" s="16" t="s">
        <v>27</v>
      </c>
      <c r="C37" s="50">
        <v>45687.0</v>
      </c>
      <c r="D37" s="46">
        <v>3260.0</v>
      </c>
      <c r="E37" s="46">
        <v>207.0</v>
      </c>
      <c r="F37" s="19">
        <f t="shared" si="61"/>
        <v>454.1062802</v>
      </c>
      <c r="G37" s="20">
        <f t="shared" si="53"/>
        <v>0.06349693252</v>
      </c>
      <c r="H37" s="47">
        <v>94000.0</v>
      </c>
      <c r="I37" s="48">
        <v>21.0</v>
      </c>
      <c r="J37" s="22">
        <f>iferror(I37/E37,"")</f>
        <v>0.1014492754</v>
      </c>
      <c r="K37" s="23">
        <f t="shared" si="55"/>
        <v>4476.190476</v>
      </c>
      <c r="L37" s="16"/>
      <c r="M37" s="22">
        <f t="shared" si="56"/>
        <v>0</v>
      </c>
      <c r="N37" s="46"/>
      <c r="O37" s="48"/>
      <c r="P37" s="46"/>
      <c r="Q37" s="24">
        <f t="shared" si="57"/>
        <v>0</v>
      </c>
      <c r="R37" s="25">
        <f t="shared" si="58"/>
        <v>-94000</v>
      </c>
      <c r="S37" s="24">
        <f t="shared" si="59"/>
        <v>0</v>
      </c>
      <c r="T37" s="26">
        <f t="shared" si="60"/>
        <v>-1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10"/>
      <c r="B38" s="16" t="s">
        <v>28</v>
      </c>
      <c r="C38" s="29"/>
      <c r="D38" s="18"/>
      <c r="E38" s="18"/>
      <c r="F38" s="19" t="str">
        <f t="shared" si="61"/>
        <v/>
      </c>
      <c r="G38" s="20" t="str">
        <f t="shared" si="53"/>
        <v/>
      </c>
      <c r="H38" s="21"/>
      <c r="I38" s="16"/>
      <c r="J38" s="22" t="str">
        <f>iferror(G38/C38,"")</f>
        <v/>
      </c>
      <c r="K38" s="23" t="str">
        <f t="shared" si="55"/>
        <v/>
      </c>
      <c r="L38" s="16"/>
      <c r="M38" s="22" t="str">
        <f t="shared" si="56"/>
        <v/>
      </c>
      <c r="N38" s="18"/>
      <c r="O38" s="16"/>
      <c r="P38" s="18"/>
      <c r="Q38" s="24" t="str">
        <f t="shared" si="57"/>
        <v/>
      </c>
      <c r="R38" s="25">
        <f t="shared" si="58"/>
        <v>0</v>
      </c>
      <c r="S38" s="24" t="str">
        <f t="shared" si="59"/>
        <v/>
      </c>
      <c r="T38" s="26" t="str">
        <f t="shared" si="60"/>
        <v/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30" t="s">
        <v>29</v>
      </c>
      <c r="B39" s="31"/>
      <c r="C39" s="31"/>
      <c r="D39" s="31"/>
      <c r="E39" s="32"/>
      <c r="F39" s="33">
        <f t="shared" ref="F39:G39" si="62">averageif(F35:F38,"&gt;0")</f>
        <v>454.1062802</v>
      </c>
      <c r="G39" s="34">
        <f t="shared" si="62"/>
        <v>0.06349693252</v>
      </c>
      <c r="H39" s="35"/>
      <c r="I39" s="36">
        <f>SUM(I35:I38)</f>
        <v>21</v>
      </c>
      <c r="J39" s="37">
        <f t="shared" ref="J39:K39" si="63">averageif(J35:J38,"&gt;0")</f>
        <v>0.1014492754</v>
      </c>
      <c r="K39" s="38">
        <f t="shared" si="63"/>
        <v>4476.190476</v>
      </c>
      <c r="L39" s="37"/>
      <c r="M39" s="37" t="str">
        <f>averageif(M35:M38,"&gt;0")</f>
        <v>#DIV/0!</v>
      </c>
      <c r="N39" s="36">
        <f t="shared" ref="N39:O39" si="64">SUM(N35:N38)</f>
        <v>0</v>
      </c>
      <c r="O39" s="39">
        <f t="shared" si="64"/>
        <v>0</v>
      </c>
      <c r="P39" s="36"/>
      <c r="Q39" s="40" t="str">
        <f>averageif(Q35:Q38,"&gt;0")</f>
        <v>#DIV/0!</v>
      </c>
      <c r="R39" s="35"/>
      <c r="S39" s="40" t="str">
        <f t="shared" ref="S39:T39" si="65">averageif(S35:S38,"&gt;0")</f>
        <v>#DIV/0!</v>
      </c>
      <c r="T39" s="41" t="str">
        <f t="shared" si="65"/>
        <v>#DIV/0!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1" t="s">
        <v>83</v>
      </c>
      <c r="B41" s="2" t="s">
        <v>1</v>
      </c>
      <c r="C41" s="3" t="s">
        <v>2</v>
      </c>
      <c r="D41" s="4"/>
      <c r="E41" s="4"/>
      <c r="F41" s="4"/>
      <c r="G41" s="4"/>
      <c r="H41" s="5"/>
      <c r="I41" s="6" t="s">
        <v>3</v>
      </c>
      <c r="J41" s="4"/>
      <c r="K41" s="4"/>
      <c r="L41" s="4"/>
      <c r="M41" s="5"/>
      <c r="N41" s="7" t="s">
        <v>4</v>
      </c>
      <c r="O41" s="4"/>
      <c r="P41" s="4"/>
      <c r="Q41" s="4"/>
      <c r="R41" s="4"/>
      <c r="S41" s="4"/>
      <c r="T41" s="8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10"/>
      <c r="B42" s="11"/>
      <c r="C42" s="12" t="s">
        <v>5</v>
      </c>
      <c r="D42" s="12" t="s">
        <v>6</v>
      </c>
      <c r="E42" s="12" t="s">
        <v>7</v>
      </c>
      <c r="F42" s="12" t="s">
        <v>137</v>
      </c>
      <c r="G42" s="12" t="s">
        <v>138</v>
      </c>
      <c r="H42" s="12" t="s">
        <v>63</v>
      </c>
      <c r="I42" s="12" t="s">
        <v>11</v>
      </c>
      <c r="J42" s="12" t="s">
        <v>139</v>
      </c>
      <c r="K42" s="12" t="s">
        <v>140</v>
      </c>
      <c r="L42" s="13" t="s">
        <v>14</v>
      </c>
      <c r="M42" s="12" t="s">
        <v>141</v>
      </c>
      <c r="N42" s="12" t="s">
        <v>16</v>
      </c>
      <c r="O42" s="12" t="s">
        <v>17</v>
      </c>
      <c r="P42" s="12" t="s">
        <v>142</v>
      </c>
      <c r="Q42" s="12" t="s">
        <v>143</v>
      </c>
      <c r="R42" s="12" t="s">
        <v>20</v>
      </c>
      <c r="S42" s="12" t="s">
        <v>144</v>
      </c>
      <c r="T42" s="14" t="s">
        <v>145</v>
      </c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49" t="s">
        <v>71</v>
      </c>
      <c r="B43" s="16" t="s">
        <v>24</v>
      </c>
      <c r="C43" s="17"/>
      <c r="D43" s="18">
        <f t="shared" ref="D43:E43" si="66">D3+D11+D19+D27+D35</f>
        <v>0</v>
      </c>
      <c r="E43" s="18">
        <f t="shared" si="66"/>
        <v>0</v>
      </c>
      <c r="F43" s="19" t="str">
        <f t="shared" ref="F43:F46" si="70">iferror(H43/E43,"")</f>
        <v/>
      </c>
      <c r="G43" s="20" t="str">
        <f t="shared" ref="G43:G46" si="71">iferror(E43/D43,"")</f>
        <v/>
      </c>
      <c r="H43" s="18">
        <f t="shared" ref="H43:I43" si="67">H3+H11+H19+H27+H35</f>
        <v>0</v>
      </c>
      <c r="I43" s="18">
        <f t="shared" si="67"/>
        <v>0</v>
      </c>
      <c r="J43" s="22" t="str">
        <f t="shared" ref="J43:J44" si="73">iferror(F43/B43,"")</f>
        <v/>
      </c>
      <c r="K43" s="23" t="str">
        <f>iferror(E43/F43,"")</f>
        <v/>
      </c>
      <c r="L43" s="18">
        <f t="shared" ref="L43:L46" si="74">L3+L11+L19+L27+L35</f>
        <v>0</v>
      </c>
      <c r="M43" s="22" t="str">
        <f t="shared" ref="M43:M46" si="75">iferror(I43/E43,"")</f>
        <v/>
      </c>
      <c r="N43" s="18">
        <f t="shared" ref="N43:O43" si="68">N3+N11+N19+N27+N35</f>
        <v>0</v>
      </c>
      <c r="O43" s="18">
        <f t="shared" si="68"/>
        <v>0</v>
      </c>
      <c r="P43" s="18"/>
      <c r="Q43" s="24" t="str">
        <f t="shared" ref="Q43:Q46" si="77">iferror(O43/I43,"")</f>
        <v/>
      </c>
      <c r="R43" s="25">
        <f t="shared" ref="R43:R46" si="78">iferror(N43-H43,"")</f>
        <v>0</v>
      </c>
      <c r="S43" s="24" t="str">
        <f t="shared" ref="S43:S46" si="79">iferror(N43/H43,"")</f>
        <v/>
      </c>
      <c r="T43" s="26" t="str">
        <f t="shared" ref="T43:T46" si="80">iferror(R43/H43,"")</f>
        <v/>
      </c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27"/>
      <c r="B44" s="16" t="s">
        <v>25</v>
      </c>
      <c r="C44" s="17"/>
      <c r="D44" s="18">
        <f t="shared" ref="D44:E44" si="69">D4+D12+D20+D28+D36</f>
        <v>0</v>
      </c>
      <c r="E44" s="18">
        <f t="shared" si="69"/>
        <v>0</v>
      </c>
      <c r="F44" s="19" t="str">
        <f t="shared" si="70"/>
        <v/>
      </c>
      <c r="G44" s="20" t="str">
        <f t="shared" si="71"/>
        <v/>
      </c>
      <c r="H44" s="18">
        <f t="shared" ref="H44:I44" si="72">H4+H12+H20+H28+H36</f>
        <v>0</v>
      </c>
      <c r="I44" s="18">
        <f t="shared" si="72"/>
        <v>0</v>
      </c>
      <c r="J44" s="22" t="str">
        <f t="shared" si="73"/>
        <v/>
      </c>
      <c r="K44" s="23" t="str">
        <f t="shared" ref="K44:K45" si="82">iferror(H44/I44,"")</f>
        <v/>
      </c>
      <c r="L44" s="18">
        <f t="shared" si="74"/>
        <v>0</v>
      </c>
      <c r="M44" s="22" t="str">
        <f t="shared" si="75"/>
        <v/>
      </c>
      <c r="N44" s="18">
        <f t="shared" ref="N44:O44" si="76">N4+N12+N20+N28+N36</f>
        <v>0</v>
      </c>
      <c r="O44" s="18">
        <f t="shared" si="76"/>
        <v>0</v>
      </c>
      <c r="P44" s="18"/>
      <c r="Q44" s="24" t="str">
        <f t="shared" si="77"/>
        <v/>
      </c>
      <c r="R44" s="25">
        <f t="shared" si="78"/>
        <v>0</v>
      </c>
      <c r="S44" s="24" t="str">
        <f t="shared" si="79"/>
        <v/>
      </c>
      <c r="T44" s="26" t="str">
        <f t="shared" si="80"/>
        <v/>
      </c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27"/>
      <c r="B45" s="16" t="s">
        <v>27</v>
      </c>
      <c r="C45" s="43"/>
      <c r="D45" s="18">
        <f t="shared" ref="D45:E45" si="81">D5+D13+D21+D29+D37</f>
        <v>15495</v>
      </c>
      <c r="E45" s="18">
        <f t="shared" si="81"/>
        <v>833</v>
      </c>
      <c r="F45" s="19">
        <f t="shared" si="70"/>
        <v>519.2953181</v>
      </c>
      <c r="G45" s="20">
        <f t="shared" si="71"/>
        <v>0.05375927719</v>
      </c>
      <c r="H45" s="18">
        <v>432573.0</v>
      </c>
      <c r="I45" s="18">
        <f>I5+I13+I21+I29+I37</f>
        <v>82</v>
      </c>
      <c r="J45" s="22">
        <f t="shared" ref="J45:J46" si="86">iferror(I45/E45,"")</f>
        <v>0.09843937575</v>
      </c>
      <c r="K45" s="23">
        <f t="shared" si="82"/>
        <v>5275.280488</v>
      </c>
      <c r="L45" s="18">
        <f t="shared" si="74"/>
        <v>0</v>
      </c>
      <c r="M45" s="22">
        <f t="shared" si="75"/>
        <v>0.09843937575</v>
      </c>
      <c r="N45" s="18">
        <f t="shared" ref="N45:O45" si="83">N5+N13+N21+N29+N37</f>
        <v>0</v>
      </c>
      <c r="O45" s="18">
        <f t="shared" si="83"/>
        <v>0</v>
      </c>
      <c r="P45" s="18"/>
      <c r="Q45" s="24">
        <f t="shared" si="77"/>
        <v>0</v>
      </c>
      <c r="R45" s="25">
        <f t="shared" si="78"/>
        <v>-432573</v>
      </c>
      <c r="S45" s="24">
        <f t="shared" si="79"/>
        <v>0</v>
      </c>
      <c r="T45" s="26">
        <f t="shared" si="80"/>
        <v>-1</v>
      </c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10"/>
      <c r="B46" s="16" t="s">
        <v>28</v>
      </c>
      <c r="C46" s="29"/>
      <c r="D46" s="18">
        <f t="shared" ref="D46:E46" si="84">D6+D14+D22+D30+D38</f>
        <v>0</v>
      </c>
      <c r="E46" s="18">
        <f t="shared" si="84"/>
        <v>0</v>
      </c>
      <c r="F46" s="19" t="str">
        <f t="shared" si="70"/>
        <v/>
      </c>
      <c r="G46" s="20" t="str">
        <f t="shared" si="71"/>
        <v/>
      </c>
      <c r="H46" s="18">
        <f t="shared" ref="H46:I46" si="85">H6+H14+H22+H30+H38</f>
        <v>0</v>
      </c>
      <c r="I46" s="18">
        <f t="shared" si="85"/>
        <v>0</v>
      </c>
      <c r="J46" s="22" t="str">
        <f t="shared" si="86"/>
        <v/>
      </c>
      <c r="K46" s="23" t="str">
        <f>iferror(E46/F46,"")</f>
        <v/>
      </c>
      <c r="L46" s="18">
        <f t="shared" si="74"/>
        <v>0</v>
      </c>
      <c r="M46" s="22" t="str">
        <f t="shared" si="75"/>
        <v/>
      </c>
      <c r="N46" s="18">
        <f t="shared" ref="N46:O46" si="87">N6+N14+N22+N30+N38</f>
        <v>0</v>
      </c>
      <c r="O46" s="18">
        <f t="shared" si="87"/>
        <v>0</v>
      </c>
      <c r="P46" s="18"/>
      <c r="Q46" s="24" t="str">
        <f t="shared" si="77"/>
        <v/>
      </c>
      <c r="R46" s="25">
        <f t="shared" si="78"/>
        <v>0</v>
      </c>
      <c r="S46" s="24" t="str">
        <f t="shared" si="79"/>
        <v/>
      </c>
      <c r="T46" s="26" t="str">
        <f t="shared" si="80"/>
        <v/>
      </c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30" t="s">
        <v>29</v>
      </c>
      <c r="B47" s="31"/>
      <c r="C47" s="31"/>
      <c r="D47" s="31"/>
      <c r="E47" s="32"/>
      <c r="F47" s="33">
        <f t="shared" ref="F47:G47" si="88">averageif(F43:F46,"&gt;0")</f>
        <v>519.2953181</v>
      </c>
      <c r="G47" s="34">
        <f t="shared" si="88"/>
        <v>0.05375927719</v>
      </c>
      <c r="H47" s="35"/>
      <c r="I47" s="36">
        <f>SUM(I43:I46)</f>
        <v>82</v>
      </c>
      <c r="J47" s="37"/>
      <c r="K47" s="38">
        <f>averageif(K43:K46,"&gt;0")</f>
        <v>5275.280488</v>
      </c>
      <c r="L47" s="37"/>
      <c r="M47" s="37">
        <f>averageif(M43:M46,"&gt;0")</f>
        <v>0.09843937575</v>
      </c>
      <c r="N47" s="36">
        <f t="shared" ref="N47:O47" si="89">SUM(N43:N46)</f>
        <v>0</v>
      </c>
      <c r="O47" s="36">
        <f t="shared" si="89"/>
        <v>0</v>
      </c>
      <c r="P47" s="36"/>
      <c r="Q47" s="40" t="str">
        <f>averageif(Q43:Q46,"&gt;0")</f>
        <v>#DIV/0!</v>
      </c>
      <c r="R47" s="35"/>
      <c r="S47" s="40" t="str">
        <f t="shared" ref="S47:T47" si="90">averageif(S43:S46,"&gt;0")</f>
        <v>#DIV/0!</v>
      </c>
      <c r="T47" s="41" t="str">
        <f t="shared" si="90"/>
        <v>#DIV/0!</v>
      </c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1" t="s">
        <v>72</v>
      </c>
      <c r="B49" s="2" t="s">
        <v>1</v>
      </c>
      <c r="C49" s="3" t="s">
        <v>2</v>
      </c>
      <c r="D49" s="4"/>
      <c r="E49" s="4"/>
      <c r="F49" s="4"/>
      <c r="G49" s="4"/>
      <c r="H49" s="5"/>
      <c r="I49" s="6" t="s">
        <v>3</v>
      </c>
      <c r="J49" s="4"/>
      <c r="K49" s="4"/>
      <c r="L49" s="4"/>
      <c r="M49" s="5"/>
      <c r="N49" s="7" t="s">
        <v>4</v>
      </c>
      <c r="O49" s="4"/>
      <c r="P49" s="4"/>
      <c r="Q49" s="4"/>
      <c r="R49" s="4"/>
      <c r="S49" s="4"/>
      <c r="T49" s="8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10"/>
      <c r="B50" s="11"/>
      <c r="C50" s="12" t="s">
        <v>5</v>
      </c>
      <c r="D50" s="12" t="s">
        <v>6</v>
      </c>
      <c r="E50" s="12" t="s">
        <v>7</v>
      </c>
      <c r="F50" s="12" t="s">
        <v>146</v>
      </c>
      <c r="G50" s="12" t="s">
        <v>147</v>
      </c>
      <c r="H50" s="12" t="s">
        <v>63</v>
      </c>
      <c r="I50" s="12" t="s">
        <v>11</v>
      </c>
      <c r="J50" s="12" t="s">
        <v>148</v>
      </c>
      <c r="K50" s="12" t="s">
        <v>149</v>
      </c>
      <c r="L50" s="13" t="s">
        <v>14</v>
      </c>
      <c r="M50" s="12" t="s">
        <v>150</v>
      </c>
      <c r="N50" s="12" t="s">
        <v>16</v>
      </c>
      <c r="O50" s="12" t="s">
        <v>17</v>
      </c>
      <c r="P50" s="12" t="s">
        <v>151</v>
      </c>
      <c r="Q50" s="12" t="s">
        <v>152</v>
      </c>
      <c r="R50" s="12" t="s">
        <v>20</v>
      </c>
      <c r="S50" s="12" t="s">
        <v>153</v>
      </c>
      <c r="T50" s="14" t="s">
        <v>154</v>
      </c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49" t="s">
        <v>155</v>
      </c>
      <c r="B51" s="16" t="s">
        <v>24</v>
      </c>
      <c r="C51" s="17"/>
      <c r="D51" s="18">
        <f>D43+'12월(B2B)'!D35</f>
        <v>0</v>
      </c>
      <c r="E51" s="18">
        <f>E43+'12월(B2B)'!E35</f>
        <v>0</v>
      </c>
      <c r="F51" s="19" t="str">
        <f t="shared" ref="F51:F54" si="91">iferror(H51/E51,"")</f>
        <v/>
      </c>
      <c r="G51" s="20" t="str">
        <f t="shared" ref="G51:G54" si="92">iferror(E51/D51,"")</f>
        <v/>
      </c>
      <c r="H51" s="18">
        <f>H43+'12월(B2B)'!H35</f>
        <v>0</v>
      </c>
      <c r="I51" s="18">
        <f>I43+'12월(B2B)'!I35</f>
        <v>0</v>
      </c>
      <c r="J51" s="22" t="str">
        <f t="shared" ref="J51:J52" si="93">iferror(F51/B51,"")</f>
        <v/>
      </c>
      <c r="K51" s="23" t="str">
        <f>iferror(E51/F51,"")</f>
        <v/>
      </c>
      <c r="L51" s="18">
        <f>L43+'12월(B2B)'!L35</f>
        <v>0</v>
      </c>
      <c r="M51" s="22" t="str">
        <f t="shared" ref="M51:M54" si="94">iferror(I51/E51,"")</f>
        <v/>
      </c>
      <c r="N51" s="18">
        <f>N43+'12월(B2B)'!N35</f>
        <v>0</v>
      </c>
      <c r="O51" s="18">
        <f>O43+'12월(B2B)'!O35</f>
        <v>0</v>
      </c>
      <c r="P51" s="18"/>
      <c r="Q51" s="24" t="str">
        <f t="shared" ref="Q51:Q54" si="95">iferror(O51/I51,"")</f>
        <v/>
      </c>
      <c r="R51" s="25">
        <f t="shared" ref="R51:R54" si="96">iferror(N51-H51,"")</f>
        <v>0</v>
      </c>
      <c r="S51" s="24" t="str">
        <f t="shared" ref="S51:S54" si="97">iferror(N51/H51,"")</f>
        <v/>
      </c>
      <c r="T51" s="26" t="str">
        <f t="shared" ref="T51:T54" si="98">iferror(R51/H51,"")</f>
        <v/>
      </c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27"/>
      <c r="B52" s="16" t="s">
        <v>25</v>
      </c>
      <c r="C52" s="17"/>
      <c r="D52" s="18">
        <f>D44+'12월(B2B)'!D36</f>
        <v>8591</v>
      </c>
      <c r="E52" s="18">
        <f>E44+'12월(B2B)'!E36</f>
        <v>397</v>
      </c>
      <c r="F52" s="19">
        <f t="shared" si="91"/>
        <v>695.0528967</v>
      </c>
      <c r="G52" s="20">
        <f t="shared" si="92"/>
        <v>0.0462111512</v>
      </c>
      <c r="H52" s="18">
        <f>H44+'12월(B2B)'!H36</f>
        <v>275936</v>
      </c>
      <c r="I52" s="18">
        <f>I44+'12월(B2B)'!I36</f>
        <v>125</v>
      </c>
      <c r="J52" s="22" t="str">
        <f t="shared" si="93"/>
        <v/>
      </c>
      <c r="K52" s="23">
        <f t="shared" ref="K52:K53" si="99">iferror(H52/I52,"")</f>
        <v>2207.488</v>
      </c>
      <c r="L52" s="18">
        <f>L44+'12월(B2B)'!L36</f>
        <v>30</v>
      </c>
      <c r="M52" s="22">
        <f t="shared" si="94"/>
        <v>0.314861461</v>
      </c>
      <c r="N52" s="18">
        <f>N44+'12월(B2B)'!N36</f>
        <v>2360000</v>
      </c>
      <c r="O52" s="18">
        <f>O44+'12월(B2B)'!O36</f>
        <v>4</v>
      </c>
      <c r="P52" s="18"/>
      <c r="Q52" s="24">
        <f t="shared" si="95"/>
        <v>0.032</v>
      </c>
      <c r="R52" s="25">
        <f t="shared" si="96"/>
        <v>2084064</v>
      </c>
      <c r="S52" s="24">
        <f t="shared" si="97"/>
        <v>8.552707874</v>
      </c>
      <c r="T52" s="26">
        <f t="shared" si="98"/>
        <v>7.552707874</v>
      </c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27"/>
      <c r="B53" s="16" t="s">
        <v>27</v>
      </c>
      <c r="C53" s="43"/>
      <c r="D53" s="18">
        <f>D45+'12월(B2B)'!D37</f>
        <v>30001</v>
      </c>
      <c r="E53" s="18">
        <f>E45+'12월(B2B)'!E37</f>
        <v>1612</v>
      </c>
      <c r="F53" s="19">
        <f t="shared" si="91"/>
        <v>496.7555831</v>
      </c>
      <c r="G53" s="20">
        <f t="shared" si="92"/>
        <v>0.05373154228</v>
      </c>
      <c r="H53" s="18">
        <f>H45+'12월(B2B)'!H37</f>
        <v>800770</v>
      </c>
      <c r="I53" s="18">
        <f>I45+'12월(B2B)'!I37</f>
        <v>183</v>
      </c>
      <c r="J53" s="22">
        <f t="shared" ref="J53:J54" si="100">iferror(I53/E53,"")</f>
        <v>0.1135235732</v>
      </c>
      <c r="K53" s="23">
        <f t="shared" si="99"/>
        <v>4375.79235</v>
      </c>
      <c r="L53" s="18">
        <f>L45+'12월(B2B)'!L37</f>
        <v>8</v>
      </c>
      <c r="M53" s="22">
        <f t="shared" si="94"/>
        <v>0.1135235732</v>
      </c>
      <c r="N53" s="18">
        <f>N45+'12월(B2B)'!N37</f>
        <v>880000</v>
      </c>
      <c r="O53" s="18">
        <f>O45+'12월(B2B)'!O37</f>
        <v>1</v>
      </c>
      <c r="P53" s="18"/>
      <c r="Q53" s="24">
        <f t="shared" si="95"/>
        <v>0.005464480874</v>
      </c>
      <c r="R53" s="25">
        <f t="shared" si="96"/>
        <v>79230</v>
      </c>
      <c r="S53" s="24">
        <f t="shared" si="97"/>
        <v>1.098942268</v>
      </c>
      <c r="T53" s="26">
        <f t="shared" si="98"/>
        <v>0.09894226807</v>
      </c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10"/>
      <c r="B54" s="16" t="s">
        <v>28</v>
      </c>
      <c r="C54" s="29"/>
      <c r="D54" s="18">
        <f>D46+'12월(B2B)'!D38</f>
        <v>0</v>
      </c>
      <c r="E54" s="18">
        <f>E46+'12월(B2B)'!E38</f>
        <v>0</v>
      </c>
      <c r="F54" s="19" t="str">
        <f t="shared" si="91"/>
        <v/>
      </c>
      <c r="G54" s="20" t="str">
        <f t="shared" si="92"/>
        <v/>
      </c>
      <c r="H54" s="18">
        <f>H46+'12월(B2B)'!H38</f>
        <v>0</v>
      </c>
      <c r="I54" s="18">
        <f>I46+'12월(B2B)'!I38</f>
        <v>0</v>
      </c>
      <c r="J54" s="22" t="str">
        <f t="shared" si="100"/>
        <v/>
      </c>
      <c r="K54" s="23" t="str">
        <f>iferror(E54/F54,"")</f>
        <v/>
      </c>
      <c r="L54" s="18">
        <f>L46+'12월(B2B)'!L38</f>
        <v>0</v>
      </c>
      <c r="M54" s="22" t="str">
        <f t="shared" si="94"/>
        <v/>
      </c>
      <c r="N54" s="18">
        <f>N46+'12월(B2B)'!N38</f>
        <v>0</v>
      </c>
      <c r="O54" s="18">
        <f>O46+'12월(B2B)'!O38</f>
        <v>0</v>
      </c>
      <c r="P54" s="18"/>
      <c r="Q54" s="24" t="str">
        <f t="shared" si="95"/>
        <v/>
      </c>
      <c r="R54" s="25">
        <f t="shared" si="96"/>
        <v>0</v>
      </c>
      <c r="S54" s="24" t="str">
        <f t="shared" si="97"/>
        <v/>
      </c>
      <c r="T54" s="26" t="str">
        <f t="shared" si="98"/>
        <v/>
      </c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30" t="s">
        <v>29</v>
      </c>
      <c r="B55" s="31"/>
      <c r="C55" s="31"/>
      <c r="D55" s="31"/>
      <c r="E55" s="32"/>
      <c r="F55" s="33">
        <f t="shared" ref="F55:G55" si="101">averageif(F51:F54,"&gt;0")</f>
        <v>595.9042399</v>
      </c>
      <c r="G55" s="34">
        <f t="shared" si="101"/>
        <v>0.04997134674</v>
      </c>
      <c r="H55" s="35"/>
      <c r="I55" s="36">
        <f>SUM(I51:I54)</f>
        <v>308</v>
      </c>
      <c r="J55" s="37"/>
      <c r="K55" s="38">
        <f>averageif(K51:K54,"&gt;0")</f>
        <v>3291.640175</v>
      </c>
      <c r="L55" s="37"/>
      <c r="M55" s="37">
        <f>averageif(M51:M54,"&gt;0")</f>
        <v>0.2141925171</v>
      </c>
      <c r="N55" s="36">
        <f t="shared" ref="N55:O55" si="102">SUM(N51:N54)</f>
        <v>3240000</v>
      </c>
      <c r="O55" s="36">
        <f t="shared" si="102"/>
        <v>5</v>
      </c>
      <c r="P55" s="36"/>
      <c r="Q55" s="40">
        <f>averageif(Q51:Q54,"&gt;0")</f>
        <v>0.01873224044</v>
      </c>
      <c r="R55" s="35"/>
      <c r="S55" s="40">
        <f t="shared" ref="S55:T55" si="103">averageif(S51:S54,"&gt;0")</f>
        <v>4.825825071</v>
      </c>
      <c r="T55" s="41">
        <f t="shared" si="103"/>
        <v>3.825825071</v>
      </c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  <row r="819">
      <c r="A819" s="9"/>
      <c r="B819" s="9"/>
      <c r="C819" s="9"/>
      <c r="D819" s="9"/>
      <c r="E819" s="9"/>
      <c r="F819" s="9"/>
      <c r="G819" s="9"/>
      <c r="H819" s="9"/>
      <c r="I819" s="9"/>
      <c r="J819" s="9"/>
      <c r="K819" s="9"/>
      <c r="L819" s="9"/>
      <c r="M819" s="9"/>
      <c r="N819" s="9"/>
      <c r="O819" s="9"/>
      <c r="P819" s="9"/>
      <c r="Q819" s="9"/>
      <c r="R819" s="9"/>
      <c r="S819" s="9"/>
      <c r="T819" s="9"/>
      <c r="U819" s="9"/>
      <c r="V819" s="9"/>
      <c r="W819" s="9"/>
      <c r="X819" s="9"/>
      <c r="Y819" s="9"/>
      <c r="Z819" s="9"/>
      <c r="AA819" s="9"/>
      <c r="AB819" s="9"/>
      <c r="AC819" s="9"/>
      <c r="AD819" s="9"/>
      <c r="AE819" s="9"/>
      <c r="AF819" s="9"/>
    </row>
    <row r="820">
      <c r="A820" s="9"/>
      <c r="B820" s="9"/>
      <c r="C820" s="9"/>
      <c r="D820" s="9"/>
      <c r="E820" s="9"/>
      <c r="F820" s="9"/>
      <c r="G820" s="9"/>
      <c r="H820" s="9"/>
      <c r="I820" s="9"/>
      <c r="J820" s="9"/>
      <c r="K820" s="9"/>
      <c r="L820" s="9"/>
      <c r="M820" s="9"/>
      <c r="N820" s="9"/>
      <c r="O820" s="9"/>
      <c r="P820" s="9"/>
      <c r="Q820" s="9"/>
      <c r="R820" s="9"/>
      <c r="S820" s="9"/>
      <c r="T820" s="9"/>
      <c r="U820" s="9"/>
      <c r="V820" s="9"/>
      <c r="W820" s="9"/>
      <c r="X820" s="9"/>
      <c r="Y820" s="9"/>
      <c r="Z820" s="9"/>
      <c r="AA820" s="9"/>
      <c r="AB820" s="9"/>
      <c r="AC820" s="9"/>
      <c r="AD820" s="9"/>
      <c r="AE820" s="9"/>
      <c r="AF820" s="9"/>
    </row>
    <row r="821">
      <c r="A821" s="9"/>
      <c r="B821" s="9"/>
      <c r="C821" s="9"/>
      <c r="D821" s="9"/>
      <c r="E821" s="9"/>
      <c r="F821" s="9"/>
      <c r="G821" s="9"/>
      <c r="H821" s="9"/>
      <c r="I821" s="9"/>
      <c r="J821" s="9"/>
      <c r="K821" s="9"/>
      <c r="L821" s="9"/>
      <c r="M821" s="9"/>
      <c r="N821" s="9"/>
      <c r="O821" s="9"/>
      <c r="P821" s="9"/>
      <c r="Q821" s="9"/>
      <c r="R821" s="9"/>
      <c r="S821" s="9"/>
      <c r="T821" s="9"/>
      <c r="U821" s="9"/>
      <c r="V821" s="9"/>
      <c r="W821" s="9"/>
      <c r="X821" s="9"/>
      <c r="Y821" s="9"/>
      <c r="Z821" s="9"/>
      <c r="AA821" s="9"/>
      <c r="AB821" s="9"/>
      <c r="AC821" s="9"/>
      <c r="AD821" s="9"/>
      <c r="AE821" s="9"/>
      <c r="AF821" s="9"/>
    </row>
    <row r="822">
      <c r="A822" s="9"/>
      <c r="B822" s="9"/>
      <c r="C822" s="9"/>
      <c r="D822" s="9"/>
      <c r="E822" s="9"/>
      <c r="F822" s="9"/>
      <c r="G822" s="9"/>
      <c r="H822" s="9"/>
      <c r="I822" s="9"/>
      <c r="J822" s="9"/>
      <c r="K822" s="9"/>
      <c r="L822" s="9"/>
      <c r="M822" s="9"/>
      <c r="N822" s="9"/>
      <c r="O822" s="9"/>
      <c r="P822" s="9"/>
      <c r="Q822" s="9"/>
      <c r="R822" s="9"/>
      <c r="S822" s="9"/>
      <c r="T822" s="9"/>
      <c r="U822" s="9"/>
      <c r="V822" s="9"/>
      <c r="W822" s="9"/>
      <c r="X822" s="9"/>
      <c r="Y822" s="9"/>
      <c r="Z822" s="9"/>
      <c r="AA822" s="9"/>
      <c r="AB822" s="9"/>
      <c r="AC822" s="9"/>
      <c r="AD822" s="9"/>
      <c r="AE822" s="9"/>
      <c r="AF822" s="9"/>
    </row>
    <row r="823">
      <c r="A823" s="9"/>
      <c r="B823" s="9"/>
      <c r="C823" s="9"/>
      <c r="D823" s="9"/>
      <c r="E823" s="9"/>
      <c r="F823" s="9"/>
      <c r="G823" s="9"/>
      <c r="H823" s="9"/>
      <c r="I823" s="9"/>
      <c r="J823" s="9"/>
      <c r="K823" s="9"/>
      <c r="L823" s="9"/>
      <c r="M823" s="9"/>
      <c r="N823" s="9"/>
      <c r="O823" s="9"/>
      <c r="P823" s="9"/>
      <c r="Q823" s="9"/>
      <c r="R823" s="9"/>
      <c r="S823" s="9"/>
      <c r="T823" s="9"/>
      <c r="U823" s="9"/>
      <c r="V823" s="9"/>
      <c r="W823" s="9"/>
      <c r="X823" s="9"/>
      <c r="Y823" s="9"/>
      <c r="Z823" s="9"/>
      <c r="AA823" s="9"/>
      <c r="AB823" s="9"/>
      <c r="AC823" s="9"/>
      <c r="AD823" s="9"/>
      <c r="AE823" s="9"/>
      <c r="AF823" s="9"/>
    </row>
    <row r="824">
      <c r="A824" s="9"/>
      <c r="B824" s="9"/>
      <c r="C824" s="9"/>
      <c r="D824" s="9"/>
      <c r="E824" s="9"/>
      <c r="F824" s="9"/>
      <c r="G824" s="9"/>
      <c r="H824" s="9"/>
      <c r="I824" s="9"/>
      <c r="J824" s="9"/>
      <c r="K824" s="9"/>
      <c r="L824" s="9"/>
      <c r="M824" s="9"/>
      <c r="N824" s="9"/>
      <c r="O824" s="9"/>
      <c r="P824" s="9"/>
      <c r="Q824" s="9"/>
      <c r="R824" s="9"/>
      <c r="S824" s="9"/>
      <c r="T824" s="9"/>
      <c r="U824" s="9"/>
      <c r="V824" s="9"/>
      <c r="W824" s="9"/>
      <c r="X824" s="9"/>
      <c r="Y824" s="9"/>
      <c r="Z824" s="9"/>
      <c r="AA824" s="9"/>
      <c r="AB824" s="9"/>
      <c r="AC824" s="9"/>
      <c r="AD824" s="9"/>
      <c r="AE824" s="9"/>
      <c r="AF824" s="9"/>
    </row>
    <row r="825">
      <c r="A825" s="9"/>
      <c r="B825" s="9"/>
      <c r="C825" s="9"/>
      <c r="D825" s="9"/>
      <c r="E825" s="9"/>
      <c r="F825" s="9"/>
      <c r="G825" s="9"/>
      <c r="H825" s="9"/>
      <c r="I825" s="9"/>
      <c r="J825" s="9"/>
      <c r="K825" s="9"/>
      <c r="L825" s="9"/>
      <c r="M825" s="9"/>
      <c r="N825" s="9"/>
      <c r="O825" s="9"/>
      <c r="P825" s="9"/>
      <c r="Q825" s="9"/>
      <c r="R825" s="9"/>
      <c r="S825" s="9"/>
      <c r="T825" s="9"/>
      <c r="U825" s="9"/>
      <c r="V825" s="9"/>
      <c r="W825" s="9"/>
      <c r="X825" s="9"/>
      <c r="Y825" s="9"/>
      <c r="Z825" s="9"/>
      <c r="AA825" s="9"/>
      <c r="AB825" s="9"/>
      <c r="AC825" s="9"/>
      <c r="AD825" s="9"/>
      <c r="AE825" s="9"/>
      <c r="AF825" s="9"/>
    </row>
    <row r="826">
      <c r="A826" s="9"/>
      <c r="B826" s="9"/>
      <c r="C826" s="9"/>
      <c r="D826" s="9"/>
      <c r="E826" s="9"/>
      <c r="F826" s="9"/>
      <c r="G826" s="9"/>
      <c r="H826" s="9"/>
      <c r="I826" s="9"/>
      <c r="J826" s="9"/>
      <c r="K826" s="9"/>
      <c r="L826" s="9"/>
      <c r="M826" s="9"/>
      <c r="N826" s="9"/>
      <c r="O826" s="9"/>
      <c r="P826" s="9"/>
      <c r="Q826" s="9"/>
      <c r="R826" s="9"/>
      <c r="S826" s="9"/>
      <c r="T826" s="9"/>
      <c r="U826" s="9"/>
      <c r="V826" s="9"/>
      <c r="W826" s="9"/>
      <c r="X826" s="9"/>
      <c r="Y826" s="9"/>
      <c r="Z826" s="9"/>
      <c r="AA826" s="9"/>
      <c r="AB826" s="9"/>
      <c r="AC826" s="9"/>
      <c r="AD826" s="9"/>
      <c r="AE826" s="9"/>
      <c r="AF826" s="9"/>
    </row>
  </sheetData>
  <mergeCells count="49">
    <mergeCell ref="A1:A2"/>
    <mergeCell ref="B1:B2"/>
    <mergeCell ref="C1:H1"/>
    <mergeCell ref="I1:M1"/>
    <mergeCell ref="N1:T1"/>
    <mergeCell ref="A3:A6"/>
    <mergeCell ref="A7:E7"/>
    <mergeCell ref="A9:A10"/>
    <mergeCell ref="B9:B10"/>
    <mergeCell ref="C9:H9"/>
    <mergeCell ref="I9:M9"/>
    <mergeCell ref="N9:T9"/>
    <mergeCell ref="A11:A14"/>
    <mergeCell ref="A15:E15"/>
    <mergeCell ref="A17:A18"/>
    <mergeCell ref="B17:B18"/>
    <mergeCell ref="C17:H17"/>
    <mergeCell ref="I17:M17"/>
    <mergeCell ref="N17:T17"/>
    <mergeCell ref="A19:A22"/>
    <mergeCell ref="A23:E23"/>
    <mergeCell ref="A25:A26"/>
    <mergeCell ref="B25:B26"/>
    <mergeCell ref="C25:H25"/>
    <mergeCell ref="I25:M25"/>
    <mergeCell ref="N25:T25"/>
    <mergeCell ref="A27:A30"/>
    <mergeCell ref="A31:E31"/>
    <mergeCell ref="A33:A34"/>
    <mergeCell ref="B33:B34"/>
    <mergeCell ref="C33:H33"/>
    <mergeCell ref="I33:M33"/>
    <mergeCell ref="N33:T33"/>
    <mergeCell ref="A35:A38"/>
    <mergeCell ref="A39:E39"/>
    <mergeCell ref="A49:A50"/>
    <mergeCell ref="B49:B50"/>
    <mergeCell ref="C49:H49"/>
    <mergeCell ref="I49:M49"/>
    <mergeCell ref="N49:T49"/>
    <mergeCell ref="A51:A54"/>
    <mergeCell ref="A55:E55"/>
    <mergeCell ref="A41:A42"/>
    <mergeCell ref="B41:B42"/>
    <mergeCell ref="C41:H41"/>
    <mergeCell ref="I41:M41"/>
    <mergeCell ref="N41:T41"/>
    <mergeCell ref="A43:A46"/>
    <mergeCell ref="A47:E47"/>
  </mergeCell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63"/>
    <col customWidth="1" min="3" max="3" width="10.88"/>
    <col customWidth="1" min="4" max="4" width="9.63"/>
    <col customWidth="1" min="5" max="5" width="6.0"/>
    <col customWidth="1" min="8" max="8" width="11.25"/>
    <col customWidth="1" min="9" max="13" width="11.5"/>
    <col customWidth="1" min="16" max="16" width="39.0"/>
    <col customWidth="1" min="17" max="17" width="11.88"/>
    <col customWidth="1" min="19" max="19" width="11.5"/>
    <col customWidth="1" min="20" max="20" width="12.38"/>
  </cols>
  <sheetData>
    <row r="1">
      <c r="A1" s="1" t="s">
        <v>156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4"/>
      <c r="K1" s="4"/>
      <c r="L1" s="4"/>
      <c r="M1" s="5"/>
      <c r="N1" s="7" t="s">
        <v>4</v>
      </c>
      <c r="O1" s="4"/>
      <c r="P1" s="4"/>
      <c r="Q1" s="4"/>
      <c r="R1" s="4"/>
      <c r="S1" s="4"/>
      <c r="T1" s="8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</row>
    <row r="2">
      <c r="A2" s="10"/>
      <c r="B2" s="11"/>
      <c r="C2" s="12" t="s">
        <v>5</v>
      </c>
      <c r="D2" s="12" t="s">
        <v>6</v>
      </c>
      <c r="E2" s="12" t="s">
        <v>7</v>
      </c>
      <c r="F2" s="12" t="s">
        <v>157</v>
      </c>
      <c r="G2" s="12" t="s">
        <v>158</v>
      </c>
      <c r="H2" s="12" t="s">
        <v>10</v>
      </c>
      <c r="I2" s="12" t="s">
        <v>11</v>
      </c>
      <c r="J2" s="12" t="s">
        <v>159</v>
      </c>
      <c r="K2" s="12" t="s">
        <v>160</v>
      </c>
      <c r="L2" s="13" t="s">
        <v>14</v>
      </c>
      <c r="M2" s="12" t="s">
        <v>161</v>
      </c>
      <c r="N2" s="12" t="s">
        <v>16</v>
      </c>
      <c r="O2" s="12" t="s">
        <v>17</v>
      </c>
      <c r="P2" s="12" t="s">
        <v>162</v>
      </c>
      <c r="Q2" s="12" t="s">
        <v>163</v>
      </c>
      <c r="R2" s="12" t="s">
        <v>20</v>
      </c>
      <c r="S2" s="12" t="s">
        <v>164</v>
      </c>
      <c r="T2" s="14" t="s">
        <v>165</v>
      </c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</row>
    <row r="3">
      <c r="A3" s="15" t="s">
        <v>166</v>
      </c>
      <c r="B3" s="16" t="s">
        <v>24</v>
      </c>
      <c r="C3" s="17"/>
      <c r="D3" s="18"/>
      <c r="E3" s="18"/>
      <c r="F3" s="19" t="str">
        <f t="shared" ref="F3:F6" si="1">iferror(H3/E3,"")</f>
        <v/>
      </c>
      <c r="G3" s="20" t="str">
        <f t="shared" ref="G3:G6" si="2">iferror(E3/D3,"")</f>
        <v/>
      </c>
      <c r="H3" s="21"/>
      <c r="I3" s="16"/>
      <c r="J3" s="22" t="str">
        <f>iferror(G3/C3,"")</f>
        <v/>
      </c>
      <c r="K3" s="23" t="str">
        <f t="shared" ref="K3:K6" si="3">iferror(H3/I3,"")</f>
        <v/>
      </c>
      <c r="L3" s="16"/>
      <c r="M3" s="22" t="str">
        <f t="shared" ref="M3:M6" si="4">iferror(L3/I3,"")</f>
        <v/>
      </c>
      <c r="N3" s="18"/>
      <c r="O3" s="16"/>
      <c r="P3" s="18"/>
      <c r="Q3" s="24" t="str">
        <f t="shared" ref="Q3:Q6" si="5">iferror(O3/I3,"")</f>
        <v/>
      </c>
      <c r="R3" s="25">
        <f t="shared" ref="R3:R6" si="6">iferror(N3-H3,"")</f>
        <v>0</v>
      </c>
      <c r="S3" s="24" t="str">
        <f t="shared" ref="S3:S6" si="7">iferror(N3/H3,"")</f>
        <v/>
      </c>
      <c r="T3" s="26" t="str">
        <f t="shared" ref="T3:T6" si="8">iferror(R3/H3,"")</f>
        <v/>
      </c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</row>
    <row r="4">
      <c r="A4" s="27"/>
      <c r="B4" s="16" t="s">
        <v>25</v>
      </c>
      <c r="C4" s="29" t="s">
        <v>167</v>
      </c>
      <c r="D4" s="18">
        <v>4733.0</v>
      </c>
      <c r="E4" s="18">
        <v>248.0</v>
      </c>
      <c r="F4" s="19">
        <f t="shared" si="1"/>
        <v>809.1169355</v>
      </c>
      <c r="G4" s="20">
        <f t="shared" si="2"/>
        <v>0.0523980562</v>
      </c>
      <c r="H4" s="21">
        <v>200661.0</v>
      </c>
      <c r="I4" s="16">
        <v>112.0</v>
      </c>
      <c r="J4" s="22">
        <f t="shared" ref="J4:J5" si="9">iferror(I4/E4,"")</f>
        <v>0.4516129032</v>
      </c>
      <c r="K4" s="23">
        <f t="shared" si="3"/>
        <v>1791.616071</v>
      </c>
      <c r="L4" s="16">
        <v>25.0</v>
      </c>
      <c r="M4" s="22">
        <f t="shared" si="4"/>
        <v>0.2232142857</v>
      </c>
      <c r="N4" s="18">
        <v>1480000.0</v>
      </c>
      <c r="O4" s="16">
        <v>3.0</v>
      </c>
      <c r="P4" s="18" t="s">
        <v>168</v>
      </c>
      <c r="Q4" s="24">
        <f t="shared" si="5"/>
        <v>0.02678571429</v>
      </c>
      <c r="R4" s="25">
        <f t="shared" si="6"/>
        <v>1279339</v>
      </c>
      <c r="S4" s="24">
        <f t="shared" si="7"/>
        <v>7.375623564</v>
      </c>
      <c r="T4" s="26">
        <f t="shared" si="8"/>
        <v>6.375623564</v>
      </c>
      <c r="U4" s="9"/>
      <c r="V4" s="9"/>
      <c r="W4" s="9"/>
      <c r="X4" s="9"/>
      <c r="Y4" s="9"/>
      <c r="Z4" s="9"/>
      <c r="AA4" s="9"/>
      <c r="AB4" s="9"/>
      <c r="AC4" s="9"/>
      <c r="AD4" s="9"/>
      <c r="AE4" s="9"/>
      <c r="AF4" s="9"/>
    </row>
    <row r="5">
      <c r="A5" s="27"/>
      <c r="B5" s="16" t="s">
        <v>27</v>
      </c>
      <c r="C5" s="43" t="s">
        <v>169</v>
      </c>
      <c r="D5" s="18">
        <v>1555.0</v>
      </c>
      <c r="E5" s="18">
        <v>86.0</v>
      </c>
      <c r="F5" s="19">
        <f t="shared" si="1"/>
        <v>770.0348837</v>
      </c>
      <c r="G5" s="20">
        <f t="shared" si="2"/>
        <v>0.05530546624</v>
      </c>
      <c r="H5" s="21">
        <v>66223.0</v>
      </c>
      <c r="I5" s="16">
        <v>10.0</v>
      </c>
      <c r="J5" s="22">
        <f t="shared" si="9"/>
        <v>0.1162790698</v>
      </c>
      <c r="K5" s="23">
        <f t="shared" si="3"/>
        <v>6622.3</v>
      </c>
      <c r="L5" s="16">
        <v>1.0</v>
      </c>
      <c r="M5" s="22">
        <f t="shared" si="4"/>
        <v>0.1</v>
      </c>
      <c r="N5" s="18"/>
      <c r="O5" s="16"/>
      <c r="P5" s="18"/>
      <c r="Q5" s="24">
        <f t="shared" si="5"/>
        <v>0</v>
      </c>
      <c r="R5" s="25">
        <f t="shared" si="6"/>
        <v>-66223</v>
      </c>
      <c r="S5" s="24">
        <f t="shared" si="7"/>
        <v>0</v>
      </c>
      <c r="T5" s="26">
        <f t="shared" si="8"/>
        <v>-1</v>
      </c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</row>
    <row r="6">
      <c r="A6" s="10"/>
      <c r="B6" s="16" t="s">
        <v>28</v>
      </c>
      <c r="C6" s="29"/>
      <c r="D6" s="18"/>
      <c r="E6" s="18"/>
      <c r="F6" s="19" t="str">
        <f t="shared" si="1"/>
        <v/>
      </c>
      <c r="G6" s="20" t="str">
        <f t="shared" si="2"/>
        <v/>
      </c>
      <c r="H6" s="21"/>
      <c r="I6" s="16"/>
      <c r="J6" s="22" t="str">
        <f>iferror(G6/C6,"")</f>
        <v/>
      </c>
      <c r="K6" s="23" t="str">
        <f t="shared" si="3"/>
        <v/>
      </c>
      <c r="L6" s="16"/>
      <c r="M6" s="22" t="str">
        <f t="shared" si="4"/>
        <v/>
      </c>
      <c r="N6" s="18"/>
      <c r="O6" s="16"/>
      <c r="P6" s="18"/>
      <c r="Q6" s="24" t="str">
        <f t="shared" si="5"/>
        <v/>
      </c>
      <c r="R6" s="25">
        <f t="shared" si="6"/>
        <v>0</v>
      </c>
      <c r="S6" s="24" t="str">
        <f t="shared" si="7"/>
        <v/>
      </c>
      <c r="T6" s="26" t="str">
        <f t="shared" si="8"/>
        <v/>
      </c>
      <c r="U6" s="28"/>
      <c r="V6" s="9"/>
      <c r="W6" s="9"/>
      <c r="X6" s="9"/>
      <c r="Y6" s="9"/>
      <c r="Z6" s="9"/>
      <c r="AA6" s="9"/>
      <c r="AB6" s="9"/>
      <c r="AC6" s="9"/>
      <c r="AD6" s="9"/>
      <c r="AE6" s="9"/>
      <c r="AF6" s="9"/>
    </row>
    <row r="7">
      <c r="A7" s="30" t="s">
        <v>29</v>
      </c>
      <c r="B7" s="31"/>
      <c r="C7" s="31"/>
      <c r="D7" s="31"/>
      <c r="E7" s="32"/>
      <c r="F7" s="33">
        <f t="shared" ref="F7:G7" si="10">averageif(F3:F6,"&gt;0")</f>
        <v>789.5759096</v>
      </c>
      <c r="G7" s="34">
        <f t="shared" si="10"/>
        <v>0.05385176122</v>
      </c>
      <c r="H7" s="35"/>
      <c r="I7" s="36">
        <f>SUM(I3:I6)</f>
        <v>122</v>
      </c>
      <c r="J7" s="37">
        <f t="shared" ref="J7:K7" si="11">averageif(J3:J6,"&gt;0")</f>
        <v>0.2839459865</v>
      </c>
      <c r="K7" s="38">
        <f t="shared" si="11"/>
        <v>4206.958036</v>
      </c>
      <c r="L7" s="37"/>
      <c r="M7" s="37">
        <f>averageif(M3:M6,"&gt;0")</f>
        <v>0.1616071429</v>
      </c>
      <c r="N7" s="36">
        <f t="shared" ref="N7:O7" si="12">SUM(N3:N6)</f>
        <v>1480000</v>
      </c>
      <c r="O7" s="39">
        <f t="shared" si="12"/>
        <v>3</v>
      </c>
      <c r="P7" s="36"/>
      <c r="Q7" s="40">
        <f>averageif(Q3:Q6,"&gt;0")</f>
        <v>0.02678571429</v>
      </c>
      <c r="R7" s="35"/>
      <c r="S7" s="40">
        <f t="shared" ref="S7:T7" si="13">averageif(S3:S6,"&gt;0")</f>
        <v>7.375623564</v>
      </c>
      <c r="T7" s="41">
        <f t="shared" si="13"/>
        <v>6.375623564</v>
      </c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</row>
    <row r="8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</row>
    <row r="9">
      <c r="A9" s="1"/>
      <c r="B9" s="2" t="s">
        <v>1</v>
      </c>
      <c r="C9" s="3" t="s">
        <v>2</v>
      </c>
      <c r="D9" s="4"/>
      <c r="E9" s="4"/>
      <c r="F9" s="4"/>
      <c r="G9" s="4"/>
      <c r="H9" s="5"/>
      <c r="I9" s="6" t="s">
        <v>3</v>
      </c>
      <c r="J9" s="4"/>
      <c r="K9" s="4"/>
      <c r="L9" s="4"/>
      <c r="M9" s="5"/>
      <c r="N9" s="7" t="s">
        <v>4</v>
      </c>
      <c r="O9" s="4"/>
      <c r="P9" s="4"/>
      <c r="Q9" s="4"/>
      <c r="R9" s="4"/>
      <c r="S9" s="4"/>
      <c r="T9" s="8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</row>
    <row r="10">
      <c r="A10" s="10"/>
      <c r="B10" s="11"/>
      <c r="C10" s="12" t="s">
        <v>5</v>
      </c>
      <c r="D10" s="12" t="s">
        <v>6</v>
      </c>
      <c r="E10" s="12" t="s">
        <v>7</v>
      </c>
      <c r="F10" s="12" t="s">
        <v>170</v>
      </c>
      <c r="G10" s="12" t="s">
        <v>171</v>
      </c>
      <c r="H10" s="12" t="s">
        <v>10</v>
      </c>
      <c r="I10" s="12" t="s">
        <v>11</v>
      </c>
      <c r="J10" s="12" t="s">
        <v>172</v>
      </c>
      <c r="K10" s="12" t="s">
        <v>173</v>
      </c>
      <c r="L10" s="13" t="s">
        <v>14</v>
      </c>
      <c r="M10" s="12" t="s">
        <v>174</v>
      </c>
      <c r="N10" s="12" t="s">
        <v>16</v>
      </c>
      <c r="O10" s="12" t="s">
        <v>17</v>
      </c>
      <c r="P10" s="12" t="s">
        <v>175</v>
      </c>
      <c r="Q10" s="12" t="s">
        <v>176</v>
      </c>
      <c r="R10" s="12" t="s">
        <v>20</v>
      </c>
      <c r="S10" s="12" t="s">
        <v>177</v>
      </c>
      <c r="T10" s="14" t="s">
        <v>178</v>
      </c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</row>
    <row r="11">
      <c r="A11" s="15" t="s">
        <v>179</v>
      </c>
      <c r="B11" s="16" t="s">
        <v>24</v>
      </c>
      <c r="C11" s="17"/>
      <c r="D11" s="18"/>
      <c r="E11" s="18"/>
      <c r="F11" s="42"/>
      <c r="G11" s="20" t="str">
        <f t="shared" ref="G11:G14" si="14">iferror(E11/D11,"")</f>
        <v/>
      </c>
      <c r="H11" s="21"/>
      <c r="I11" s="16"/>
      <c r="J11" s="22" t="str">
        <f>iferror(G11/C11,"")</f>
        <v/>
      </c>
      <c r="K11" s="23" t="str">
        <f t="shared" ref="K11:K14" si="15">iferror(H11/I11,"")</f>
        <v/>
      </c>
      <c r="L11" s="16"/>
      <c r="M11" s="22" t="str">
        <f t="shared" ref="M11:M14" si="16">iferror(L11/I11,"")</f>
        <v/>
      </c>
      <c r="N11" s="18"/>
      <c r="O11" s="16"/>
      <c r="P11" s="18"/>
      <c r="Q11" s="24" t="str">
        <f t="shared" ref="Q11:Q14" si="17">iferror(O11/I11,"")</f>
        <v/>
      </c>
      <c r="R11" s="25">
        <f t="shared" ref="R11:R14" si="18">iferror(N11-H11,"")</f>
        <v>0</v>
      </c>
      <c r="S11" s="24" t="str">
        <f t="shared" ref="S11:S14" si="19">iferror(N11/H11,"")</f>
        <v/>
      </c>
      <c r="T11" s="26" t="str">
        <f t="shared" ref="T11:T14" si="20">iferror(R11/H11,"")</f>
        <v/>
      </c>
      <c r="U11" s="9"/>
      <c r="V11" s="9"/>
      <c r="W11" s="9"/>
      <c r="X11" s="9"/>
      <c r="Y11" s="9"/>
      <c r="Z11" s="9"/>
      <c r="AA11" s="9"/>
      <c r="AB11" s="9"/>
      <c r="AC11" s="9"/>
      <c r="AD11" s="9"/>
      <c r="AE11" s="9"/>
      <c r="AF11" s="9"/>
    </row>
    <row r="12">
      <c r="A12" s="27"/>
      <c r="B12" s="16" t="s">
        <v>25</v>
      </c>
      <c r="C12" s="29" t="s">
        <v>180</v>
      </c>
      <c r="D12" s="18">
        <v>3858.0</v>
      </c>
      <c r="E12" s="18">
        <v>149.0</v>
      </c>
      <c r="F12" s="19">
        <f t="shared" ref="F12:F14" si="21">iferror(H12/E12,"")</f>
        <v>505.2013423</v>
      </c>
      <c r="G12" s="20">
        <f t="shared" si="14"/>
        <v>0.03862104717</v>
      </c>
      <c r="H12" s="21">
        <v>75275.0</v>
      </c>
      <c r="I12" s="16">
        <v>13.0</v>
      </c>
      <c r="J12" s="22">
        <f t="shared" ref="J12:J13" si="22">iferror(I12/E12,"")</f>
        <v>0.08724832215</v>
      </c>
      <c r="K12" s="23">
        <f t="shared" si="15"/>
        <v>5790.384615</v>
      </c>
      <c r="L12" s="16">
        <v>5.0</v>
      </c>
      <c r="M12" s="22">
        <f t="shared" si="16"/>
        <v>0.3846153846</v>
      </c>
      <c r="N12" s="18">
        <v>880000.0</v>
      </c>
      <c r="O12" s="16">
        <v>1.0</v>
      </c>
      <c r="P12" s="18" t="s">
        <v>181</v>
      </c>
      <c r="Q12" s="24">
        <f t="shared" si="17"/>
        <v>0.07692307692</v>
      </c>
      <c r="R12" s="25">
        <f t="shared" si="18"/>
        <v>804725</v>
      </c>
      <c r="S12" s="24">
        <f t="shared" si="19"/>
        <v>11.69046828</v>
      </c>
      <c r="T12" s="26">
        <f t="shared" si="20"/>
        <v>10.69046828</v>
      </c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</row>
    <row r="13">
      <c r="A13" s="27"/>
      <c r="B13" s="16" t="s">
        <v>27</v>
      </c>
      <c r="C13" s="43" t="s">
        <v>182</v>
      </c>
      <c r="D13" s="18">
        <v>5311.0</v>
      </c>
      <c r="E13" s="18">
        <v>278.0</v>
      </c>
      <c r="F13" s="19">
        <f t="shared" si="21"/>
        <v>501.4784173</v>
      </c>
      <c r="G13" s="20">
        <f t="shared" si="14"/>
        <v>0.0523441913</v>
      </c>
      <c r="H13" s="21">
        <v>139411.0</v>
      </c>
      <c r="I13" s="16">
        <v>37.0</v>
      </c>
      <c r="J13" s="22">
        <f t="shared" si="22"/>
        <v>0.1330935252</v>
      </c>
      <c r="K13" s="23">
        <f t="shared" si="15"/>
        <v>3767.864865</v>
      </c>
      <c r="L13" s="16">
        <v>4.0</v>
      </c>
      <c r="M13" s="22">
        <f t="shared" si="16"/>
        <v>0.1081081081</v>
      </c>
      <c r="N13" s="18"/>
      <c r="O13" s="16"/>
      <c r="P13" s="18" t="s">
        <v>183</v>
      </c>
      <c r="Q13" s="24">
        <f t="shared" si="17"/>
        <v>0</v>
      </c>
      <c r="R13" s="25">
        <f t="shared" si="18"/>
        <v>-139411</v>
      </c>
      <c r="S13" s="24">
        <f t="shared" si="19"/>
        <v>0</v>
      </c>
      <c r="T13" s="26">
        <f t="shared" si="20"/>
        <v>-1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</row>
    <row r="14">
      <c r="A14" s="10"/>
      <c r="B14" s="16" t="s">
        <v>28</v>
      </c>
      <c r="C14" s="29"/>
      <c r="D14" s="18"/>
      <c r="E14" s="18"/>
      <c r="F14" s="19" t="str">
        <f t="shared" si="21"/>
        <v/>
      </c>
      <c r="G14" s="20" t="str">
        <f t="shared" si="14"/>
        <v/>
      </c>
      <c r="H14" s="21"/>
      <c r="I14" s="16"/>
      <c r="J14" s="22" t="str">
        <f>iferror(G14/C14,"")</f>
        <v/>
      </c>
      <c r="K14" s="23" t="str">
        <f t="shared" si="15"/>
        <v/>
      </c>
      <c r="L14" s="16"/>
      <c r="M14" s="22" t="str">
        <f t="shared" si="16"/>
        <v/>
      </c>
      <c r="N14" s="18"/>
      <c r="O14" s="16"/>
      <c r="P14" s="18"/>
      <c r="Q14" s="24" t="str">
        <f t="shared" si="17"/>
        <v/>
      </c>
      <c r="R14" s="25">
        <f t="shared" si="18"/>
        <v>0</v>
      </c>
      <c r="S14" s="24" t="str">
        <f t="shared" si="19"/>
        <v/>
      </c>
      <c r="T14" s="26" t="str">
        <f t="shared" si="20"/>
        <v/>
      </c>
      <c r="U14" s="28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</row>
    <row r="15">
      <c r="A15" s="30" t="s">
        <v>29</v>
      </c>
      <c r="B15" s="31"/>
      <c r="C15" s="31"/>
      <c r="D15" s="31"/>
      <c r="E15" s="32"/>
      <c r="F15" s="33">
        <f t="shared" ref="F15:G15" si="23">averageif(F11:F14,"&gt;0")</f>
        <v>503.3398798</v>
      </c>
      <c r="G15" s="34">
        <f t="shared" si="23"/>
        <v>0.04548261924</v>
      </c>
      <c r="H15" s="35"/>
      <c r="I15" s="36">
        <f>SUM(I11:I14)</f>
        <v>50</v>
      </c>
      <c r="J15" s="37">
        <f t="shared" ref="J15:K15" si="24">averageif(J11:J14,"&gt;0")</f>
        <v>0.1101709237</v>
      </c>
      <c r="K15" s="38">
        <f t="shared" si="24"/>
        <v>4779.12474</v>
      </c>
      <c r="L15" s="37"/>
      <c r="M15" s="37">
        <f>averageif(M11:M14,"&gt;0")</f>
        <v>0.2463617464</v>
      </c>
      <c r="N15" s="36">
        <f t="shared" ref="N15:O15" si="25">SUM(N11:N14)</f>
        <v>880000</v>
      </c>
      <c r="O15" s="39">
        <f t="shared" si="25"/>
        <v>1</v>
      </c>
      <c r="P15" s="36"/>
      <c r="Q15" s="40">
        <f>averageif(Q11:Q14,"&gt;0")</f>
        <v>0.07692307692</v>
      </c>
      <c r="R15" s="35"/>
      <c r="S15" s="40">
        <f t="shared" ref="S15:T15" si="26">averageif(S11:S14,"&gt;0")</f>
        <v>11.69046828</v>
      </c>
      <c r="T15" s="41">
        <f t="shared" si="26"/>
        <v>10.69046828</v>
      </c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</row>
    <row r="16">
      <c r="A16" s="9"/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</row>
    <row r="17">
      <c r="A17" s="1"/>
      <c r="B17" s="2" t="s">
        <v>1</v>
      </c>
      <c r="C17" s="3" t="s">
        <v>2</v>
      </c>
      <c r="D17" s="4"/>
      <c r="E17" s="4"/>
      <c r="F17" s="4"/>
      <c r="G17" s="4"/>
      <c r="H17" s="5"/>
      <c r="I17" s="6" t="s">
        <v>3</v>
      </c>
      <c r="J17" s="4"/>
      <c r="K17" s="4"/>
      <c r="L17" s="4"/>
      <c r="M17" s="5"/>
      <c r="N17" s="7" t="s">
        <v>4</v>
      </c>
      <c r="O17" s="4"/>
      <c r="P17" s="4"/>
      <c r="Q17" s="4"/>
      <c r="R17" s="4"/>
      <c r="S17" s="4"/>
      <c r="T17" s="8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</row>
    <row r="18">
      <c r="A18" s="10"/>
      <c r="B18" s="11"/>
      <c r="C18" s="12" t="s">
        <v>5</v>
      </c>
      <c r="D18" s="12" t="s">
        <v>6</v>
      </c>
      <c r="E18" s="12" t="s">
        <v>7</v>
      </c>
      <c r="F18" s="12" t="s">
        <v>184</v>
      </c>
      <c r="G18" s="12" t="s">
        <v>185</v>
      </c>
      <c r="H18" s="12" t="s">
        <v>10</v>
      </c>
      <c r="I18" s="12" t="s">
        <v>11</v>
      </c>
      <c r="J18" s="12" t="s">
        <v>186</v>
      </c>
      <c r="K18" s="12" t="s">
        <v>187</v>
      </c>
      <c r="L18" s="13" t="s">
        <v>14</v>
      </c>
      <c r="M18" s="12" t="s">
        <v>188</v>
      </c>
      <c r="N18" s="12" t="s">
        <v>16</v>
      </c>
      <c r="O18" s="12" t="s">
        <v>17</v>
      </c>
      <c r="P18" s="12" t="s">
        <v>189</v>
      </c>
      <c r="Q18" s="12" t="s">
        <v>190</v>
      </c>
      <c r="R18" s="12" t="s">
        <v>20</v>
      </c>
      <c r="S18" s="12" t="s">
        <v>191</v>
      </c>
      <c r="T18" s="14" t="s">
        <v>192</v>
      </c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</row>
    <row r="19" ht="17.25" customHeight="1">
      <c r="A19" s="15" t="s">
        <v>193</v>
      </c>
      <c r="B19" s="16" t="s">
        <v>24</v>
      </c>
      <c r="C19" s="17"/>
      <c r="D19" s="18"/>
      <c r="E19" s="18"/>
      <c r="F19" s="42"/>
      <c r="G19" s="20" t="str">
        <f t="shared" ref="G19:G22" si="27">iferror(E19/D19,"")</f>
        <v/>
      </c>
      <c r="H19" s="21"/>
      <c r="I19" s="16"/>
      <c r="J19" s="22" t="str">
        <f t="shared" ref="J19:J20" si="28">iferror(G19/C19,"")</f>
        <v/>
      </c>
      <c r="K19" s="23" t="str">
        <f t="shared" ref="K19:K22" si="29">iferror(H19/I19,"")</f>
        <v/>
      </c>
      <c r="L19" s="16"/>
      <c r="M19" s="22" t="str">
        <f t="shared" ref="M19:M22" si="30">iferror(L19/I19,"")</f>
        <v/>
      </c>
      <c r="N19" s="18"/>
      <c r="O19" s="16"/>
      <c r="P19" s="18"/>
      <c r="Q19" s="24" t="str">
        <f t="shared" ref="Q19:Q22" si="31">iferror(O19/I19,"")</f>
        <v/>
      </c>
      <c r="R19" s="25">
        <f t="shared" ref="R19:R22" si="32">iferror(N19-H19,"")</f>
        <v>0</v>
      </c>
      <c r="S19" s="24" t="str">
        <f t="shared" ref="S19:S22" si="33">iferror(N19/H19,"")</f>
        <v/>
      </c>
      <c r="T19" s="26" t="str">
        <f t="shared" ref="T19:T22" si="34">iferror(R19/H19,"")</f>
        <v/>
      </c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</row>
    <row r="20" ht="17.25" customHeight="1">
      <c r="A20" s="27"/>
      <c r="B20" s="16" t="s">
        <v>25</v>
      </c>
      <c r="C20" s="17"/>
      <c r="D20" s="18"/>
      <c r="E20" s="18"/>
      <c r="F20" s="19" t="str">
        <f t="shared" ref="F20:F22" si="35">iferror(H20/E20,"")</f>
        <v/>
      </c>
      <c r="G20" s="20" t="str">
        <f t="shared" si="27"/>
        <v/>
      </c>
      <c r="H20" s="21"/>
      <c r="I20" s="16"/>
      <c r="J20" s="22" t="str">
        <f t="shared" si="28"/>
        <v/>
      </c>
      <c r="K20" s="23" t="str">
        <f t="shared" si="29"/>
        <v/>
      </c>
      <c r="L20" s="16"/>
      <c r="M20" s="22" t="str">
        <f t="shared" si="30"/>
        <v/>
      </c>
      <c r="N20" s="18"/>
      <c r="O20" s="16"/>
      <c r="P20" s="18"/>
      <c r="Q20" s="24" t="str">
        <f t="shared" si="31"/>
        <v/>
      </c>
      <c r="R20" s="25">
        <f t="shared" si="32"/>
        <v>0</v>
      </c>
      <c r="S20" s="24" t="str">
        <f t="shared" si="33"/>
        <v/>
      </c>
      <c r="T20" s="26" t="str">
        <f t="shared" si="34"/>
        <v/>
      </c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</row>
    <row r="21" ht="17.25" customHeight="1">
      <c r="A21" s="27"/>
      <c r="B21" s="16" t="s">
        <v>27</v>
      </c>
      <c r="C21" s="43" t="s">
        <v>194</v>
      </c>
      <c r="D21" s="18">
        <v>1807.0</v>
      </c>
      <c r="E21" s="18">
        <v>111.0</v>
      </c>
      <c r="F21" s="19">
        <f t="shared" si="35"/>
        <v>361.972973</v>
      </c>
      <c r="G21" s="20">
        <f t="shared" si="27"/>
        <v>0.06142778085</v>
      </c>
      <c r="H21" s="21">
        <v>40179.0</v>
      </c>
      <c r="I21" s="16">
        <v>10.0</v>
      </c>
      <c r="J21" s="22">
        <f>iferror(I21/E21,"")</f>
        <v>0.09009009009</v>
      </c>
      <c r="K21" s="23">
        <f t="shared" si="29"/>
        <v>4017.9</v>
      </c>
      <c r="L21" s="16">
        <v>0.0</v>
      </c>
      <c r="M21" s="22">
        <f t="shared" si="30"/>
        <v>0</v>
      </c>
      <c r="N21" s="18"/>
      <c r="O21" s="16"/>
      <c r="P21" s="44" t="s">
        <v>195</v>
      </c>
      <c r="Q21" s="24">
        <f t="shared" si="31"/>
        <v>0</v>
      </c>
      <c r="R21" s="25">
        <f t="shared" si="32"/>
        <v>-40179</v>
      </c>
      <c r="S21" s="24">
        <f t="shared" si="33"/>
        <v>0</v>
      </c>
      <c r="T21" s="26">
        <f t="shared" si="34"/>
        <v>-1</v>
      </c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</row>
    <row r="22" ht="17.25" customHeight="1">
      <c r="A22" s="10"/>
      <c r="B22" s="16" t="s">
        <v>28</v>
      </c>
      <c r="C22" s="29"/>
      <c r="D22" s="18"/>
      <c r="E22" s="18"/>
      <c r="F22" s="19" t="str">
        <f t="shared" si="35"/>
        <v/>
      </c>
      <c r="G22" s="20" t="str">
        <f t="shared" si="27"/>
        <v/>
      </c>
      <c r="H22" s="21"/>
      <c r="I22" s="16"/>
      <c r="J22" s="22" t="str">
        <f>iferror(G22/C22,"")</f>
        <v/>
      </c>
      <c r="K22" s="23" t="str">
        <f t="shared" si="29"/>
        <v/>
      </c>
      <c r="L22" s="16"/>
      <c r="M22" s="22" t="str">
        <f t="shared" si="30"/>
        <v/>
      </c>
      <c r="N22" s="18"/>
      <c r="O22" s="16"/>
      <c r="P22" s="18"/>
      <c r="Q22" s="24" t="str">
        <f t="shared" si="31"/>
        <v/>
      </c>
      <c r="R22" s="25">
        <f t="shared" si="32"/>
        <v>0</v>
      </c>
      <c r="S22" s="24" t="str">
        <f t="shared" si="33"/>
        <v/>
      </c>
      <c r="T22" s="26" t="str">
        <f t="shared" si="34"/>
        <v/>
      </c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</row>
    <row r="23">
      <c r="A23" s="30" t="s">
        <v>29</v>
      </c>
      <c r="B23" s="31"/>
      <c r="C23" s="31"/>
      <c r="D23" s="31"/>
      <c r="E23" s="32"/>
      <c r="F23" s="33">
        <f t="shared" ref="F23:G23" si="36">averageif(F19:F22,"&gt;0")</f>
        <v>361.972973</v>
      </c>
      <c r="G23" s="34">
        <f t="shared" si="36"/>
        <v>0.06142778085</v>
      </c>
      <c r="H23" s="35"/>
      <c r="I23" s="36">
        <f>SUM(I19:I22)</f>
        <v>10</v>
      </c>
      <c r="J23" s="37">
        <f t="shared" ref="J23:K23" si="37">averageif(J19:J22,"&gt;0")</f>
        <v>0.09009009009</v>
      </c>
      <c r="K23" s="38">
        <f t="shared" si="37"/>
        <v>4017.9</v>
      </c>
      <c r="L23" s="37"/>
      <c r="M23" s="37" t="str">
        <f>averageif(M19:M22,"&gt;0")</f>
        <v>#DIV/0!</v>
      </c>
      <c r="N23" s="36">
        <f t="shared" ref="N23:O23" si="38">SUM(N19:N22)</f>
        <v>0</v>
      </c>
      <c r="O23" s="39">
        <f t="shared" si="38"/>
        <v>0</v>
      </c>
      <c r="P23" s="36"/>
      <c r="Q23" s="40" t="str">
        <f>averageif(Q19:Q22,"&gt;0")</f>
        <v>#DIV/0!</v>
      </c>
      <c r="R23" s="35"/>
      <c r="S23" s="40" t="str">
        <f t="shared" ref="S23:T23" si="39">averageif(S19:S22,"&gt;0")</f>
        <v>#DIV/0!</v>
      </c>
      <c r="T23" s="41" t="str">
        <f t="shared" si="39"/>
        <v>#DIV/0!</v>
      </c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</row>
    <row r="24">
      <c r="A24" s="9"/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</row>
    <row r="25">
      <c r="A25" s="1"/>
      <c r="B25" s="2" t="s">
        <v>1</v>
      </c>
      <c r="C25" s="3" t="s">
        <v>2</v>
      </c>
      <c r="D25" s="4"/>
      <c r="E25" s="4"/>
      <c r="F25" s="4"/>
      <c r="G25" s="4"/>
      <c r="H25" s="5"/>
      <c r="I25" s="6" t="s">
        <v>3</v>
      </c>
      <c r="J25" s="4"/>
      <c r="K25" s="4"/>
      <c r="L25" s="4"/>
      <c r="M25" s="5"/>
      <c r="N25" s="7" t="s">
        <v>4</v>
      </c>
      <c r="O25" s="4"/>
      <c r="P25" s="4"/>
      <c r="Q25" s="4"/>
      <c r="R25" s="4"/>
      <c r="S25" s="4"/>
      <c r="T25" s="8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</row>
    <row r="26">
      <c r="A26" s="10"/>
      <c r="B26" s="11"/>
      <c r="C26" s="12" t="s">
        <v>5</v>
      </c>
      <c r="D26" s="12" t="s">
        <v>6</v>
      </c>
      <c r="E26" s="12" t="s">
        <v>7</v>
      </c>
      <c r="F26" s="12" t="s">
        <v>196</v>
      </c>
      <c r="G26" s="12" t="s">
        <v>197</v>
      </c>
      <c r="H26" s="12" t="s">
        <v>10</v>
      </c>
      <c r="I26" s="12" t="s">
        <v>11</v>
      </c>
      <c r="J26" s="12" t="s">
        <v>198</v>
      </c>
      <c r="K26" s="12" t="s">
        <v>199</v>
      </c>
      <c r="L26" s="13" t="s">
        <v>14</v>
      </c>
      <c r="M26" s="12" t="s">
        <v>200</v>
      </c>
      <c r="N26" s="12" t="s">
        <v>16</v>
      </c>
      <c r="O26" s="12" t="s">
        <v>17</v>
      </c>
      <c r="P26" s="12" t="s">
        <v>201</v>
      </c>
      <c r="Q26" s="12" t="s">
        <v>202</v>
      </c>
      <c r="R26" s="12" t="s">
        <v>20</v>
      </c>
      <c r="S26" s="12" t="s">
        <v>203</v>
      </c>
      <c r="T26" s="14" t="s">
        <v>204</v>
      </c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</row>
    <row r="27">
      <c r="A27" s="15" t="s">
        <v>205</v>
      </c>
      <c r="B27" s="16" t="s">
        <v>24</v>
      </c>
      <c r="C27" s="17"/>
      <c r="D27" s="18"/>
      <c r="E27" s="18"/>
      <c r="F27" s="42"/>
      <c r="G27" s="20" t="str">
        <f t="shared" ref="G27:G30" si="40">iferror(E27/D27,"")</f>
        <v/>
      </c>
      <c r="H27" s="21"/>
      <c r="I27" s="16"/>
      <c r="J27" s="22" t="str">
        <f t="shared" ref="J27:J28" si="41">iferror(G27/C27,"")</f>
        <v/>
      </c>
      <c r="K27" s="23" t="str">
        <f t="shared" ref="K27:K30" si="42">iferror(H27/I27,"")</f>
        <v/>
      </c>
      <c r="L27" s="16"/>
      <c r="M27" s="22" t="str">
        <f t="shared" ref="M27:M30" si="43">iferror(L27/I27,"")</f>
        <v/>
      </c>
      <c r="N27" s="18"/>
      <c r="O27" s="16"/>
      <c r="P27" s="18"/>
      <c r="Q27" s="24" t="str">
        <f t="shared" ref="Q27:Q30" si="44">iferror(O27/I27,"")</f>
        <v/>
      </c>
      <c r="R27" s="25">
        <f t="shared" ref="R27:R30" si="45">iferror(N27-H27,"")</f>
        <v>0</v>
      </c>
      <c r="S27" s="24" t="str">
        <f t="shared" ref="S27:S30" si="46">iferror(N27/H27,"")</f>
        <v/>
      </c>
      <c r="T27" s="26" t="str">
        <f t="shared" ref="T27:T30" si="47">iferror(R27/H27,"")</f>
        <v/>
      </c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</row>
    <row r="28">
      <c r="A28" s="27"/>
      <c r="B28" s="16" t="s">
        <v>25</v>
      </c>
      <c r="C28" s="17"/>
      <c r="D28" s="18"/>
      <c r="E28" s="18"/>
      <c r="F28" s="19" t="str">
        <f t="shared" ref="F28:F30" si="48">iferror(H28/E28,"")</f>
        <v/>
      </c>
      <c r="G28" s="20" t="str">
        <f t="shared" si="40"/>
        <v/>
      </c>
      <c r="H28" s="21"/>
      <c r="I28" s="16"/>
      <c r="J28" s="22" t="str">
        <f t="shared" si="41"/>
        <v/>
      </c>
      <c r="K28" s="23" t="str">
        <f t="shared" si="42"/>
        <v/>
      </c>
      <c r="L28" s="16"/>
      <c r="M28" s="22" t="str">
        <f t="shared" si="43"/>
        <v/>
      </c>
      <c r="N28" s="18"/>
      <c r="O28" s="16"/>
      <c r="P28" s="18"/>
      <c r="Q28" s="24" t="str">
        <f t="shared" si="44"/>
        <v/>
      </c>
      <c r="R28" s="25">
        <f t="shared" si="45"/>
        <v>0</v>
      </c>
      <c r="S28" s="24" t="str">
        <f t="shared" si="46"/>
        <v/>
      </c>
      <c r="T28" s="26" t="str">
        <f t="shared" si="47"/>
        <v/>
      </c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</row>
    <row r="29">
      <c r="A29" s="27"/>
      <c r="B29" s="16" t="s">
        <v>27</v>
      </c>
      <c r="C29" s="45" t="s">
        <v>206</v>
      </c>
      <c r="D29" s="46">
        <v>5833.0</v>
      </c>
      <c r="E29" s="46">
        <v>304.0</v>
      </c>
      <c r="F29" s="19">
        <f t="shared" si="48"/>
        <v>402.5789474</v>
      </c>
      <c r="G29" s="20">
        <f t="shared" si="40"/>
        <v>0.05211726384</v>
      </c>
      <c r="H29" s="47">
        <v>122384.0</v>
      </c>
      <c r="I29" s="48">
        <v>44.0</v>
      </c>
      <c r="J29" s="22">
        <f>iferror(I29/E29,"")</f>
        <v>0.1447368421</v>
      </c>
      <c r="K29" s="23">
        <f t="shared" si="42"/>
        <v>2781.454545</v>
      </c>
      <c r="L29" s="16">
        <v>3.0</v>
      </c>
      <c r="M29" s="22">
        <f t="shared" si="43"/>
        <v>0.06818181818</v>
      </c>
      <c r="N29" s="46">
        <v>880000.0</v>
      </c>
      <c r="O29" s="48">
        <v>1.0</v>
      </c>
      <c r="P29" s="46" t="s">
        <v>207</v>
      </c>
      <c r="Q29" s="24">
        <f t="shared" si="44"/>
        <v>0.02272727273</v>
      </c>
      <c r="R29" s="25">
        <f t="shared" si="45"/>
        <v>757616</v>
      </c>
      <c r="S29" s="24">
        <f t="shared" si="46"/>
        <v>7.190482416</v>
      </c>
      <c r="T29" s="26">
        <f t="shared" si="47"/>
        <v>6.190482416</v>
      </c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</row>
    <row r="30">
      <c r="A30" s="10"/>
      <c r="B30" s="16" t="s">
        <v>28</v>
      </c>
      <c r="C30" s="29"/>
      <c r="D30" s="18"/>
      <c r="E30" s="18"/>
      <c r="F30" s="19" t="str">
        <f t="shared" si="48"/>
        <v/>
      </c>
      <c r="G30" s="20" t="str">
        <f t="shared" si="40"/>
        <v/>
      </c>
      <c r="H30" s="21"/>
      <c r="I30" s="16"/>
      <c r="J30" s="22" t="str">
        <f>iferror(G30/C30,"")</f>
        <v/>
      </c>
      <c r="K30" s="23" t="str">
        <f t="shared" si="42"/>
        <v/>
      </c>
      <c r="L30" s="16"/>
      <c r="M30" s="22" t="str">
        <f t="shared" si="43"/>
        <v/>
      </c>
      <c r="N30" s="18"/>
      <c r="O30" s="16"/>
      <c r="P30" s="18"/>
      <c r="Q30" s="24" t="str">
        <f t="shared" si="44"/>
        <v/>
      </c>
      <c r="R30" s="25">
        <f t="shared" si="45"/>
        <v>0</v>
      </c>
      <c r="S30" s="24" t="str">
        <f t="shared" si="46"/>
        <v/>
      </c>
      <c r="T30" s="26" t="str">
        <f t="shared" si="47"/>
        <v/>
      </c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</row>
    <row r="31">
      <c r="A31" s="30" t="s">
        <v>29</v>
      </c>
      <c r="B31" s="31"/>
      <c r="C31" s="31"/>
      <c r="D31" s="31"/>
      <c r="E31" s="32"/>
      <c r="F31" s="33">
        <f t="shared" ref="F31:G31" si="49">averageif(F27:F30,"&gt;0")</f>
        <v>402.5789474</v>
      </c>
      <c r="G31" s="34">
        <f t="shared" si="49"/>
        <v>0.05211726384</v>
      </c>
      <c r="H31" s="35"/>
      <c r="I31" s="36">
        <f>SUM(I27:I30)</f>
        <v>44</v>
      </c>
      <c r="J31" s="37">
        <f t="shared" ref="J31:K31" si="50">averageif(J27:J30,"&gt;0")</f>
        <v>0.1447368421</v>
      </c>
      <c r="K31" s="38">
        <f t="shared" si="50"/>
        <v>2781.454545</v>
      </c>
      <c r="L31" s="37"/>
      <c r="M31" s="37">
        <f>averageif(M27:M30,"&gt;0")</f>
        <v>0.06818181818</v>
      </c>
      <c r="N31" s="36">
        <f t="shared" ref="N31:O31" si="51">SUM(N27:N30)</f>
        <v>880000</v>
      </c>
      <c r="O31" s="39">
        <f t="shared" si="51"/>
        <v>1</v>
      </c>
      <c r="P31" s="36"/>
      <c r="Q31" s="40">
        <f>averageif(Q27:Q30,"&gt;0")</f>
        <v>0.02272727273</v>
      </c>
      <c r="R31" s="35"/>
      <c r="S31" s="40">
        <f t="shared" ref="S31:T31" si="52">averageif(S27:S30,"&gt;0")</f>
        <v>7.190482416</v>
      </c>
      <c r="T31" s="41">
        <f t="shared" si="52"/>
        <v>6.190482416</v>
      </c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</row>
    <row r="32">
      <c r="A32" s="9"/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</row>
    <row r="33">
      <c r="A33" s="1" t="s">
        <v>156</v>
      </c>
      <c r="B33" s="2" t="s">
        <v>1</v>
      </c>
      <c r="C33" s="3" t="s">
        <v>2</v>
      </c>
      <c r="D33" s="4"/>
      <c r="E33" s="4"/>
      <c r="F33" s="4"/>
      <c r="G33" s="4"/>
      <c r="H33" s="5"/>
      <c r="I33" s="6" t="s">
        <v>3</v>
      </c>
      <c r="J33" s="4"/>
      <c r="K33" s="4"/>
      <c r="L33" s="4"/>
      <c r="M33" s="5"/>
      <c r="N33" s="7" t="s">
        <v>4</v>
      </c>
      <c r="O33" s="4"/>
      <c r="P33" s="4"/>
      <c r="Q33" s="4"/>
      <c r="R33" s="4"/>
      <c r="S33" s="4"/>
      <c r="T33" s="8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</row>
    <row r="34">
      <c r="A34" s="10"/>
      <c r="B34" s="11"/>
      <c r="C34" s="12" t="s">
        <v>5</v>
      </c>
      <c r="D34" s="12" t="s">
        <v>6</v>
      </c>
      <c r="E34" s="12" t="s">
        <v>7</v>
      </c>
      <c r="F34" s="12" t="s">
        <v>208</v>
      </c>
      <c r="G34" s="12" t="s">
        <v>209</v>
      </c>
      <c r="H34" s="12" t="s">
        <v>63</v>
      </c>
      <c r="I34" s="12" t="s">
        <v>11</v>
      </c>
      <c r="J34" s="12" t="s">
        <v>210</v>
      </c>
      <c r="K34" s="12" t="s">
        <v>211</v>
      </c>
      <c r="L34" s="13" t="s">
        <v>14</v>
      </c>
      <c r="M34" s="12" t="s">
        <v>212</v>
      </c>
      <c r="N34" s="12" t="s">
        <v>16</v>
      </c>
      <c r="O34" s="12" t="s">
        <v>17</v>
      </c>
      <c r="P34" s="12" t="s">
        <v>213</v>
      </c>
      <c r="Q34" s="12" t="s">
        <v>214</v>
      </c>
      <c r="R34" s="12" t="s">
        <v>20</v>
      </c>
      <c r="S34" s="12" t="s">
        <v>215</v>
      </c>
      <c r="T34" s="14" t="s">
        <v>216</v>
      </c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</row>
    <row r="35">
      <c r="A35" s="49" t="s">
        <v>217</v>
      </c>
      <c r="B35" s="16" t="s">
        <v>24</v>
      </c>
      <c r="C35" s="17"/>
      <c r="D35" s="18">
        <f t="shared" ref="D35:E35" si="53">D3+D11+D19+D27</f>
        <v>0</v>
      </c>
      <c r="E35" s="18">
        <f t="shared" si="53"/>
        <v>0</v>
      </c>
      <c r="F35" s="19" t="str">
        <f t="shared" ref="F35:F38" si="57">iferror(H35/E35,"")</f>
        <v/>
      </c>
      <c r="G35" s="20" t="str">
        <f t="shared" ref="G35:G38" si="58">iferror(E35/D35,"")</f>
        <v/>
      </c>
      <c r="H35" s="18">
        <f t="shared" ref="H35:I35" si="54">H3+H11+H19+H27</f>
        <v>0</v>
      </c>
      <c r="I35" s="18">
        <f t="shared" si="54"/>
        <v>0</v>
      </c>
      <c r="J35" s="22" t="str">
        <f>iferror(F35/B35,"")</f>
        <v/>
      </c>
      <c r="K35" s="23" t="str">
        <f>iferror(E35/F35,"")</f>
        <v/>
      </c>
      <c r="L35" s="18">
        <f t="shared" ref="L35:L38" si="60">L3+L11+L19+L27</f>
        <v>0</v>
      </c>
      <c r="M35" s="22" t="str">
        <f t="shared" ref="M35:M38" si="61">iferror(I35/E35,"")</f>
        <v/>
      </c>
      <c r="N35" s="18">
        <f t="shared" ref="N35:O35" si="55">N3+N11+N19+N27</f>
        <v>0</v>
      </c>
      <c r="O35" s="18">
        <f t="shared" si="55"/>
        <v>0</v>
      </c>
      <c r="P35" s="18"/>
      <c r="Q35" s="24" t="str">
        <f t="shared" ref="Q35:Q38" si="63">iferror(O35/I35,"")</f>
        <v/>
      </c>
      <c r="R35" s="25">
        <f t="shared" ref="R35:R38" si="64">iferror(N35-H35,"")</f>
        <v>0</v>
      </c>
      <c r="S35" s="24" t="str">
        <f t="shared" ref="S35:S38" si="65">iferror(N35/H35,"")</f>
        <v/>
      </c>
      <c r="T35" s="26" t="str">
        <f t="shared" ref="T35:T38" si="66">iferror(R35/H35,"")</f>
        <v/>
      </c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</row>
    <row r="36">
      <c r="A36" s="27"/>
      <c r="B36" s="16" t="s">
        <v>25</v>
      </c>
      <c r="C36" s="17"/>
      <c r="D36" s="18">
        <f t="shared" ref="D36:E36" si="56">D4+D12+D20+D28</f>
        <v>8591</v>
      </c>
      <c r="E36" s="18">
        <f t="shared" si="56"/>
        <v>397</v>
      </c>
      <c r="F36" s="19">
        <f t="shared" si="57"/>
        <v>695.0528967</v>
      </c>
      <c r="G36" s="20">
        <f t="shared" si="58"/>
        <v>0.0462111512</v>
      </c>
      <c r="H36" s="18">
        <f t="shared" ref="H36:I36" si="59">H4+H12+H20+H28</f>
        <v>275936</v>
      </c>
      <c r="I36" s="18">
        <f t="shared" si="59"/>
        <v>125</v>
      </c>
      <c r="J36" s="22">
        <f t="shared" ref="J36:J37" si="69">iferror(I36/E36,"")</f>
        <v>0.314861461</v>
      </c>
      <c r="K36" s="23">
        <f t="shared" ref="K36:K37" si="70">iferror(H36/I36,"")</f>
        <v>2207.488</v>
      </c>
      <c r="L36" s="18">
        <f t="shared" si="60"/>
        <v>30</v>
      </c>
      <c r="M36" s="22">
        <f t="shared" si="61"/>
        <v>0.314861461</v>
      </c>
      <c r="N36" s="18">
        <f t="shared" ref="N36:O36" si="62">N4+N12+N20+N28</f>
        <v>2360000</v>
      </c>
      <c r="O36" s="18">
        <f t="shared" si="62"/>
        <v>4</v>
      </c>
      <c r="P36" s="18"/>
      <c r="Q36" s="24">
        <f t="shared" si="63"/>
        <v>0.032</v>
      </c>
      <c r="R36" s="25">
        <f t="shared" si="64"/>
        <v>2084064</v>
      </c>
      <c r="S36" s="24">
        <f t="shared" si="65"/>
        <v>8.552707874</v>
      </c>
      <c r="T36" s="26">
        <f t="shared" si="66"/>
        <v>7.552707874</v>
      </c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</row>
    <row r="37">
      <c r="A37" s="27"/>
      <c r="B37" s="16" t="s">
        <v>27</v>
      </c>
      <c r="C37" s="43"/>
      <c r="D37" s="18">
        <f t="shared" ref="D37:E37" si="67">D5+D13+D21+D29</f>
        <v>14506</v>
      </c>
      <c r="E37" s="18">
        <f t="shared" si="67"/>
        <v>779</v>
      </c>
      <c r="F37" s="19">
        <f t="shared" si="57"/>
        <v>472.6534018</v>
      </c>
      <c r="G37" s="20">
        <f t="shared" si="58"/>
        <v>0.05370191645</v>
      </c>
      <c r="H37" s="18">
        <f t="shared" ref="H37:I37" si="68">H5+H13+H21+H29</f>
        <v>368197</v>
      </c>
      <c r="I37" s="18">
        <f t="shared" si="68"/>
        <v>101</v>
      </c>
      <c r="J37" s="22">
        <f t="shared" si="69"/>
        <v>0.1296534018</v>
      </c>
      <c r="K37" s="23">
        <f t="shared" si="70"/>
        <v>3645.514851</v>
      </c>
      <c r="L37" s="18">
        <f t="shared" si="60"/>
        <v>8</v>
      </c>
      <c r="M37" s="22">
        <f t="shared" si="61"/>
        <v>0.1296534018</v>
      </c>
      <c r="N37" s="18">
        <f t="shared" ref="N37:O37" si="71">N5+N13+N21+N29</f>
        <v>880000</v>
      </c>
      <c r="O37" s="18">
        <f t="shared" si="71"/>
        <v>1</v>
      </c>
      <c r="P37" s="18"/>
      <c r="Q37" s="24">
        <f t="shared" si="63"/>
        <v>0.009900990099</v>
      </c>
      <c r="R37" s="25">
        <f t="shared" si="64"/>
        <v>511803</v>
      </c>
      <c r="S37" s="24">
        <f t="shared" si="65"/>
        <v>2.390024905</v>
      </c>
      <c r="T37" s="26">
        <f t="shared" si="66"/>
        <v>1.390024905</v>
      </c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</row>
    <row r="38">
      <c r="A38" s="10"/>
      <c r="B38" s="16" t="s">
        <v>28</v>
      </c>
      <c r="C38" s="29"/>
      <c r="D38" s="18">
        <f t="shared" ref="D38:E38" si="72">D6+D14+D22+D30</f>
        <v>0</v>
      </c>
      <c r="E38" s="18">
        <f t="shared" si="72"/>
        <v>0</v>
      </c>
      <c r="F38" s="19" t="str">
        <f t="shared" si="57"/>
        <v/>
      </c>
      <c r="G38" s="20" t="str">
        <f t="shared" si="58"/>
        <v/>
      </c>
      <c r="H38" s="18">
        <f t="shared" ref="H38:I38" si="73">H6+H14+H22+H30</f>
        <v>0</v>
      </c>
      <c r="I38" s="18">
        <f t="shared" si="73"/>
        <v>0</v>
      </c>
      <c r="J38" s="22" t="str">
        <f>iferror(F38/B38,"")</f>
        <v/>
      </c>
      <c r="K38" s="23" t="str">
        <f>iferror(E38/F38,"")</f>
        <v/>
      </c>
      <c r="L38" s="18">
        <f t="shared" si="60"/>
        <v>0</v>
      </c>
      <c r="M38" s="22" t="str">
        <f t="shared" si="61"/>
        <v/>
      </c>
      <c r="N38" s="18">
        <f t="shared" ref="N38:O38" si="74">N6+N14+N22+N30</f>
        <v>0</v>
      </c>
      <c r="O38" s="18">
        <f t="shared" si="74"/>
        <v>0</v>
      </c>
      <c r="P38" s="18"/>
      <c r="Q38" s="24" t="str">
        <f t="shared" si="63"/>
        <v/>
      </c>
      <c r="R38" s="25">
        <f t="shared" si="64"/>
        <v>0</v>
      </c>
      <c r="S38" s="24" t="str">
        <f t="shared" si="65"/>
        <v/>
      </c>
      <c r="T38" s="26" t="str">
        <f t="shared" si="66"/>
        <v/>
      </c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</row>
    <row r="39">
      <c r="A39" s="30" t="s">
        <v>29</v>
      </c>
      <c r="B39" s="31"/>
      <c r="C39" s="31"/>
      <c r="D39" s="31"/>
      <c r="E39" s="32"/>
      <c r="F39" s="33">
        <f t="shared" ref="F39:G39" si="75">averageif(F35:F38,"&gt;0")</f>
        <v>583.8531493</v>
      </c>
      <c r="G39" s="34">
        <f t="shared" si="75"/>
        <v>0.04995653383</v>
      </c>
      <c r="H39" s="35"/>
      <c r="I39" s="36">
        <f>SUM(I35:I38)</f>
        <v>226</v>
      </c>
      <c r="J39" s="37"/>
      <c r="K39" s="38">
        <f>averageif(K35:K38,"&gt;0")</f>
        <v>2926.501426</v>
      </c>
      <c r="L39" s="37"/>
      <c r="M39" s="37">
        <f>averageif(M35:M38,"&gt;0")</f>
        <v>0.2222574314</v>
      </c>
      <c r="N39" s="36">
        <f t="shared" ref="N39:O39" si="76">SUM(N35:N38)</f>
        <v>3240000</v>
      </c>
      <c r="O39" s="36">
        <f t="shared" si="76"/>
        <v>5</v>
      </c>
      <c r="P39" s="36"/>
      <c r="Q39" s="40">
        <f>averageif(Q35:Q38,"&gt;0")</f>
        <v>0.02095049505</v>
      </c>
      <c r="R39" s="35"/>
      <c r="S39" s="40">
        <f t="shared" ref="S39:T39" si="77">averageif(S35:S38,"&gt;0")</f>
        <v>5.47136639</v>
      </c>
      <c r="T39" s="41">
        <f t="shared" si="77"/>
        <v>4.47136639</v>
      </c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</row>
    <row r="40">
      <c r="A40" s="9"/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</row>
    <row r="41">
      <c r="A41" s="9"/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</row>
    <row r="42">
      <c r="A42" s="9"/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</row>
    <row r="43">
      <c r="A43" s="9"/>
      <c r="B43" s="9"/>
      <c r="C43" s="9"/>
      <c r="D43" s="9"/>
      <c r="E43" s="9"/>
      <c r="F43" s="9"/>
      <c r="G43" s="9"/>
      <c r="H43" s="9"/>
      <c r="I43" s="9"/>
      <c r="J43" s="9"/>
      <c r="K43" s="9"/>
      <c r="L43" s="9"/>
      <c r="M43" s="9"/>
      <c r="N43" s="9"/>
      <c r="O43" s="9"/>
      <c r="P43" s="9"/>
      <c r="Q43" s="9"/>
      <c r="R43" s="9"/>
      <c r="S43" s="9"/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</row>
    <row r="44">
      <c r="A44" s="9"/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</row>
    <row r="45">
      <c r="A45" s="9"/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</row>
    <row r="46">
      <c r="A46" s="9"/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</row>
    <row r="47">
      <c r="A47" s="9"/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</row>
    <row r="48">
      <c r="A48" s="9"/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</row>
    <row r="49">
      <c r="A49" s="9"/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</row>
    <row r="50">
      <c r="A50" s="9"/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</row>
    <row r="51">
      <c r="A51" s="9"/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</row>
    <row r="52">
      <c r="A52" s="9"/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</row>
    <row r="53">
      <c r="A53" s="9"/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</row>
    <row r="54">
      <c r="A54" s="9"/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</row>
    <row r="55">
      <c r="A55" s="9"/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</row>
    <row r="56">
      <c r="A56" s="9"/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</row>
    <row r="57">
      <c r="A57" s="9"/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</row>
    <row r="58">
      <c r="A58" s="9"/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</row>
    <row r="59">
      <c r="A59" s="9"/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</row>
    <row r="60">
      <c r="A60" s="9"/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</row>
    <row r="61">
      <c r="A61" s="9"/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</row>
    <row r="62">
      <c r="A62" s="9"/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</row>
    <row r="63">
      <c r="A63" s="9"/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</row>
    <row r="64">
      <c r="A64" s="9"/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</row>
    <row r="65">
      <c r="A65" s="9"/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</row>
    <row r="66">
      <c r="A66" s="9"/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</row>
    <row r="67">
      <c r="A67" s="9"/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</row>
    <row r="68">
      <c r="A68" s="9"/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</row>
    <row r="69">
      <c r="A69" s="9"/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</row>
    <row r="70">
      <c r="A70" s="9"/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</row>
    <row r="71">
      <c r="A71" s="9"/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</row>
    <row r="72">
      <c r="A72" s="9"/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</row>
    <row r="73">
      <c r="A73" s="9"/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</row>
    <row r="74">
      <c r="A74" s="9"/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</row>
    <row r="75">
      <c r="A75" s="9"/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</row>
    <row r="76">
      <c r="A76" s="9"/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</row>
    <row r="77">
      <c r="A77" s="9"/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</row>
    <row r="78">
      <c r="A78" s="9"/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</row>
    <row r="79">
      <c r="A79" s="9"/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</row>
    <row r="80">
      <c r="A80" s="9"/>
      <c r="B80" s="9"/>
      <c r="C80" s="9"/>
      <c r="D80" s="9"/>
      <c r="E80" s="9"/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/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</row>
    <row r="81">
      <c r="A81" s="9"/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</row>
    <row r="82">
      <c r="A82" s="9"/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</row>
    <row r="83">
      <c r="A83" s="9"/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</row>
    <row r="84">
      <c r="A84" s="9"/>
      <c r="B84" s="9"/>
      <c r="C84" s="9"/>
      <c r="D84" s="9"/>
      <c r="E84" s="9"/>
      <c r="F84" s="9"/>
      <c r="G84" s="9"/>
      <c r="H84" s="9"/>
      <c r="I84" s="9"/>
      <c r="J84" s="9"/>
      <c r="K84" s="9"/>
      <c r="L84" s="9"/>
      <c r="M84" s="9"/>
      <c r="N84" s="9"/>
      <c r="O84" s="9"/>
      <c r="P84" s="9"/>
      <c r="Q84" s="9"/>
      <c r="R84" s="9"/>
      <c r="S84" s="9"/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</row>
    <row r="85">
      <c r="A85" s="9"/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</row>
    <row r="86">
      <c r="A86" s="9"/>
      <c r="B86" s="9"/>
      <c r="C86" s="9"/>
      <c r="D86" s="9"/>
      <c r="E86" s="9"/>
      <c r="F86" s="9"/>
      <c r="G86" s="9"/>
      <c r="H86" s="9"/>
      <c r="I86" s="9"/>
      <c r="J86" s="9"/>
      <c r="K86" s="9"/>
      <c r="L86" s="9"/>
      <c r="M86" s="9"/>
      <c r="N86" s="9"/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</row>
    <row r="87">
      <c r="A87" s="9"/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</row>
    <row r="88">
      <c r="A88" s="9"/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</row>
    <row r="89">
      <c r="A89" s="9"/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</row>
    <row r="90">
      <c r="A90" s="9"/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</row>
    <row r="91">
      <c r="A91" s="9"/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</row>
    <row r="92">
      <c r="A92" s="9"/>
      <c r="B92" s="9"/>
      <c r="C92" s="9"/>
      <c r="D92" s="9"/>
      <c r="E92" s="9"/>
      <c r="F92" s="9"/>
      <c r="G92" s="9"/>
      <c r="H92" s="9"/>
      <c r="I92" s="9"/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/>
      <c r="Z92" s="9"/>
      <c r="AA92" s="9"/>
      <c r="AB92" s="9"/>
      <c r="AC92" s="9"/>
      <c r="AD92" s="9"/>
      <c r="AE92" s="9"/>
      <c r="AF92" s="9"/>
    </row>
    <row r="93">
      <c r="A93" s="9"/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</row>
    <row r="94">
      <c r="A94" s="9"/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</row>
    <row r="95">
      <c r="A95" s="9"/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</row>
    <row r="96">
      <c r="A96" s="9"/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</row>
    <row r="97">
      <c r="A97" s="9"/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</row>
    <row r="98">
      <c r="A98" s="9"/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</row>
    <row r="99">
      <c r="A99" s="9"/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</row>
    <row r="100">
      <c r="A100" s="9"/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</row>
    <row r="101">
      <c r="A101" s="9"/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</row>
    <row r="102">
      <c r="A102" s="9"/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</row>
    <row r="103">
      <c r="A103" s="9"/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</row>
    <row r="104">
      <c r="A104" s="9"/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</row>
    <row r="105">
      <c r="A105" s="9"/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</row>
    <row r="106">
      <c r="A106" s="9"/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</row>
    <row r="107">
      <c r="A107" s="9"/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</row>
    <row r="108">
      <c r="A108" s="9"/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</row>
    <row r="109">
      <c r="A109" s="9"/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</row>
    <row r="110">
      <c r="A110" s="9"/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</row>
    <row r="111">
      <c r="A111" s="9"/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</row>
    <row r="112">
      <c r="A112" s="9"/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</row>
    <row r="113">
      <c r="A113" s="9"/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</row>
    <row r="114">
      <c r="A114" s="9"/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</row>
    <row r="115">
      <c r="A115" s="9"/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</row>
    <row r="116">
      <c r="A116" s="9"/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</row>
    <row r="117">
      <c r="A117" s="9"/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</row>
    <row r="118">
      <c r="A118" s="9"/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</row>
    <row r="119">
      <c r="A119" s="9"/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</row>
    <row r="120">
      <c r="A120" s="9"/>
      <c r="B120" s="9"/>
      <c r="C120" s="9"/>
      <c r="D120" s="9"/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/>
      <c r="P120" s="9"/>
      <c r="Q120" s="9"/>
      <c r="R120" s="9"/>
      <c r="S120" s="9"/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</row>
    <row r="121">
      <c r="A121" s="9"/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</row>
    <row r="122">
      <c r="A122" s="9"/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</row>
    <row r="123">
      <c r="A123" s="9"/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</row>
    <row r="124">
      <c r="A124" s="9"/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</row>
    <row r="125">
      <c r="A125" s="9"/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</row>
    <row r="126">
      <c r="A126" s="9"/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</row>
    <row r="127">
      <c r="A127" s="9"/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</row>
    <row r="128">
      <c r="A128" s="9"/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</row>
    <row r="129">
      <c r="A129" s="9"/>
      <c r="B129" s="9"/>
      <c r="C129" s="9"/>
      <c r="D129" s="9"/>
      <c r="E129" s="9"/>
      <c r="F129" s="9"/>
      <c r="G129" s="9"/>
      <c r="H129" s="9"/>
      <c r="I129" s="9"/>
      <c r="J129" s="9"/>
      <c r="K129" s="9"/>
      <c r="L129" s="9"/>
      <c r="M129" s="9"/>
      <c r="N129" s="9"/>
      <c r="O129" s="9"/>
      <c r="P129" s="9"/>
      <c r="Q129" s="9"/>
      <c r="R129" s="9"/>
      <c r="S129" s="9"/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</row>
    <row r="130">
      <c r="A130" s="9"/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</row>
    <row r="131">
      <c r="A131" s="9"/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</row>
    <row r="132">
      <c r="A132" s="9"/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</row>
    <row r="133">
      <c r="A133" s="9"/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</row>
    <row r="134">
      <c r="A134" s="9"/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</row>
    <row r="135">
      <c r="A135" s="9"/>
      <c r="B135" s="9"/>
      <c r="C135" s="9"/>
      <c r="D135" s="9"/>
      <c r="E135" s="9"/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</row>
    <row r="136">
      <c r="A136" s="9"/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</row>
    <row r="137">
      <c r="A137" s="9"/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</row>
    <row r="138">
      <c r="A138" s="9"/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</row>
    <row r="139">
      <c r="A139" s="9"/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</row>
    <row r="140">
      <c r="A140" s="9"/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</row>
    <row r="141">
      <c r="A141" s="9"/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</row>
    <row r="142">
      <c r="A142" s="9"/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</row>
    <row r="143">
      <c r="A143" s="9"/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</row>
    <row r="144">
      <c r="A144" s="9"/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</row>
    <row r="145">
      <c r="A145" s="9"/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</row>
    <row r="146">
      <c r="A146" s="9"/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</row>
    <row r="147">
      <c r="A147" s="9"/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</row>
    <row r="148">
      <c r="A148" s="9"/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</row>
    <row r="149">
      <c r="A149" s="9"/>
      <c r="B149" s="9"/>
      <c r="C149" s="9"/>
      <c r="D149" s="9"/>
      <c r="E149" s="9"/>
      <c r="F149" s="9"/>
      <c r="G149" s="9"/>
      <c r="H149" s="9"/>
      <c r="I149" s="9"/>
      <c r="J149" s="9"/>
      <c r="K149" s="9"/>
      <c r="L149" s="9"/>
      <c r="M149" s="9"/>
      <c r="N149" s="9"/>
      <c r="O149" s="9"/>
      <c r="P149" s="9"/>
      <c r="Q149" s="9"/>
      <c r="R149" s="9"/>
      <c r="S149" s="9"/>
      <c r="T149" s="9"/>
      <c r="U149" s="9"/>
      <c r="V149" s="9"/>
      <c r="W149" s="9"/>
      <c r="X149" s="9"/>
      <c r="Y149" s="9"/>
      <c r="Z149" s="9"/>
      <c r="AA149" s="9"/>
      <c r="AB149" s="9"/>
      <c r="AC149" s="9"/>
      <c r="AD149" s="9"/>
      <c r="AE149" s="9"/>
      <c r="AF149" s="9"/>
    </row>
    <row r="150">
      <c r="A150" s="9"/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</row>
    <row r="151">
      <c r="A151" s="9"/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</row>
    <row r="152">
      <c r="A152" s="9"/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</row>
    <row r="153">
      <c r="A153" s="9"/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</row>
    <row r="154">
      <c r="A154" s="9"/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</row>
    <row r="155">
      <c r="A155" s="9"/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</row>
    <row r="156">
      <c r="A156" s="9"/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</row>
    <row r="157">
      <c r="A157" s="9"/>
      <c r="B157" s="9"/>
      <c r="C157" s="9"/>
      <c r="D157" s="9"/>
      <c r="E157" s="9"/>
      <c r="F157" s="9"/>
      <c r="G157" s="9"/>
      <c r="H157" s="9"/>
      <c r="I157" s="9"/>
      <c r="J157" s="9"/>
      <c r="K157" s="9"/>
      <c r="L157" s="9"/>
      <c r="M157" s="9"/>
      <c r="N157" s="9"/>
      <c r="O157" s="9"/>
      <c r="P157" s="9"/>
      <c r="Q157" s="9"/>
      <c r="R157" s="9"/>
      <c r="S157" s="9"/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</row>
    <row r="158">
      <c r="A158" s="9"/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</row>
    <row r="159">
      <c r="A159" s="9"/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</row>
    <row r="160">
      <c r="A160" s="9"/>
      <c r="B160" s="9"/>
      <c r="C160" s="9"/>
      <c r="D160" s="9"/>
      <c r="E160" s="9"/>
      <c r="F160" s="9"/>
      <c r="G160" s="9"/>
      <c r="H160" s="9"/>
      <c r="I160" s="9"/>
      <c r="J160" s="9"/>
      <c r="K160" s="9"/>
      <c r="L160" s="9"/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/>
      <c r="X160" s="9"/>
      <c r="Y160" s="9"/>
      <c r="Z160" s="9"/>
      <c r="AA160" s="9"/>
      <c r="AB160" s="9"/>
      <c r="AC160" s="9"/>
      <c r="AD160" s="9"/>
      <c r="AE160" s="9"/>
      <c r="AF160" s="9"/>
    </row>
    <row r="161">
      <c r="A161" s="9"/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</row>
    <row r="162">
      <c r="A162" s="9"/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</row>
    <row r="163">
      <c r="A163" s="9"/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</row>
    <row r="164">
      <c r="A164" s="9"/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</row>
    <row r="165">
      <c r="A165" s="9"/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</row>
    <row r="166">
      <c r="A166" s="9"/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</row>
    <row r="167">
      <c r="A167" s="9"/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</row>
    <row r="168">
      <c r="A168" s="9"/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</row>
    <row r="169">
      <c r="A169" s="9"/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</row>
    <row r="170">
      <c r="A170" s="9"/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</row>
    <row r="171">
      <c r="A171" s="9"/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</row>
    <row r="172">
      <c r="A172" s="9"/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</row>
    <row r="173">
      <c r="A173" s="9"/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</row>
    <row r="174">
      <c r="A174" s="9"/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</row>
    <row r="175">
      <c r="A175" s="9"/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</row>
    <row r="176">
      <c r="A176" s="9"/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</row>
    <row r="177">
      <c r="A177" s="9"/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</row>
    <row r="178">
      <c r="A178" s="9"/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</row>
    <row r="179">
      <c r="A179" s="9"/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</row>
    <row r="180">
      <c r="A180" s="9"/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</row>
    <row r="181">
      <c r="A181" s="9"/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</row>
    <row r="182">
      <c r="A182" s="9"/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</row>
    <row r="183">
      <c r="A183" s="9"/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</row>
    <row r="184">
      <c r="A184" s="9"/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</row>
    <row r="185">
      <c r="A185" s="9"/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</row>
    <row r="186">
      <c r="A186" s="9"/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</row>
    <row r="187">
      <c r="A187" s="9"/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</row>
    <row r="188">
      <c r="A188" s="9"/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</row>
    <row r="189">
      <c r="A189" s="9"/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</row>
    <row r="190">
      <c r="A190" s="9"/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</row>
    <row r="191">
      <c r="A191" s="9"/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</row>
    <row r="192">
      <c r="A192" s="9"/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</row>
    <row r="193">
      <c r="A193" s="9"/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</row>
    <row r="194">
      <c r="A194" s="9"/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</row>
    <row r="195">
      <c r="A195" s="9"/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</row>
    <row r="196">
      <c r="A196" s="9"/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</row>
    <row r="197">
      <c r="A197" s="9"/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</row>
    <row r="198">
      <c r="A198" s="9"/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</row>
    <row r="199">
      <c r="A199" s="9"/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</row>
    <row r="200">
      <c r="A200" s="9"/>
      <c r="B200" s="9"/>
      <c r="C200" s="9"/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/>
      <c r="Z200" s="9"/>
      <c r="AA200" s="9"/>
      <c r="AB200" s="9"/>
      <c r="AC200" s="9"/>
      <c r="AD200" s="9"/>
      <c r="AE200" s="9"/>
      <c r="AF200" s="9"/>
    </row>
    <row r="201">
      <c r="A201" s="9"/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</row>
    <row r="202">
      <c r="A202" s="9"/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</row>
    <row r="203">
      <c r="A203" s="9"/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</row>
    <row r="204">
      <c r="A204" s="9"/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</row>
    <row r="205">
      <c r="A205" s="9"/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</row>
    <row r="206">
      <c r="A206" s="9"/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</row>
    <row r="207">
      <c r="A207" s="9"/>
      <c r="B207" s="9"/>
      <c r="C207" s="9"/>
      <c r="D207" s="9"/>
      <c r="E207" s="9"/>
      <c r="F207" s="9"/>
      <c r="G207" s="9"/>
      <c r="H207" s="9"/>
      <c r="I207" s="9"/>
      <c r="J207" s="9"/>
      <c r="K207" s="9"/>
      <c r="L207" s="9"/>
      <c r="M207" s="9"/>
      <c r="N207" s="9"/>
      <c r="O207" s="9"/>
      <c r="P207" s="9"/>
      <c r="Q207" s="9"/>
      <c r="R207" s="9"/>
      <c r="S207" s="9"/>
      <c r="T207" s="9"/>
      <c r="U207" s="9"/>
      <c r="V207" s="9"/>
      <c r="W207" s="9"/>
      <c r="X207" s="9"/>
      <c r="Y207" s="9"/>
      <c r="Z207" s="9"/>
      <c r="AA207" s="9"/>
      <c r="AB207" s="9"/>
      <c r="AC207" s="9"/>
      <c r="AD207" s="9"/>
      <c r="AE207" s="9"/>
      <c r="AF207" s="9"/>
    </row>
    <row r="208">
      <c r="A208" s="9"/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</row>
    <row r="209">
      <c r="A209" s="9"/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</row>
    <row r="210">
      <c r="A210" s="9"/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</row>
    <row r="211">
      <c r="A211" s="9"/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</row>
    <row r="212">
      <c r="A212" s="9"/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</row>
    <row r="213">
      <c r="A213" s="9"/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</row>
    <row r="214">
      <c r="A214" s="9"/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</row>
    <row r="215">
      <c r="A215" s="9"/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</row>
    <row r="216">
      <c r="A216" s="9"/>
      <c r="B216" s="9"/>
      <c r="C216" s="9"/>
      <c r="D216" s="9"/>
      <c r="E216" s="9"/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</row>
    <row r="217">
      <c r="A217" s="9"/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</row>
    <row r="218">
      <c r="A218" s="9"/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</row>
    <row r="219">
      <c r="A219" s="9"/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</row>
    <row r="220">
      <c r="A220" s="9"/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</row>
    <row r="221">
      <c r="A221" s="9"/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</row>
    <row r="222">
      <c r="A222" s="9"/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</row>
    <row r="223">
      <c r="A223" s="9"/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</row>
    <row r="224">
      <c r="A224" s="9"/>
      <c r="B224" s="9"/>
      <c r="C224" s="9"/>
      <c r="D224" s="9"/>
      <c r="E224" s="9"/>
      <c r="F224" s="9"/>
      <c r="G224" s="9"/>
      <c r="H224" s="9"/>
      <c r="I224" s="9"/>
      <c r="J224" s="9"/>
      <c r="K224" s="9"/>
      <c r="L224" s="9"/>
      <c r="M224" s="9"/>
      <c r="N224" s="9"/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/>
      <c r="Z224" s="9"/>
      <c r="AA224" s="9"/>
      <c r="AB224" s="9"/>
      <c r="AC224" s="9"/>
      <c r="AD224" s="9"/>
      <c r="AE224" s="9"/>
      <c r="AF224" s="9"/>
    </row>
    <row r="225">
      <c r="A225" s="9"/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</row>
    <row r="226">
      <c r="A226" s="9"/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</row>
    <row r="227">
      <c r="A227" s="9"/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</row>
    <row r="228">
      <c r="A228" s="9"/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</row>
    <row r="229">
      <c r="A229" s="9"/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</row>
    <row r="230">
      <c r="A230" s="9"/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</row>
    <row r="231">
      <c r="A231" s="9"/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</row>
    <row r="232">
      <c r="A232" s="9"/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</row>
    <row r="233">
      <c r="A233" s="9"/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</row>
    <row r="234">
      <c r="A234" s="9"/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</row>
    <row r="235">
      <c r="A235" s="9"/>
      <c r="B235" s="9"/>
      <c r="C235" s="9"/>
      <c r="D235" s="9"/>
      <c r="E235" s="9"/>
      <c r="F235" s="9"/>
      <c r="G235" s="9"/>
      <c r="H235" s="9"/>
      <c r="I235" s="9"/>
      <c r="J235" s="9"/>
      <c r="K235" s="9"/>
      <c r="L235" s="9"/>
      <c r="M235" s="9"/>
      <c r="N235" s="9"/>
      <c r="O235" s="9"/>
      <c r="P235" s="9"/>
      <c r="Q235" s="9"/>
      <c r="R235" s="9"/>
      <c r="S235" s="9"/>
      <c r="T235" s="9"/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</row>
    <row r="236">
      <c r="A236" s="9"/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</row>
    <row r="237">
      <c r="A237" s="9"/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</row>
    <row r="238">
      <c r="A238" s="9"/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</row>
    <row r="239">
      <c r="A239" s="9"/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</row>
    <row r="240">
      <c r="A240" s="9"/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</row>
    <row r="241">
      <c r="A241" s="9"/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</row>
    <row r="242">
      <c r="A242" s="9"/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</row>
    <row r="243">
      <c r="A243" s="9"/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</row>
    <row r="244">
      <c r="A244" s="9"/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</row>
    <row r="245">
      <c r="A245" s="9"/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</row>
    <row r="246">
      <c r="A246" s="9"/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</row>
    <row r="247">
      <c r="A247" s="9"/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</row>
    <row r="248">
      <c r="A248" s="9"/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</row>
    <row r="249">
      <c r="A249" s="9"/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</row>
    <row r="250">
      <c r="A250" s="9"/>
      <c r="B250" s="9"/>
      <c r="C250" s="9"/>
      <c r="D250" s="9"/>
      <c r="E250" s="9"/>
      <c r="F250" s="9"/>
      <c r="G250" s="9"/>
      <c r="H250" s="9"/>
      <c r="I250" s="9"/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</row>
    <row r="251">
      <c r="A251" s="9"/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</row>
    <row r="252">
      <c r="A252" s="9"/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</row>
    <row r="253">
      <c r="A253" s="9"/>
      <c r="B253" s="9"/>
      <c r="C253" s="9"/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/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</row>
    <row r="254">
      <c r="A254" s="9"/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</row>
    <row r="255">
      <c r="A255" s="9"/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</row>
    <row r="256">
      <c r="A256" s="9"/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</row>
    <row r="257">
      <c r="A257" s="9"/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</row>
    <row r="258">
      <c r="A258" s="9"/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</row>
    <row r="259">
      <c r="A259" s="9"/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</row>
    <row r="260">
      <c r="A260" s="9"/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</row>
    <row r="261">
      <c r="A261" s="9"/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</row>
    <row r="262">
      <c r="A262" s="9"/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</row>
    <row r="263">
      <c r="A263" s="9"/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</row>
    <row r="264">
      <c r="A264" s="9"/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</row>
    <row r="265">
      <c r="A265" s="9"/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</row>
    <row r="266">
      <c r="A266" s="9"/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</row>
    <row r="267">
      <c r="A267" s="9"/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</row>
    <row r="268">
      <c r="A268" s="9"/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</row>
    <row r="269">
      <c r="A269" s="9"/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</row>
    <row r="270">
      <c r="A270" s="9"/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</row>
    <row r="271">
      <c r="A271" s="9"/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</row>
    <row r="272">
      <c r="A272" s="9"/>
      <c r="B272" s="9"/>
      <c r="C272" s="9"/>
      <c r="D272" s="9"/>
      <c r="E272" s="9"/>
      <c r="F272" s="9"/>
      <c r="G272" s="9"/>
      <c r="H272" s="9"/>
      <c r="I272" s="9"/>
      <c r="J272" s="9"/>
      <c r="K272" s="9"/>
      <c r="L272" s="9"/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/>
      <c r="X272" s="9"/>
      <c r="Y272" s="9"/>
      <c r="Z272" s="9"/>
      <c r="AA272" s="9"/>
      <c r="AB272" s="9"/>
      <c r="AC272" s="9"/>
      <c r="AD272" s="9"/>
      <c r="AE272" s="9"/>
      <c r="AF272" s="9"/>
    </row>
    <row r="273">
      <c r="A273" s="9"/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</row>
    <row r="274">
      <c r="A274" s="9"/>
      <c r="B274" s="9"/>
      <c r="C274" s="9"/>
      <c r="D274" s="9"/>
      <c r="E274" s="9"/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/>
      <c r="R274" s="9"/>
      <c r="S274" s="9"/>
      <c r="T274" s="9"/>
      <c r="U274" s="9"/>
      <c r="V274" s="9"/>
      <c r="W274" s="9"/>
      <c r="X274" s="9"/>
      <c r="Y274" s="9"/>
      <c r="Z274" s="9"/>
      <c r="AA274" s="9"/>
      <c r="AB274" s="9"/>
      <c r="AC274" s="9"/>
      <c r="AD274" s="9"/>
      <c r="AE274" s="9"/>
      <c r="AF274" s="9"/>
    </row>
    <row r="275">
      <c r="A275" s="9"/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</row>
    <row r="276">
      <c r="A276" s="9"/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</row>
    <row r="277">
      <c r="A277" s="9"/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</row>
    <row r="278">
      <c r="A278" s="9"/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</row>
    <row r="279">
      <c r="A279" s="9"/>
      <c r="B279" s="9"/>
      <c r="C279" s="9"/>
      <c r="D279" s="9"/>
      <c r="E279" s="9"/>
      <c r="F279" s="9"/>
      <c r="G279" s="9"/>
      <c r="H279" s="9"/>
      <c r="I279" s="9"/>
      <c r="J279" s="9"/>
      <c r="K279" s="9"/>
      <c r="L279" s="9"/>
      <c r="M279" s="9"/>
      <c r="N279" s="9"/>
      <c r="O279" s="9"/>
      <c r="P279" s="9"/>
      <c r="Q279" s="9"/>
      <c r="R279" s="9"/>
      <c r="S279" s="9"/>
      <c r="T279" s="9"/>
      <c r="U279" s="9"/>
      <c r="V279" s="9"/>
      <c r="W279" s="9"/>
      <c r="X279" s="9"/>
      <c r="Y279" s="9"/>
      <c r="Z279" s="9"/>
      <c r="AA279" s="9"/>
      <c r="AB279" s="9"/>
      <c r="AC279" s="9"/>
      <c r="AD279" s="9"/>
      <c r="AE279" s="9"/>
      <c r="AF279" s="9"/>
    </row>
    <row r="280">
      <c r="A280" s="9"/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</row>
    <row r="281">
      <c r="A281" s="9"/>
      <c r="B281" s="9"/>
      <c r="C281" s="9"/>
      <c r="D281" s="9"/>
      <c r="E281" s="9"/>
      <c r="F281" s="9"/>
      <c r="G281" s="9"/>
      <c r="H281" s="9"/>
      <c r="I281" s="9"/>
      <c r="J281" s="9"/>
      <c r="K281" s="9"/>
      <c r="L281" s="9"/>
      <c r="M281" s="9"/>
      <c r="N281" s="9"/>
      <c r="O281" s="9"/>
      <c r="P281" s="9"/>
      <c r="Q281" s="9"/>
      <c r="R281" s="9"/>
      <c r="S281" s="9"/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</row>
    <row r="282">
      <c r="A282" s="9"/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</row>
    <row r="283">
      <c r="A283" s="9"/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</row>
    <row r="284">
      <c r="A284" s="9"/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</row>
    <row r="285">
      <c r="A285" s="9"/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</row>
    <row r="286">
      <c r="A286" s="9"/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</row>
    <row r="287">
      <c r="A287" s="9"/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</row>
    <row r="288">
      <c r="A288" s="9"/>
      <c r="B288" s="9"/>
      <c r="C288" s="9"/>
      <c r="D288" s="9"/>
      <c r="E288" s="9"/>
      <c r="F288" s="9"/>
      <c r="G288" s="9"/>
      <c r="H288" s="9"/>
      <c r="I288" s="9"/>
      <c r="J288" s="9"/>
      <c r="K288" s="9"/>
      <c r="L288" s="9"/>
      <c r="M288" s="9"/>
      <c r="N288" s="9"/>
      <c r="O288" s="9"/>
      <c r="P288" s="9"/>
      <c r="Q288" s="9"/>
      <c r="R288" s="9"/>
      <c r="S288" s="9"/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</row>
    <row r="289">
      <c r="A289" s="9"/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</row>
    <row r="290">
      <c r="A290" s="9"/>
      <c r="B290" s="9"/>
      <c r="C290" s="9"/>
      <c r="D290" s="9"/>
      <c r="E290" s="9"/>
      <c r="F290" s="9"/>
      <c r="G290" s="9"/>
      <c r="H290" s="9"/>
      <c r="I290" s="9"/>
      <c r="J290" s="9"/>
      <c r="K290" s="9"/>
      <c r="L290" s="9"/>
      <c r="M290" s="9"/>
      <c r="N290" s="9"/>
      <c r="O290" s="9"/>
      <c r="P290" s="9"/>
      <c r="Q290" s="9"/>
      <c r="R290" s="9"/>
      <c r="S290" s="9"/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</row>
    <row r="291">
      <c r="A291" s="9"/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</row>
    <row r="292">
      <c r="A292" s="9"/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</row>
    <row r="293">
      <c r="A293" s="9"/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</row>
    <row r="294">
      <c r="A294" s="9"/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</row>
    <row r="295">
      <c r="A295" s="9"/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</row>
    <row r="296">
      <c r="A296" s="9"/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</row>
    <row r="297">
      <c r="A297" s="9"/>
      <c r="B297" s="9"/>
      <c r="C297" s="9"/>
      <c r="D297" s="9"/>
      <c r="E297" s="9"/>
      <c r="F297" s="9"/>
      <c r="G297" s="9"/>
      <c r="H297" s="9"/>
      <c r="I297" s="9"/>
      <c r="J297" s="9"/>
      <c r="K297" s="9"/>
      <c r="L297" s="9"/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/>
      <c r="X297" s="9"/>
      <c r="Y297" s="9"/>
      <c r="Z297" s="9"/>
      <c r="AA297" s="9"/>
      <c r="AB297" s="9"/>
      <c r="AC297" s="9"/>
      <c r="AD297" s="9"/>
      <c r="AE297" s="9"/>
      <c r="AF297" s="9"/>
    </row>
    <row r="298">
      <c r="A298" s="9"/>
      <c r="B298" s="9"/>
      <c r="C298" s="9"/>
      <c r="D298" s="9"/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/>
      <c r="P298" s="9"/>
      <c r="Q298" s="9"/>
      <c r="R298" s="9"/>
      <c r="S298" s="9"/>
      <c r="T298" s="9"/>
      <c r="U298" s="9"/>
      <c r="V298" s="9"/>
      <c r="W298" s="9"/>
      <c r="X298" s="9"/>
      <c r="Y298" s="9"/>
      <c r="Z298" s="9"/>
      <c r="AA298" s="9"/>
      <c r="AB298" s="9"/>
      <c r="AC298" s="9"/>
      <c r="AD298" s="9"/>
      <c r="AE298" s="9"/>
      <c r="AF298" s="9"/>
    </row>
    <row r="299">
      <c r="A299" s="9"/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</row>
    <row r="300">
      <c r="A300" s="9"/>
      <c r="B300" s="9"/>
      <c r="C300" s="9"/>
      <c r="D300" s="9"/>
      <c r="E300" s="9"/>
      <c r="F300" s="9"/>
      <c r="G300" s="9"/>
      <c r="H300" s="9"/>
      <c r="I300" s="9"/>
      <c r="J300" s="9"/>
      <c r="K300" s="9"/>
      <c r="L300" s="9"/>
      <c r="M300" s="9"/>
      <c r="N300" s="9"/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/>
      <c r="Z300" s="9"/>
      <c r="AA300" s="9"/>
      <c r="AB300" s="9"/>
      <c r="AC300" s="9"/>
      <c r="AD300" s="9"/>
      <c r="AE300" s="9"/>
      <c r="AF300" s="9"/>
    </row>
    <row r="301">
      <c r="A301" s="9"/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</row>
    <row r="302">
      <c r="A302" s="9"/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</row>
    <row r="303">
      <c r="A303" s="9"/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</row>
    <row r="304">
      <c r="A304" s="9"/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</row>
    <row r="305">
      <c r="A305" s="9"/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</row>
    <row r="306">
      <c r="A306" s="9"/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</row>
    <row r="307">
      <c r="A307" s="9"/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</row>
    <row r="308">
      <c r="A308" s="9"/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</row>
    <row r="309">
      <c r="A309" s="9"/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</row>
    <row r="310">
      <c r="A310" s="9"/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</row>
    <row r="311">
      <c r="A311" s="9"/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</row>
    <row r="312">
      <c r="A312" s="9"/>
      <c r="B312" s="9"/>
      <c r="C312" s="9"/>
      <c r="D312" s="9"/>
      <c r="E312" s="9"/>
      <c r="F312" s="9"/>
      <c r="G312" s="9"/>
      <c r="H312" s="9"/>
      <c r="I312" s="9"/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</row>
    <row r="313">
      <c r="A313" s="9"/>
      <c r="B313" s="9"/>
      <c r="C313" s="9"/>
      <c r="D313" s="9"/>
      <c r="E313" s="9"/>
      <c r="F313" s="9"/>
      <c r="G313" s="9"/>
      <c r="H313" s="9"/>
      <c r="I313" s="9"/>
      <c r="J313" s="9"/>
      <c r="K313" s="9"/>
      <c r="L313" s="9"/>
      <c r="M313" s="9"/>
      <c r="N313" s="9"/>
      <c r="O313" s="9"/>
      <c r="P313" s="9"/>
      <c r="Q313" s="9"/>
      <c r="R313" s="9"/>
      <c r="S313" s="9"/>
      <c r="T313" s="9"/>
      <c r="U313" s="9"/>
      <c r="V313" s="9"/>
      <c r="W313" s="9"/>
      <c r="X313" s="9"/>
      <c r="Y313" s="9"/>
      <c r="Z313" s="9"/>
      <c r="AA313" s="9"/>
      <c r="AB313" s="9"/>
      <c r="AC313" s="9"/>
      <c r="AD313" s="9"/>
      <c r="AE313" s="9"/>
      <c r="AF313" s="9"/>
    </row>
    <row r="314">
      <c r="A314" s="9"/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</row>
    <row r="315">
      <c r="A315" s="9"/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</row>
    <row r="316">
      <c r="A316" s="9"/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</row>
    <row r="317">
      <c r="A317" s="9"/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</row>
    <row r="318">
      <c r="A318" s="9"/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</row>
    <row r="319">
      <c r="A319" s="9"/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</row>
    <row r="320">
      <c r="A320" s="9"/>
      <c r="B320" s="9"/>
      <c r="C320" s="9"/>
      <c r="D320" s="9"/>
      <c r="E320" s="9"/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/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</row>
    <row r="321">
      <c r="A321" s="9"/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</row>
    <row r="322">
      <c r="A322" s="9"/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</row>
    <row r="323">
      <c r="A323" s="9"/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</row>
    <row r="324">
      <c r="A324" s="9"/>
      <c r="B324" s="9"/>
      <c r="C324" s="9"/>
      <c r="D324" s="9"/>
      <c r="E324" s="9"/>
      <c r="F324" s="9"/>
      <c r="G324" s="9"/>
      <c r="H324" s="9"/>
      <c r="I324" s="9"/>
      <c r="J324" s="9"/>
      <c r="K324" s="9"/>
      <c r="L324" s="9"/>
      <c r="M324" s="9"/>
      <c r="N324" s="9"/>
      <c r="O324" s="9"/>
      <c r="P324" s="9"/>
      <c r="Q324" s="9"/>
      <c r="R324" s="9"/>
      <c r="S324" s="9"/>
      <c r="T324" s="9"/>
      <c r="U324" s="9"/>
      <c r="V324" s="9"/>
      <c r="W324" s="9"/>
      <c r="X324" s="9"/>
      <c r="Y324" s="9"/>
      <c r="Z324" s="9"/>
      <c r="AA324" s="9"/>
      <c r="AB324" s="9"/>
      <c r="AC324" s="9"/>
      <c r="AD324" s="9"/>
      <c r="AE324" s="9"/>
      <c r="AF324" s="9"/>
    </row>
    <row r="325">
      <c r="A325" s="9"/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</row>
    <row r="326">
      <c r="A326" s="9"/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</row>
    <row r="327">
      <c r="A327" s="9"/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</row>
    <row r="328">
      <c r="A328" s="9"/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</row>
    <row r="329">
      <c r="A329" s="9"/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</row>
    <row r="330">
      <c r="A330" s="9"/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</row>
    <row r="331">
      <c r="A331" s="9"/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</row>
    <row r="332">
      <c r="A332" s="9"/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</row>
    <row r="333">
      <c r="A333" s="9"/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</row>
    <row r="334">
      <c r="A334" s="9"/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</row>
    <row r="335">
      <c r="A335" s="9"/>
      <c r="B335" s="9"/>
      <c r="C335" s="9"/>
      <c r="D335" s="9"/>
      <c r="E335" s="9"/>
      <c r="F335" s="9"/>
      <c r="G335" s="9"/>
      <c r="H335" s="9"/>
      <c r="I335" s="9"/>
      <c r="J335" s="9"/>
      <c r="K335" s="9"/>
      <c r="L335" s="9"/>
      <c r="M335" s="9"/>
      <c r="N335" s="9"/>
      <c r="O335" s="9"/>
      <c r="P335" s="9"/>
      <c r="Q335" s="9"/>
      <c r="R335" s="9"/>
      <c r="S335" s="9"/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</row>
    <row r="336">
      <c r="A336" s="9"/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</row>
    <row r="337">
      <c r="A337" s="9"/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</row>
    <row r="338">
      <c r="A338" s="9"/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</row>
    <row r="339">
      <c r="A339" s="9"/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</row>
    <row r="340">
      <c r="A340" s="9"/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</row>
    <row r="341">
      <c r="A341" s="9"/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</row>
    <row r="342">
      <c r="A342" s="9"/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</row>
    <row r="343">
      <c r="A343" s="9"/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</row>
    <row r="344">
      <c r="A344" s="9"/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</row>
    <row r="345">
      <c r="A345" s="9"/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</row>
    <row r="346">
      <c r="A346" s="9"/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</row>
    <row r="347">
      <c r="A347" s="9"/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</row>
    <row r="348">
      <c r="A348" s="9"/>
      <c r="B348" s="9"/>
      <c r="C348" s="9"/>
      <c r="D348" s="9"/>
      <c r="E348" s="9"/>
      <c r="F348" s="9"/>
      <c r="G348" s="9"/>
      <c r="H348" s="9"/>
      <c r="I348" s="9"/>
      <c r="J348" s="9"/>
      <c r="K348" s="9"/>
      <c r="L348" s="9"/>
      <c r="M348" s="9"/>
      <c r="N348" s="9"/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</row>
    <row r="349">
      <c r="A349" s="9"/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</row>
    <row r="350">
      <c r="A350" s="9"/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</row>
    <row r="351">
      <c r="A351" s="9"/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</row>
    <row r="352">
      <c r="A352" s="9"/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</row>
    <row r="353">
      <c r="A353" s="9"/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</row>
    <row r="354">
      <c r="A354" s="9"/>
      <c r="B354" s="9"/>
      <c r="C354" s="9"/>
      <c r="D354" s="9"/>
      <c r="E354" s="9"/>
      <c r="F354" s="9"/>
      <c r="G354" s="9"/>
      <c r="H354" s="9"/>
      <c r="I354" s="9"/>
      <c r="J354" s="9"/>
      <c r="K354" s="9"/>
      <c r="L354" s="9"/>
      <c r="M354" s="9"/>
      <c r="N354" s="9"/>
      <c r="O354" s="9"/>
      <c r="P354" s="9"/>
      <c r="Q354" s="9"/>
      <c r="R354" s="9"/>
      <c r="S354" s="9"/>
      <c r="T354" s="9"/>
      <c r="U354" s="9"/>
      <c r="V354" s="9"/>
      <c r="W354" s="9"/>
      <c r="X354" s="9"/>
      <c r="Y354" s="9"/>
      <c r="Z354" s="9"/>
      <c r="AA354" s="9"/>
      <c r="AB354" s="9"/>
      <c r="AC354" s="9"/>
      <c r="AD354" s="9"/>
      <c r="AE354" s="9"/>
      <c r="AF354" s="9"/>
    </row>
    <row r="355">
      <c r="A355" s="9"/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</row>
    <row r="356">
      <c r="A356" s="9"/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</row>
    <row r="357">
      <c r="A357" s="9"/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</row>
    <row r="358">
      <c r="A358" s="9"/>
      <c r="B358" s="9"/>
      <c r="C358" s="9"/>
      <c r="D358" s="9"/>
      <c r="E358" s="9"/>
      <c r="F358" s="9"/>
      <c r="G358" s="9"/>
      <c r="H358" s="9"/>
      <c r="I358" s="9"/>
      <c r="J358" s="9"/>
      <c r="K358" s="9"/>
      <c r="L358" s="9"/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/>
      <c r="X358" s="9"/>
      <c r="Y358" s="9"/>
      <c r="Z358" s="9"/>
      <c r="AA358" s="9"/>
      <c r="AB358" s="9"/>
      <c r="AC358" s="9"/>
      <c r="AD358" s="9"/>
      <c r="AE358" s="9"/>
      <c r="AF358" s="9"/>
    </row>
    <row r="359">
      <c r="A359" s="9"/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</row>
    <row r="360">
      <c r="A360" s="9"/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</row>
    <row r="361">
      <c r="A361" s="9"/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</row>
    <row r="362">
      <c r="A362" s="9"/>
      <c r="B362" s="9"/>
      <c r="C362" s="9"/>
      <c r="D362" s="9"/>
      <c r="E362" s="9"/>
      <c r="F362" s="9"/>
      <c r="G362" s="9"/>
      <c r="H362" s="9"/>
      <c r="I362" s="9"/>
      <c r="J362" s="9"/>
      <c r="K362" s="9"/>
      <c r="L362" s="9"/>
      <c r="M362" s="9"/>
      <c r="N362" s="9"/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</row>
    <row r="363">
      <c r="A363" s="9"/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</row>
    <row r="364">
      <c r="A364" s="9"/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</row>
    <row r="365">
      <c r="A365" s="9"/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</row>
    <row r="366">
      <c r="A366" s="9"/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</row>
    <row r="367">
      <c r="A367" s="9"/>
      <c r="B367" s="9"/>
      <c r="C367" s="9"/>
      <c r="D367" s="9"/>
      <c r="E367" s="9"/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/>
      <c r="Z367" s="9"/>
      <c r="AA367" s="9"/>
      <c r="AB367" s="9"/>
      <c r="AC367" s="9"/>
      <c r="AD367" s="9"/>
      <c r="AE367" s="9"/>
      <c r="AF367" s="9"/>
    </row>
    <row r="368">
      <c r="A368" s="9"/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</row>
    <row r="369">
      <c r="A369" s="9"/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</row>
    <row r="370">
      <c r="A370" s="9"/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</row>
    <row r="371">
      <c r="A371" s="9"/>
      <c r="B371" s="9"/>
      <c r="C371" s="9"/>
      <c r="D371" s="9"/>
      <c r="E371" s="9"/>
      <c r="F371" s="9"/>
      <c r="G371" s="9"/>
      <c r="H371" s="9"/>
      <c r="I371" s="9"/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/>
      <c r="Z371" s="9"/>
      <c r="AA371" s="9"/>
      <c r="AB371" s="9"/>
      <c r="AC371" s="9"/>
      <c r="AD371" s="9"/>
      <c r="AE371" s="9"/>
      <c r="AF371" s="9"/>
    </row>
    <row r="372">
      <c r="A372" s="9"/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</row>
    <row r="373">
      <c r="A373" s="9"/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</row>
    <row r="374">
      <c r="A374" s="9"/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</row>
    <row r="375">
      <c r="A375" s="9"/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</row>
    <row r="376">
      <c r="A376" s="9"/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</row>
    <row r="377">
      <c r="A377" s="9"/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</row>
    <row r="378">
      <c r="A378" s="9"/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</row>
    <row r="379">
      <c r="A379" s="9"/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</row>
    <row r="380">
      <c r="A380" s="9"/>
      <c r="B380" s="9"/>
      <c r="C380" s="9"/>
      <c r="D380" s="9"/>
      <c r="E380" s="9"/>
      <c r="F380" s="9"/>
      <c r="G380" s="9"/>
      <c r="H380" s="9"/>
      <c r="I380" s="9"/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/>
      <c r="Z380" s="9"/>
      <c r="AA380" s="9"/>
      <c r="AB380" s="9"/>
      <c r="AC380" s="9"/>
      <c r="AD380" s="9"/>
      <c r="AE380" s="9"/>
      <c r="AF380" s="9"/>
    </row>
    <row r="381">
      <c r="A381" s="9"/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</row>
    <row r="382">
      <c r="A382" s="9"/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</row>
    <row r="383">
      <c r="A383" s="9"/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</row>
    <row r="384">
      <c r="A384" s="9"/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</row>
    <row r="385">
      <c r="A385" s="9"/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</row>
    <row r="386">
      <c r="A386" s="9"/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</row>
    <row r="387">
      <c r="A387" s="9"/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</row>
    <row r="388">
      <c r="A388" s="9"/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</row>
    <row r="389">
      <c r="A389" s="9"/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</row>
    <row r="390">
      <c r="A390" s="9"/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</row>
    <row r="391">
      <c r="A391" s="9"/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</row>
    <row r="392">
      <c r="A392" s="9"/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</row>
    <row r="393">
      <c r="A393" s="9"/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</row>
    <row r="394">
      <c r="A394" s="9"/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</row>
    <row r="395">
      <c r="A395" s="9"/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</row>
    <row r="396">
      <c r="A396" s="9"/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</row>
    <row r="397">
      <c r="A397" s="9"/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</row>
    <row r="398">
      <c r="A398" s="9"/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</row>
    <row r="399">
      <c r="A399" s="9"/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</row>
    <row r="400">
      <c r="A400" s="9"/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</row>
    <row r="401">
      <c r="A401" s="9"/>
      <c r="B401" s="9"/>
      <c r="C401" s="9"/>
      <c r="D401" s="9"/>
      <c r="E401" s="9"/>
      <c r="F401" s="9"/>
      <c r="G401" s="9"/>
      <c r="H401" s="9"/>
      <c r="I401" s="9"/>
      <c r="J401" s="9"/>
      <c r="K401" s="9"/>
      <c r="L401" s="9"/>
      <c r="M401" s="9"/>
      <c r="N401" s="9"/>
      <c r="O401" s="9"/>
      <c r="P401" s="9"/>
      <c r="Q401" s="9"/>
      <c r="R401" s="9"/>
      <c r="S401" s="9"/>
      <c r="T401" s="9"/>
      <c r="U401" s="9"/>
      <c r="V401" s="9"/>
      <c r="W401" s="9"/>
      <c r="X401" s="9"/>
      <c r="Y401" s="9"/>
      <c r="Z401" s="9"/>
      <c r="AA401" s="9"/>
      <c r="AB401" s="9"/>
      <c r="AC401" s="9"/>
      <c r="AD401" s="9"/>
      <c r="AE401" s="9"/>
      <c r="AF401" s="9"/>
    </row>
    <row r="402">
      <c r="A402" s="9"/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</row>
    <row r="403">
      <c r="A403" s="9"/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</row>
    <row r="404">
      <c r="A404" s="9"/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</row>
    <row r="405">
      <c r="A405" s="9"/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</row>
    <row r="406">
      <c r="A406" s="9"/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</row>
    <row r="407">
      <c r="A407" s="9"/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</row>
    <row r="408">
      <c r="A408" s="9"/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</row>
    <row r="409">
      <c r="A409" s="9"/>
      <c r="B409" s="9"/>
      <c r="C409" s="9"/>
      <c r="D409" s="9"/>
      <c r="E409" s="9"/>
      <c r="F409" s="9"/>
      <c r="G409" s="9"/>
      <c r="H409" s="9"/>
      <c r="I409" s="9"/>
      <c r="J409" s="9"/>
      <c r="K409" s="9"/>
      <c r="L409" s="9"/>
      <c r="M409" s="9"/>
      <c r="N409" s="9"/>
      <c r="O409" s="9"/>
      <c r="P409" s="9"/>
      <c r="Q409" s="9"/>
      <c r="R409" s="9"/>
      <c r="S409" s="9"/>
      <c r="T409" s="9"/>
      <c r="U409" s="9"/>
      <c r="V409" s="9"/>
      <c r="W409" s="9"/>
      <c r="X409" s="9"/>
      <c r="Y409" s="9"/>
      <c r="Z409" s="9"/>
      <c r="AA409" s="9"/>
      <c r="AB409" s="9"/>
      <c r="AC409" s="9"/>
      <c r="AD409" s="9"/>
      <c r="AE409" s="9"/>
      <c r="AF409" s="9"/>
    </row>
    <row r="410">
      <c r="A410" s="9"/>
      <c r="B410" s="9"/>
      <c r="C410" s="9"/>
      <c r="D410" s="9"/>
      <c r="E410" s="9"/>
      <c r="F410" s="9"/>
      <c r="G410" s="9"/>
      <c r="H410" s="9"/>
      <c r="I410" s="9"/>
      <c r="J410" s="9"/>
      <c r="K410" s="9"/>
      <c r="L410" s="9"/>
      <c r="M410" s="9"/>
      <c r="N410" s="9"/>
      <c r="O410" s="9"/>
      <c r="P410" s="9"/>
      <c r="Q410" s="9"/>
      <c r="R410" s="9"/>
      <c r="S410" s="9"/>
      <c r="T410" s="9"/>
      <c r="U410" s="9"/>
      <c r="V410" s="9"/>
      <c r="W410" s="9"/>
      <c r="X410" s="9"/>
      <c r="Y410" s="9"/>
      <c r="Z410" s="9"/>
      <c r="AA410" s="9"/>
      <c r="AB410" s="9"/>
      <c r="AC410" s="9"/>
      <c r="AD410" s="9"/>
      <c r="AE410" s="9"/>
      <c r="AF410" s="9"/>
    </row>
    <row r="411">
      <c r="A411" s="9"/>
      <c r="B411" s="9"/>
      <c r="C411" s="9"/>
      <c r="D411" s="9"/>
      <c r="E411" s="9"/>
      <c r="F411" s="9"/>
      <c r="G411" s="9"/>
      <c r="H411" s="9"/>
      <c r="I411" s="9"/>
      <c r="J411" s="9"/>
      <c r="K411" s="9"/>
      <c r="L411" s="9"/>
      <c r="M411" s="9"/>
      <c r="N411" s="9"/>
      <c r="O411" s="9"/>
      <c r="P411" s="9"/>
      <c r="Q411" s="9"/>
      <c r="R411" s="9"/>
      <c r="S411" s="9"/>
      <c r="T411" s="9"/>
      <c r="U411" s="9"/>
      <c r="V411" s="9"/>
      <c r="W411" s="9"/>
      <c r="X411" s="9"/>
      <c r="Y411" s="9"/>
      <c r="Z411" s="9"/>
      <c r="AA411" s="9"/>
      <c r="AB411" s="9"/>
      <c r="AC411" s="9"/>
      <c r="AD411" s="9"/>
      <c r="AE411" s="9"/>
      <c r="AF411" s="9"/>
    </row>
    <row r="412">
      <c r="A412" s="9"/>
      <c r="B412" s="9"/>
      <c r="C412" s="9"/>
      <c r="D412" s="9"/>
      <c r="E412" s="9"/>
      <c r="F412" s="9"/>
      <c r="G412" s="9"/>
      <c r="H412" s="9"/>
      <c r="I412" s="9"/>
      <c r="J412" s="9"/>
      <c r="K412" s="9"/>
      <c r="L412" s="9"/>
      <c r="M412" s="9"/>
      <c r="N412" s="9"/>
      <c r="O412" s="9"/>
      <c r="P412" s="9"/>
      <c r="Q412" s="9"/>
      <c r="R412" s="9"/>
      <c r="S412" s="9"/>
      <c r="T412" s="9"/>
      <c r="U412" s="9"/>
      <c r="V412" s="9"/>
      <c r="W412" s="9"/>
      <c r="X412" s="9"/>
      <c r="Y412" s="9"/>
      <c r="Z412" s="9"/>
      <c r="AA412" s="9"/>
      <c r="AB412" s="9"/>
      <c r="AC412" s="9"/>
      <c r="AD412" s="9"/>
      <c r="AE412" s="9"/>
      <c r="AF412" s="9"/>
    </row>
    <row r="413">
      <c r="A413" s="9"/>
      <c r="B413" s="9"/>
      <c r="C413" s="9"/>
      <c r="D413" s="9"/>
      <c r="E413" s="9"/>
      <c r="F413" s="9"/>
      <c r="G413" s="9"/>
      <c r="H413" s="9"/>
      <c r="I413" s="9"/>
      <c r="J413" s="9"/>
      <c r="K413" s="9"/>
      <c r="L413" s="9"/>
      <c r="M413" s="9"/>
      <c r="N413" s="9"/>
      <c r="O413" s="9"/>
      <c r="P413" s="9"/>
      <c r="Q413" s="9"/>
      <c r="R413" s="9"/>
      <c r="S413" s="9"/>
      <c r="T413" s="9"/>
      <c r="U413" s="9"/>
      <c r="V413" s="9"/>
      <c r="W413" s="9"/>
      <c r="X413" s="9"/>
      <c r="Y413" s="9"/>
      <c r="Z413" s="9"/>
      <c r="AA413" s="9"/>
      <c r="AB413" s="9"/>
      <c r="AC413" s="9"/>
      <c r="AD413" s="9"/>
      <c r="AE413" s="9"/>
      <c r="AF413" s="9"/>
    </row>
    <row r="414">
      <c r="A414" s="9"/>
      <c r="B414" s="9"/>
      <c r="C414" s="9"/>
      <c r="D414" s="9"/>
      <c r="E414" s="9"/>
      <c r="F414" s="9"/>
      <c r="G414" s="9"/>
      <c r="H414" s="9"/>
      <c r="I414" s="9"/>
      <c r="J414" s="9"/>
      <c r="K414" s="9"/>
      <c r="L414" s="9"/>
      <c r="M414" s="9"/>
      <c r="N414" s="9"/>
      <c r="O414" s="9"/>
      <c r="P414" s="9"/>
      <c r="Q414" s="9"/>
      <c r="R414" s="9"/>
      <c r="S414" s="9"/>
      <c r="T414" s="9"/>
      <c r="U414" s="9"/>
      <c r="V414" s="9"/>
      <c r="W414" s="9"/>
      <c r="X414" s="9"/>
      <c r="Y414" s="9"/>
      <c r="Z414" s="9"/>
      <c r="AA414" s="9"/>
      <c r="AB414" s="9"/>
      <c r="AC414" s="9"/>
      <c r="AD414" s="9"/>
      <c r="AE414" s="9"/>
      <c r="AF414" s="9"/>
    </row>
    <row r="415">
      <c r="A415" s="9"/>
      <c r="B415" s="9"/>
      <c r="C415" s="9"/>
      <c r="D415" s="9"/>
      <c r="E415" s="9"/>
      <c r="F415" s="9"/>
      <c r="G415" s="9"/>
      <c r="H415" s="9"/>
      <c r="I415" s="9"/>
      <c r="J415" s="9"/>
      <c r="K415" s="9"/>
      <c r="L415" s="9"/>
      <c r="M415" s="9"/>
      <c r="N415" s="9"/>
      <c r="O415" s="9"/>
      <c r="P415" s="9"/>
      <c r="Q415" s="9"/>
      <c r="R415" s="9"/>
      <c r="S415" s="9"/>
      <c r="T415" s="9"/>
      <c r="U415" s="9"/>
      <c r="V415" s="9"/>
      <c r="W415" s="9"/>
      <c r="X415" s="9"/>
      <c r="Y415" s="9"/>
      <c r="Z415" s="9"/>
      <c r="AA415" s="9"/>
      <c r="AB415" s="9"/>
      <c r="AC415" s="9"/>
      <c r="AD415" s="9"/>
      <c r="AE415" s="9"/>
      <c r="AF415" s="9"/>
    </row>
    <row r="416">
      <c r="A416" s="9"/>
      <c r="B416" s="9"/>
      <c r="C416" s="9"/>
      <c r="D416" s="9"/>
      <c r="E416" s="9"/>
      <c r="F416" s="9"/>
      <c r="G416" s="9"/>
      <c r="H416" s="9"/>
      <c r="I416" s="9"/>
      <c r="J416" s="9"/>
      <c r="K416" s="9"/>
      <c r="L416" s="9"/>
      <c r="M416" s="9"/>
      <c r="N416" s="9"/>
      <c r="O416" s="9"/>
      <c r="P416" s="9"/>
      <c r="Q416" s="9"/>
      <c r="R416" s="9"/>
      <c r="S416" s="9"/>
      <c r="T416" s="9"/>
      <c r="U416" s="9"/>
      <c r="V416" s="9"/>
      <c r="W416" s="9"/>
      <c r="X416" s="9"/>
      <c r="Y416" s="9"/>
      <c r="Z416" s="9"/>
      <c r="AA416" s="9"/>
      <c r="AB416" s="9"/>
      <c r="AC416" s="9"/>
      <c r="AD416" s="9"/>
      <c r="AE416" s="9"/>
      <c r="AF416" s="9"/>
    </row>
    <row r="417">
      <c r="A417" s="9"/>
      <c r="B417" s="9"/>
      <c r="C417" s="9"/>
      <c r="D417" s="9"/>
      <c r="E417" s="9"/>
      <c r="F417" s="9"/>
      <c r="G417" s="9"/>
      <c r="H417" s="9"/>
      <c r="I417" s="9"/>
      <c r="J417" s="9"/>
      <c r="K417" s="9"/>
      <c r="L417" s="9"/>
      <c r="M417" s="9"/>
      <c r="N417" s="9"/>
      <c r="O417" s="9"/>
      <c r="P417" s="9"/>
      <c r="Q417" s="9"/>
      <c r="R417" s="9"/>
      <c r="S417" s="9"/>
      <c r="T417" s="9"/>
      <c r="U417" s="9"/>
      <c r="V417" s="9"/>
      <c r="W417" s="9"/>
      <c r="X417" s="9"/>
      <c r="Y417" s="9"/>
      <c r="Z417" s="9"/>
      <c r="AA417" s="9"/>
      <c r="AB417" s="9"/>
      <c r="AC417" s="9"/>
      <c r="AD417" s="9"/>
      <c r="AE417" s="9"/>
      <c r="AF417" s="9"/>
    </row>
    <row r="418">
      <c r="A418" s="9"/>
      <c r="B418" s="9"/>
      <c r="C418" s="9"/>
      <c r="D418" s="9"/>
      <c r="E418" s="9"/>
      <c r="F418" s="9"/>
      <c r="G418" s="9"/>
      <c r="H418" s="9"/>
      <c r="I418" s="9"/>
      <c r="J418" s="9"/>
      <c r="K418" s="9"/>
      <c r="L418" s="9"/>
      <c r="M418" s="9"/>
      <c r="N418" s="9"/>
      <c r="O418" s="9"/>
      <c r="P418" s="9"/>
      <c r="Q418" s="9"/>
      <c r="R418" s="9"/>
      <c r="S418" s="9"/>
      <c r="T418" s="9"/>
      <c r="U418" s="9"/>
      <c r="V418" s="9"/>
      <c r="W418" s="9"/>
      <c r="X418" s="9"/>
      <c r="Y418" s="9"/>
      <c r="Z418" s="9"/>
      <c r="AA418" s="9"/>
      <c r="AB418" s="9"/>
      <c r="AC418" s="9"/>
      <c r="AD418" s="9"/>
      <c r="AE418" s="9"/>
      <c r="AF418" s="9"/>
    </row>
    <row r="419">
      <c r="A419" s="9"/>
      <c r="B419" s="9"/>
      <c r="C419" s="9"/>
      <c r="D419" s="9"/>
      <c r="E419" s="9"/>
      <c r="F419" s="9"/>
      <c r="G419" s="9"/>
      <c r="H419" s="9"/>
      <c r="I419" s="9"/>
      <c r="J419" s="9"/>
      <c r="K419" s="9"/>
      <c r="L419" s="9"/>
      <c r="M419" s="9"/>
      <c r="N419" s="9"/>
      <c r="O419" s="9"/>
      <c r="P419" s="9"/>
      <c r="Q419" s="9"/>
      <c r="R419" s="9"/>
      <c r="S419" s="9"/>
      <c r="T419" s="9"/>
      <c r="U419" s="9"/>
      <c r="V419" s="9"/>
      <c r="W419" s="9"/>
      <c r="X419" s="9"/>
      <c r="Y419" s="9"/>
      <c r="Z419" s="9"/>
      <c r="AA419" s="9"/>
      <c r="AB419" s="9"/>
      <c r="AC419" s="9"/>
      <c r="AD419" s="9"/>
      <c r="AE419" s="9"/>
      <c r="AF419" s="9"/>
    </row>
    <row r="420">
      <c r="A420" s="9"/>
      <c r="B420" s="9"/>
      <c r="C420" s="9"/>
      <c r="D420" s="9"/>
      <c r="E420" s="9"/>
      <c r="F420" s="9"/>
      <c r="G420" s="9"/>
      <c r="H420" s="9"/>
      <c r="I420" s="9"/>
      <c r="J420" s="9"/>
      <c r="K420" s="9"/>
      <c r="L420" s="9"/>
      <c r="M420" s="9"/>
      <c r="N420" s="9"/>
      <c r="O420" s="9"/>
      <c r="P420" s="9"/>
      <c r="Q420" s="9"/>
      <c r="R420" s="9"/>
      <c r="S420" s="9"/>
      <c r="T420" s="9"/>
      <c r="U420" s="9"/>
      <c r="V420" s="9"/>
      <c r="W420" s="9"/>
      <c r="X420" s="9"/>
      <c r="Y420" s="9"/>
      <c r="Z420" s="9"/>
      <c r="AA420" s="9"/>
      <c r="AB420" s="9"/>
      <c r="AC420" s="9"/>
      <c r="AD420" s="9"/>
      <c r="AE420" s="9"/>
      <c r="AF420" s="9"/>
    </row>
    <row r="421">
      <c r="A421" s="9"/>
      <c r="B421" s="9"/>
      <c r="C421" s="9"/>
      <c r="D421" s="9"/>
      <c r="E421" s="9"/>
      <c r="F421" s="9"/>
      <c r="G421" s="9"/>
      <c r="H421" s="9"/>
      <c r="I421" s="9"/>
      <c r="J421" s="9"/>
      <c r="K421" s="9"/>
      <c r="L421" s="9"/>
      <c r="M421" s="9"/>
      <c r="N421" s="9"/>
      <c r="O421" s="9"/>
      <c r="P421" s="9"/>
      <c r="Q421" s="9"/>
      <c r="R421" s="9"/>
      <c r="S421" s="9"/>
      <c r="T421" s="9"/>
      <c r="U421" s="9"/>
      <c r="V421" s="9"/>
      <c r="W421" s="9"/>
      <c r="X421" s="9"/>
      <c r="Y421" s="9"/>
      <c r="Z421" s="9"/>
      <c r="AA421" s="9"/>
      <c r="AB421" s="9"/>
      <c r="AC421" s="9"/>
      <c r="AD421" s="9"/>
      <c r="AE421" s="9"/>
      <c r="AF421" s="9"/>
    </row>
    <row r="422">
      <c r="A422" s="9"/>
      <c r="B422" s="9"/>
      <c r="C422" s="9"/>
      <c r="D422" s="9"/>
      <c r="E422" s="9"/>
      <c r="F422" s="9"/>
      <c r="G422" s="9"/>
      <c r="H422" s="9"/>
      <c r="I422" s="9"/>
      <c r="J422" s="9"/>
      <c r="K422" s="9"/>
      <c r="L422" s="9"/>
      <c r="M422" s="9"/>
      <c r="N422" s="9"/>
      <c r="O422" s="9"/>
      <c r="P422" s="9"/>
      <c r="Q422" s="9"/>
      <c r="R422" s="9"/>
      <c r="S422" s="9"/>
      <c r="T422" s="9"/>
      <c r="U422" s="9"/>
      <c r="V422" s="9"/>
      <c r="W422" s="9"/>
      <c r="X422" s="9"/>
      <c r="Y422" s="9"/>
      <c r="Z422" s="9"/>
      <c r="AA422" s="9"/>
      <c r="AB422" s="9"/>
      <c r="AC422" s="9"/>
      <c r="AD422" s="9"/>
      <c r="AE422" s="9"/>
      <c r="AF422" s="9"/>
    </row>
    <row r="423">
      <c r="A423" s="9"/>
      <c r="B423" s="9"/>
      <c r="C423" s="9"/>
      <c r="D423" s="9"/>
      <c r="E423" s="9"/>
      <c r="F423" s="9"/>
      <c r="G423" s="9"/>
      <c r="H423" s="9"/>
      <c r="I423" s="9"/>
      <c r="J423" s="9"/>
      <c r="K423" s="9"/>
      <c r="L423" s="9"/>
      <c r="M423" s="9"/>
      <c r="N423" s="9"/>
      <c r="O423" s="9"/>
      <c r="P423" s="9"/>
      <c r="Q423" s="9"/>
      <c r="R423" s="9"/>
      <c r="S423" s="9"/>
      <c r="T423" s="9"/>
      <c r="U423" s="9"/>
      <c r="V423" s="9"/>
      <c r="W423" s="9"/>
      <c r="X423" s="9"/>
      <c r="Y423" s="9"/>
      <c r="Z423" s="9"/>
      <c r="AA423" s="9"/>
      <c r="AB423" s="9"/>
      <c r="AC423" s="9"/>
      <c r="AD423" s="9"/>
      <c r="AE423" s="9"/>
      <c r="AF423" s="9"/>
    </row>
    <row r="424">
      <c r="A424" s="9"/>
      <c r="B424" s="9"/>
      <c r="C424" s="9"/>
      <c r="D424" s="9"/>
      <c r="E424" s="9"/>
      <c r="F424" s="9"/>
      <c r="G424" s="9"/>
      <c r="H424" s="9"/>
      <c r="I424" s="9"/>
      <c r="J424" s="9"/>
      <c r="K424" s="9"/>
      <c r="L424" s="9"/>
      <c r="M424" s="9"/>
      <c r="N424" s="9"/>
      <c r="O424" s="9"/>
      <c r="P424" s="9"/>
      <c r="Q424" s="9"/>
      <c r="R424" s="9"/>
      <c r="S424" s="9"/>
      <c r="T424" s="9"/>
      <c r="U424" s="9"/>
      <c r="V424" s="9"/>
      <c r="W424" s="9"/>
      <c r="X424" s="9"/>
      <c r="Y424" s="9"/>
      <c r="Z424" s="9"/>
      <c r="AA424" s="9"/>
      <c r="AB424" s="9"/>
      <c r="AC424" s="9"/>
      <c r="AD424" s="9"/>
      <c r="AE424" s="9"/>
      <c r="AF424" s="9"/>
    </row>
    <row r="425">
      <c r="A425" s="9"/>
      <c r="B425" s="9"/>
      <c r="C425" s="9"/>
      <c r="D425" s="9"/>
      <c r="E425" s="9"/>
      <c r="F425" s="9"/>
      <c r="G425" s="9"/>
      <c r="H425" s="9"/>
      <c r="I425" s="9"/>
      <c r="J425" s="9"/>
      <c r="K425" s="9"/>
      <c r="L425" s="9"/>
      <c r="M425" s="9"/>
      <c r="N425" s="9"/>
      <c r="O425" s="9"/>
      <c r="P425" s="9"/>
      <c r="Q425" s="9"/>
      <c r="R425" s="9"/>
      <c r="S425" s="9"/>
      <c r="T425" s="9"/>
      <c r="U425" s="9"/>
      <c r="V425" s="9"/>
      <c r="W425" s="9"/>
      <c r="X425" s="9"/>
      <c r="Y425" s="9"/>
      <c r="Z425" s="9"/>
      <c r="AA425" s="9"/>
      <c r="AB425" s="9"/>
      <c r="AC425" s="9"/>
      <c r="AD425" s="9"/>
      <c r="AE425" s="9"/>
      <c r="AF425" s="9"/>
    </row>
    <row r="426">
      <c r="A426" s="9"/>
      <c r="B426" s="9"/>
      <c r="C426" s="9"/>
      <c r="D426" s="9"/>
      <c r="E426" s="9"/>
      <c r="F426" s="9"/>
      <c r="G426" s="9"/>
      <c r="H426" s="9"/>
      <c r="I426" s="9"/>
      <c r="J426" s="9"/>
      <c r="K426" s="9"/>
      <c r="L426" s="9"/>
      <c r="M426" s="9"/>
      <c r="N426" s="9"/>
      <c r="O426" s="9"/>
      <c r="P426" s="9"/>
      <c r="Q426" s="9"/>
      <c r="R426" s="9"/>
      <c r="S426" s="9"/>
      <c r="T426" s="9"/>
      <c r="U426" s="9"/>
      <c r="V426" s="9"/>
      <c r="W426" s="9"/>
      <c r="X426" s="9"/>
      <c r="Y426" s="9"/>
      <c r="Z426" s="9"/>
      <c r="AA426" s="9"/>
      <c r="AB426" s="9"/>
      <c r="AC426" s="9"/>
      <c r="AD426" s="9"/>
      <c r="AE426" s="9"/>
      <c r="AF426" s="9"/>
    </row>
    <row r="427">
      <c r="A427" s="9"/>
      <c r="B427" s="9"/>
      <c r="C427" s="9"/>
      <c r="D427" s="9"/>
      <c r="E427" s="9"/>
      <c r="F427" s="9"/>
      <c r="G427" s="9"/>
      <c r="H427" s="9"/>
      <c r="I427" s="9"/>
      <c r="J427" s="9"/>
      <c r="K427" s="9"/>
      <c r="L427" s="9"/>
      <c r="M427" s="9"/>
      <c r="N427" s="9"/>
      <c r="O427" s="9"/>
      <c r="P427" s="9"/>
      <c r="Q427" s="9"/>
      <c r="R427" s="9"/>
      <c r="S427" s="9"/>
      <c r="T427" s="9"/>
      <c r="U427" s="9"/>
      <c r="V427" s="9"/>
      <c r="W427" s="9"/>
      <c r="X427" s="9"/>
      <c r="Y427" s="9"/>
      <c r="Z427" s="9"/>
      <c r="AA427" s="9"/>
      <c r="AB427" s="9"/>
      <c r="AC427" s="9"/>
      <c r="AD427" s="9"/>
      <c r="AE427" s="9"/>
      <c r="AF427" s="9"/>
    </row>
    <row r="428">
      <c r="A428" s="9"/>
      <c r="B428" s="9"/>
      <c r="C428" s="9"/>
      <c r="D428" s="9"/>
      <c r="E428" s="9"/>
      <c r="F428" s="9"/>
      <c r="G428" s="9"/>
      <c r="H428" s="9"/>
      <c r="I428" s="9"/>
      <c r="J428" s="9"/>
      <c r="K428" s="9"/>
      <c r="L428" s="9"/>
      <c r="M428" s="9"/>
      <c r="N428" s="9"/>
      <c r="O428" s="9"/>
      <c r="P428" s="9"/>
      <c r="Q428" s="9"/>
      <c r="R428" s="9"/>
      <c r="S428" s="9"/>
      <c r="T428" s="9"/>
      <c r="U428" s="9"/>
      <c r="V428" s="9"/>
      <c r="W428" s="9"/>
      <c r="X428" s="9"/>
      <c r="Y428" s="9"/>
      <c r="Z428" s="9"/>
      <c r="AA428" s="9"/>
      <c r="AB428" s="9"/>
      <c r="AC428" s="9"/>
      <c r="AD428" s="9"/>
      <c r="AE428" s="9"/>
      <c r="AF428" s="9"/>
    </row>
    <row r="429">
      <c r="A429" s="9"/>
      <c r="B429" s="9"/>
      <c r="C429" s="9"/>
      <c r="D429" s="9"/>
      <c r="E429" s="9"/>
      <c r="F429" s="9"/>
      <c r="G429" s="9"/>
      <c r="H429" s="9"/>
      <c r="I429" s="9"/>
      <c r="J429" s="9"/>
      <c r="K429" s="9"/>
      <c r="L429" s="9"/>
      <c r="M429" s="9"/>
      <c r="N429" s="9"/>
      <c r="O429" s="9"/>
      <c r="P429" s="9"/>
      <c r="Q429" s="9"/>
      <c r="R429" s="9"/>
      <c r="S429" s="9"/>
      <c r="T429" s="9"/>
      <c r="U429" s="9"/>
      <c r="V429" s="9"/>
      <c r="W429" s="9"/>
      <c r="X429" s="9"/>
      <c r="Y429" s="9"/>
      <c r="Z429" s="9"/>
      <c r="AA429" s="9"/>
      <c r="AB429" s="9"/>
      <c r="AC429" s="9"/>
      <c r="AD429" s="9"/>
      <c r="AE429" s="9"/>
      <c r="AF429" s="9"/>
    </row>
    <row r="430">
      <c r="A430" s="9"/>
      <c r="B430" s="9"/>
      <c r="C430" s="9"/>
      <c r="D430" s="9"/>
      <c r="E430" s="9"/>
      <c r="F430" s="9"/>
      <c r="G430" s="9"/>
      <c r="H430" s="9"/>
      <c r="I430" s="9"/>
      <c r="J430" s="9"/>
      <c r="K430" s="9"/>
      <c r="L430" s="9"/>
      <c r="M430" s="9"/>
      <c r="N430" s="9"/>
      <c r="O430" s="9"/>
      <c r="P430" s="9"/>
      <c r="Q430" s="9"/>
      <c r="R430" s="9"/>
      <c r="S430" s="9"/>
      <c r="T430" s="9"/>
      <c r="U430" s="9"/>
      <c r="V430" s="9"/>
      <c r="W430" s="9"/>
      <c r="X430" s="9"/>
      <c r="Y430" s="9"/>
      <c r="Z430" s="9"/>
      <c r="AA430" s="9"/>
      <c r="AB430" s="9"/>
      <c r="AC430" s="9"/>
      <c r="AD430" s="9"/>
      <c r="AE430" s="9"/>
      <c r="AF430" s="9"/>
    </row>
    <row r="431">
      <c r="A431" s="9"/>
      <c r="B431" s="9"/>
      <c r="C431" s="9"/>
      <c r="D431" s="9"/>
      <c r="E431" s="9"/>
      <c r="F431" s="9"/>
      <c r="G431" s="9"/>
      <c r="H431" s="9"/>
      <c r="I431" s="9"/>
      <c r="J431" s="9"/>
      <c r="K431" s="9"/>
      <c r="L431" s="9"/>
      <c r="M431" s="9"/>
      <c r="N431" s="9"/>
      <c r="O431" s="9"/>
      <c r="P431" s="9"/>
      <c r="Q431" s="9"/>
      <c r="R431" s="9"/>
      <c r="S431" s="9"/>
      <c r="T431" s="9"/>
      <c r="U431" s="9"/>
      <c r="V431" s="9"/>
      <c r="W431" s="9"/>
      <c r="X431" s="9"/>
      <c r="Y431" s="9"/>
      <c r="Z431" s="9"/>
      <c r="AA431" s="9"/>
      <c r="AB431" s="9"/>
      <c r="AC431" s="9"/>
      <c r="AD431" s="9"/>
      <c r="AE431" s="9"/>
      <c r="AF431" s="9"/>
    </row>
    <row r="432">
      <c r="A432" s="9"/>
      <c r="B432" s="9"/>
      <c r="C432" s="9"/>
      <c r="D432" s="9"/>
      <c r="E432" s="9"/>
      <c r="F432" s="9"/>
      <c r="G432" s="9"/>
      <c r="H432" s="9"/>
      <c r="I432" s="9"/>
      <c r="J432" s="9"/>
      <c r="K432" s="9"/>
      <c r="L432" s="9"/>
      <c r="M432" s="9"/>
      <c r="N432" s="9"/>
      <c r="O432" s="9"/>
      <c r="P432" s="9"/>
      <c r="Q432" s="9"/>
      <c r="R432" s="9"/>
      <c r="S432" s="9"/>
      <c r="T432" s="9"/>
      <c r="U432" s="9"/>
      <c r="V432" s="9"/>
      <c r="W432" s="9"/>
      <c r="X432" s="9"/>
      <c r="Y432" s="9"/>
      <c r="Z432" s="9"/>
      <c r="AA432" s="9"/>
      <c r="AB432" s="9"/>
      <c r="AC432" s="9"/>
      <c r="AD432" s="9"/>
      <c r="AE432" s="9"/>
      <c r="AF432" s="9"/>
    </row>
    <row r="433">
      <c r="A433" s="9"/>
      <c r="B433" s="9"/>
      <c r="C433" s="9"/>
      <c r="D433" s="9"/>
      <c r="E433" s="9"/>
      <c r="F433" s="9"/>
      <c r="G433" s="9"/>
      <c r="H433" s="9"/>
      <c r="I433" s="9"/>
      <c r="J433" s="9"/>
      <c r="K433" s="9"/>
      <c r="L433" s="9"/>
      <c r="M433" s="9"/>
      <c r="N433" s="9"/>
      <c r="O433" s="9"/>
      <c r="P433" s="9"/>
      <c r="Q433" s="9"/>
      <c r="R433" s="9"/>
      <c r="S433" s="9"/>
      <c r="T433" s="9"/>
      <c r="U433" s="9"/>
      <c r="V433" s="9"/>
      <c r="W433" s="9"/>
      <c r="X433" s="9"/>
      <c r="Y433" s="9"/>
      <c r="Z433" s="9"/>
      <c r="AA433" s="9"/>
      <c r="AB433" s="9"/>
      <c r="AC433" s="9"/>
      <c r="AD433" s="9"/>
      <c r="AE433" s="9"/>
      <c r="AF433" s="9"/>
    </row>
    <row r="434">
      <c r="A434" s="9"/>
      <c r="B434" s="9"/>
      <c r="C434" s="9"/>
      <c r="D434" s="9"/>
      <c r="E434" s="9"/>
      <c r="F434" s="9"/>
      <c r="G434" s="9"/>
      <c r="H434" s="9"/>
      <c r="I434" s="9"/>
      <c r="J434" s="9"/>
      <c r="K434" s="9"/>
      <c r="L434" s="9"/>
      <c r="M434" s="9"/>
      <c r="N434" s="9"/>
      <c r="O434" s="9"/>
      <c r="P434" s="9"/>
      <c r="Q434" s="9"/>
      <c r="R434" s="9"/>
      <c r="S434" s="9"/>
      <c r="T434" s="9"/>
      <c r="U434" s="9"/>
      <c r="V434" s="9"/>
      <c r="W434" s="9"/>
      <c r="X434" s="9"/>
      <c r="Y434" s="9"/>
      <c r="Z434" s="9"/>
      <c r="AA434" s="9"/>
      <c r="AB434" s="9"/>
      <c r="AC434" s="9"/>
      <c r="AD434" s="9"/>
      <c r="AE434" s="9"/>
      <c r="AF434" s="9"/>
    </row>
    <row r="435">
      <c r="A435" s="9"/>
      <c r="B435" s="9"/>
      <c r="C435" s="9"/>
      <c r="D435" s="9"/>
      <c r="E435" s="9"/>
      <c r="F435" s="9"/>
      <c r="G435" s="9"/>
      <c r="H435" s="9"/>
      <c r="I435" s="9"/>
      <c r="J435" s="9"/>
      <c r="K435" s="9"/>
      <c r="L435" s="9"/>
      <c r="M435" s="9"/>
      <c r="N435" s="9"/>
      <c r="O435" s="9"/>
      <c r="P435" s="9"/>
      <c r="Q435" s="9"/>
      <c r="R435" s="9"/>
      <c r="S435" s="9"/>
      <c r="T435" s="9"/>
      <c r="U435" s="9"/>
      <c r="V435" s="9"/>
      <c r="W435" s="9"/>
      <c r="X435" s="9"/>
      <c r="Y435" s="9"/>
      <c r="Z435" s="9"/>
      <c r="AA435" s="9"/>
      <c r="AB435" s="9"/>
      <c r="AC435" s="9"/>
      <c r="AD435" s="9"/>
      <c r="AE435" s="9"/>
      <c r="AF435" s="9"/>
    </row>
    <row r="436">
      <c r="A436" s="9"/>
      <c r="B436" s="9"/>
      <c r="C436" s="9"/>
      <c r="D436" s="9"/>
      <c r="E436" s="9"/>
      <c r="F436" s="9"/>
      <c r="G436" s="9"/>
      <c r="H436" s="9"/>
      <c r="I436" s="9"/>
      <c r="J436" s="9"/>
      <c r="K436" s="9"/>
      <c r="L436" s="9"/>
      <c r="M436" s="9"/>
      <c r="N436" s="9"/>
      <c r="O436" s="9"/>
      <c r="P436" s="9"/>
      <c r="Q436" s="9"/>
      <c r="R436" s="9"/>
      <c r="S436" s="9"/>
      <c r="T436" s="9"/>
      <c r="U436" s="9"/>
      <c r="V436" s="9"/>
      <c r="W436" s="9"/>
      <c r="X436" s="9"/>
      <c r="Y436" s="9"/>
      <c r="Z436" s="9"/>
      <c r="AA436" s="9"/>
      <c r="AB436" s="9"/>
      <c r="AC436" s="9"/>
      <c r="AD436" s="9"/>
      <c r="AE436" s="9"/>
      <c r="AF436" s="9"/>
    </row>
    <row r="437">
      <c r="A437" s="9"/>
      <c r="B437" s="9"/>
      <c r="C437" s="9"/>
      <c r="D437" s="9"/>
      <c r="E437" s="9"/>
      <c r="F437" s="9"/>
      <c r="G437" s="9"/>
      <c r="H437" s="9"/>
      <c r="I437" s="9"/>
      <c r="J437" s="9"/>
      <c r="K437" s="9"/>
      <c r="L437" s="9"/>
      <c r="M437" s="9"/>
      <c r="N437" s="9"/>
      <c r="O437" s="9"/>
      <c r="P437" s="9"/>
      <c r="Q437" s="9"/>
      <c r="R437" s="9"/>
      <c r="S437" s="9"/>
      <c r="T437" s="9"/>
      <c r="U437" s="9"/>
      <c r="V437" s="9"/>
      <c r="W437" s="9"/>
      <c r="X437" s="9"/>
      <c r="Y437" s="9"/>
      <c r="Z437" s="9"/>
      <c r="AA437" s="9"/>
      <c r="AB437" s="9"/>
      <c r="AC437" s="9"/>
      <c r="AD437" s="9"/>
      <c r="AE437" s="9"/>
      <c r="AF437" s="9"/>
    </row>
    <row r="438">
      <c r="A438" s="9"/>
      <c r="B438" s="9"/>
      <c r="C438" s="9"/>
      <c r="D438" s="9"/>
      <c r="E438" s="9"/>
      <c r="F438" s="9"/>
      <c r="G438" s="9"/>
      <c r="H438" s="9"/>
      <c r="I438" s="9"/>
      <c r="J438" s="9"/>
      <c r="K438" s="9"/>
      <c r="L438" s="9"/>
      <c r="M438" s="9"/>
      <c r="N438" s="9"/>
      <c r="O438" s="9"/>
      <c r="P438" s="9"/>
      <c r="Q438" s="9"/>
      <c r="R438" s="9"/>
      <c r="S438" s="9"/>
      <c r="T438" s="9"/>
      <c r="U438" s="9"/>
      <c r="V438" s="9"/>
      <c r="W438" s="9"/>
      <c r="X438" s="9"/>
      <c r="Y438" s="9"/>
      <c r="Z438" s="9"/>
      <c r="AA438" s="9"/>
      <c r="AB438" s="9"/>
      <c r="AC438" s="9"/>
      <c r="AD438" s="9"/>
      <c r="AE438" s="9"/>
      <c r="AF438" s="9"/>
    </row>
    <row r="439">
      <c r="A439" s="9"/>
      <c r="B439" s="9"/>
      <c r="C439" s="9"/>
      <c r="D439" s="9"/>
      <c r="E439" s="9"/>
      <c r="F439" s="9"/>
      <c r="G439" s="9"/>
      <c r="H439" s="9"/>
      <c r="I439" s="9"/>
      <c r="J439" s="9"/>
      <c r="K439" s="9"/>
      <c r="L439" s="9"/>
      <c r="M439" s="9"/>
      <c r="N439" s="9"/>
      <c r="O439" s="9"/>
      <c r="P439" s="9"/>
      <c r="Q439" s="9"/>
      <c r="R439" s="9"/>
      <c r="S439" s="9"/>
      <c r="T439" s="9"/>
      <c r="U439" s="9"/>
      <c r="V439" s="9"/>
      <c r="W439" s="9"/>
      <c r="X439" s="9"/>
      <c r="Y439" s="9"/>
      <c r="Z439" s="9"/>
      <c r="AA439" s="9"/>
      <c r="AB439" s="9"/>
      <c r="AC439" s="9"/>
      <c r="AD439" s="9"/>
      <c r="AE439" s="9"/>
      <c r="AF439" s="9"/>
    </row>
    <row r="440">
      <c r="A440" s="9"/>
      <c r="B440" s="9"/>
      <c r="C440" s="9"/>
      <c r="D440" s="9"/>
      <c r="E440" s="9"/>
      <c r="F440" s="9"/>
      <c r="G440" s="9"/>
      <c r="H440" s="9"/>
      <c r="I440" s="9"/>
      <c r="J440" s="9"/>
      <c r="K440" s="9"/>
      <c r="L440" s="9"/>
      <c r="M440" s="9"/>
      <c r="N440" s="9"/>
      <c r="O440" s="9"/>
      <c r="P440" s="9"/>
      <c r="Q440" s="9"/>
      <c r="R440" s="9"/>
      <c r="S440" s="9"/>
      <c r="T440" s="9"/>
      <c r="U440" s="9"/>
      <c r="V440" s="9"/>
      <c r="W440" s="9"/>
      <c r="X440" s="9"/>
      <c r="Y440" s="9"/>
      <c r="Z440" s="9"/>
      <c r="AA440" s="9"/>
      <c r="AB440" s="9"/>
      <c r="AC440" s="9"/>
      <c r="AD440" s="9"/>
      <c r="AE440" s="9"/>
      <c r="AF440" s="9"/>
    </row>
    <row r="441">
      <c r="A441" s="9"/>
      <c r="B441" s="9"/>
      <c r="C441" s="9"/>
      <c r="D441" s="9"/>
      <c r="E441" s="9"/>
      <c r="F441" s="9"/>
      <c r="G441" s="9"/>
      <c r="H441" s="9"/>
      <c r="I441" s="9"/>
      <c r="J441" s="9"/>
      <c r="K441" s="9"/>
      <c r="L441" s="9"/>
      <c r="M441" s="9"/>
      <c r="N441" s="9"/>
      <c r="O441" s="9"/>
      <c r="P441" s="9"/>
      <c r="Q441" s="9"/>
      <c r="R441" s="9"/>
      <c r="S441" s="9"/>
      <c r="T441" s="9"/>
      <c r="U441" s="9"/>
      <c r="V441" s="9"/>
      <c r="W441" s="9"/>
      <c r="X441" s="9"/>
      <c r="Y441" s="9"/>
      <c r="Z441" s="9"/>
      <c r="AA441" s="9"/>
      <c r="AB441" s="9"/>
      <c r="AC441" s="9"/>
      <c r="AD441" s="9"/>
      <c r="AE441" s="9"/>
      <c r="AF441" s="9"/>
    </row>
    <row r="442">
      <c r="A442" s="9"/>
      <c r="B442" s="9"/>
      <c r="C442" s="9"/>
      <c r="D442" s="9"/>
      <c r="E442" s="9"/>
      <c r="F442" s="9"/>
      <c r="G442" s="9"/>
      <c r="H442" s="9"/>
      <c r="I442" s="9"/>
      <c r="J442" s="9"/>
      <c r="K442" s="9"/>
      <c r="L442" s="9"/>
      <c r="M442" s="9"/>
      <c r="N442" s="9"/>
      <c r="O442" s="9"/>
      <c r="P442" s="9"/>
      <c r="Q442" s="9"/>
      <c r="R442" s="9"/>
      <c r="S442" s="9"/>
      <c r="T442" s="9"/>
      <c r="U442" s="9"/>
      <c r="V442" s="9"/>
      <c r="W442" s="9"/>
      <c r="X442" s="9"/>
      <c r="Y442" s="9"/>
      <c r="Z442" s="9"/>
      <c r="AA442" s="9"/>
      <c r="AB442" s="9"/>
      <c r="AC442" s="9"/>
      <c r="AD442" s="9"/>
      <c r="AE442" s="9"/>
      <c r="AF442" s="9"/>
    </row>
    <row r="443">
      <c r="A443" s="9"/>
      <c r="B443" s="9"/>
      <c r="C443" s="9"/>
      <c r="D443" s="9"/>
      <c r="E443" s="9"/>
      <c r="F443" s="9"/>
      <c r="G443" s="9"/>
      <c r="H443" s="9"/>
      <c r="I443" s="9"/>
      <c r="J443" s="9"/>
      <c r="K443" s="9"/>
      <c r="L443" s="9"/>
      <c r="M443" s="9"/>
      <c r="N443" s="9"/>
      <c r="O443" s="9"/>
      <c r="P443" s="9"/>
      <c r="Q443" s="9"/>
      <c r="R443" s="9"/>
      <c r="S443" s="9"/>
      <c r="T443" s="9"/>
      <c r="U443" s="9"/>
      <c r="V443" s="9"/>
      <c r="W443" s="9"/>
      <c r="X443" s="9"/>
      <c r="Y443" s="9"/>
      <c r="Z443" s="9"/>
      <c r="AA443" s="9"/>
      <c r="AB443" s="9"/>
      <c r="AC443" s="9"/>
      <c r="AD443" s="9"/>
      <c r="AE443" s="9"/>
      <c r="AF443" s="9"/>
    </row>
    <row r="444">
      <c r="A444" s="9"/>
      <c r="B444" s="9"/>
      <c r="C444" s="9"/>
      <c r="D444" s="9"/>
      <c r="E444" s="9"/>
      <c r="F444" s="9"/>
      <c r="G444" s="9"/>
      <c r="H444" s="9"/>
      <c r="I444" s="9"/>
      <c r="J444" s="9"/>
      <c r="K444" s="9"/>
      <c r="L444" s="9"/>
      <c r="M444" s="9"/>
      <c r="N444" s="9"/>
      <c r="O444" s="9"/>
      <c r="P444" s="9"/>
      <c r="Q444" s="9"/>
      <c r="R444" s="9"/>
      <c r="S444" s="9"/>
      <c r="T444" s="9"/>
      <c r="U444" s="9"/>
      <c r="V444" s="9"/>
      <c r="W444" s="9"/>
      <c r="X444" s="9"/>
      <c r="Y444" s="9"/>
      <c r="Z444" s="9"/>
      <c r="AA444" s="9"/>
      <c r="AB444" s="9"/>
      <c r="AC444" s="9"/>
      <c r="AD444" s="9"/>
      <c r="AE444" s="9"/>
      <c r="AF444" s="9"/>
    </row>
    <row r="445">
      <c r="A445" s="9"/>
      <c r="B445" s="9"/>
      <c r="C445" s="9"/>
      <c r="D445" s="9"/>
      <c r="E445" s="9"/>
      <c r="F445" s="9"/>
      <c r="G445" s="9"/>
      <c r="H445" s="9"/>
      <c r="I445" s="9"/>
      <c r="J445" s="9"/>
      <c r="K445" s="9"/>
      <c r="L445" s="9"/>
      <c r="M445" s="9"/>
      <c r="N445" s="9"/>
      <c r="O445" s="9"/>
      <c r="P445" s="9"/>
      <c r="Q445" s="9"/>
      <c r="R445" s="9"/>
      <c r="S445" s="9"/>
      <c r="T445" s="9"/>
      <c r="U445" s="9"/>
      <c r="V445" s="9"/>
      <c r="W445" s="9"/>
      <c r="X445" s="9"/>
      <c r="Y445" s="9"/>
      <c r="Z445" s="9"/>
      <c r="AA445" s="9"/>
      <c r="AB445" s="9"/>
      <c r="AC445" s="9"/>
      <c r="AD445" s="9"/>
      <c r="AE445" s="9"/>
      <c r="AF445" s="9"/>
    </row>
    <row r="446">
      <c r="A446" s="9"/>
      <c r="B446" s="9"/>
      <c r="C446" s="9"/>
      <c r="D446" s="9"/>
      <c r="E446" s="9"/>
      <c r="F446" s="9"/>
      <c r="G446" s="9"/>
      <c r="H446" s="9"/>
      <c r="I446" s="9"/>
      <c r="J446" s="9"/>
      <c r="K446" s="9"/>
      <c r="L446" s="9"/>
      <c r="M446" s="9"/>
      <c r="N446" s="9"/>
      <c r="O446" s="9"/>
      <c r="P446" s="9"/>
      <c r="Q446" s="9"/>
      <c r="R446" s="9"/>
      <c r="S446" s="9"/>
      <c r="T446" s="9"/>
      <c r="U446" s="9"/>
      <c r="V446" s="9"/>
      <c r="W446" s="9"/>
      <c r="X446" s="9"/>
      <c r="Y446" s="9"/>
      <c r="Z446" s="9"/>
      <c r="AA446" s="9"/>
      <c r="AB446" s="9"/>
      <c r="AC446" s="9"/>
      <c r="AD446" s="9"/>
      <c r="AE446" s="9"/>
      <c r="AF446" s="9"/>
    </row>
    <row r="447">
      <c r="A447" s="9"/>
      <c r="B447" s="9"/>
      <c r="C447" s="9"/>
      <c r="D447" s="9"/>
      <c r="E447" s="9"/>
      <c r="F447" s="9"/>
      <c r="G447" s="9"/>
      <c r="H447" s="9"/>
      <c r="I447" s="9"/>
      <c r="J447" s="9"/>
      <c r="K447" s="9"/>
      <c r="L447" s="9"/>
      <c r="M447" s="9"/>
      <c r="N447" s="9"/>
      <c r="O447" s="9"/>
      <c r="P447" s="9"/>
      <c r="Q447" s="9"/>
      <c r="R447" s="9"/>
      <c r="S447" s="9"/>
      <c r="T447" s="9"/>
      <c r="U447" s="9"/>
      <c r="V447" s="9"/>
      <c r="W447" s="9"/>
      <c r="X447" s="9"/>
      <c r="Y447" s="9"/>
      <c r="Z447" s="9"/>
      <c r="AA447" s="9"/>
      <c r="AB447" s="9"/>
      <c r="AC447" s="9"/>
      <c r="AD447" s="9"/>
      <c r="AE447" s="9"/>
      <c r="AF447" s="9"/>
    </row>
    <row r="448">
      <c r="A448" s="9"/>
      <c r="B448" s="9"/>
      <c r="C448" s="9"/>
      <c r="D448" s="9"/>
      <c r="E448" s="9"/>
      <c r="F448" s="9"/>
      <c r="G448" s="9"/>
      <c r="H448" s="9"/>
      <c r="I448" s="9"/>
      <c r="J448" s="9"/>
      <c r="K448" s="9"/>
      <c r="L448" s="9"/>
      <c r="M448" s="9"/>
      <c r="N448" s="9"/>
      <c r="O448" s="9"/>
      <c r="P448" s="9"/>
      <c r="Q448" s="9"/>
      <c r="R448" s="9"/>
      <c r="S448" s="9"/>
      <c r="T448" s="9"/>
      <c r="U448" s="9"/>
      <c r="V448" s="9"/>
      <c r="W448" s="9"/>
      <c r="X448" s="9"/>
      <c r="Y448" s="9"/>
      <c r="Z448" s="9"/>
      <c r="AA448" s="9"/>
      <c r="AB448" s="9"/>
      <c r="AC448" s="9"/>
      <c r="AD448" s="9"/>
      <c r="AE448" s="9"/>
      <c r="AF448" s="9"/>
    </row>
    <row r="449">
      <c r="A449" s="9"/>
      <c r="B449" s="9"/>
      <c r="C449" s="9"/>
      <c r="D449" s="9"/>
      <c r="E449" s="9"/>
      <c r="F449" s="9"/>
      <c r="G449" s="9"/>
      <c r="H449" s="9"/>
      <c r="I449" s="9"/>
      <c r="J449" s="9"/>
      <c r="K449" s="9"/>
      <c r="L449" s="9"/>
      <c r="M449" s="9"/>
      <c r="N449" s="9"/>
      <c r="O449" s="9"/>
      <c r="P449" s="9"/>
      <c r="Q449" s="9"/>
      <c r="R449" s="9"/>
      <c r="S449" s="9"/>
      <c r="T449" s="9"/>
      <c r="U449" s="9"/>
      <c r="V449" s="9"/>
      <c r="W449" s="9"/>
      <c r="X449" s="9"/>
      <c r="Y449" s="9"/>
      <c r="Z449" s="9"/>
      <c r="AA449" s="9"/>
      <c r="AB449" s="9"/>
      <c r="AC449" s="9"/>
      <c r="AD449" s="9"/>
      <c r="AE449" s="9"/>
      <c r="AF449" s="9"/>
    </row>
    <row r="450">
      <c r="A450" s="9"/>
      <c r="B450" s="9"/>
      <c r="C450" s="9"/>
      <c r="D450" s="9"/>
      <c r="E450" s="9"/>
      <c r="F450" s="9"/>
      <c r="G450" s="9"/>
      <c r="H450" s="9"/>
      <c r="I450" s="9"/>
      <c r="J450" s="9"/>
      <c r="K450" s="9"/>
      <c r="L450" s="9"/>
      <c r="M450" s="9"/>
      <c r="N450" s="9"/>
      <c r="O450" s="9"/>
      <c r="P450" s="9"/>
      <c r="Q450" s="9"/>
      <c r="R450" s="9"/>
      <c r="S450" s="9"/>
      <c r="T450" s="9"/>
      <c r="U450" s="9"/>
      <c r="V450" s="9"/>
      <c r="W450" s="9"/>
      <c r="X450" s="9"/>
      <c r="Y450" s="9"/>
      <c r="Z450" s="9"/>
      <c r="AA450" s="9"/>
      <c r="AB450" s="9"/>
      <c r="AC450" s="9"/>
      <c r="AD450" s="9"/>
      <c r="AE450" s="9"/>
      <c r="AF450" s="9"/>
    </row>
    <row r="451">
      <c r="A451" s="9"/>
      <c r="B451" s="9"/>
      <c r="C451" s="9"/>
      <c r="D451" s="9"/>
      <c r="E451" s="9"/>
      <c r="F451" s="9"/>
      <c r="G451" s="9"/>
      <c r="H451" s="9"/>
      <c r="I451" s="9"/>
      <c r="J451" s="9"/>
      <c r="K451" s="9"/>
      <c r="L451" s="9"/>
      <c r="M451" s="9"/>
      <c r="N451" s="9"/>
      <c r="O451" s="9"/>
      <c r="P451" s="9"/>
      <c r="Q451" s="9"/>
      <c r="R451" s="9"/>
      <c r="S451" s="9"/>
      <c r="T451" s="9"/>
      <c r="U451" s="9"/>
      <c r="V451" s="9"/>
      <c r="W451" s="9"/>
      <c r="X451" s="9"/>
      <c r="Y451" s="9"/>
      <c r="Z451" s="9"/>
      <c r="AA451" s="9"/>
      <c r="AB451" s="9"/>
      <c r="AC451" s="9"/>
      <c r="AD451" s="9"/>
      <c r="AE451" s="9"/>
      <c r="AF451" s="9"/>
    </row>
    <row r="452">
      <c r="A452" s="9"/>
      <c r="B452" s="9"/>
      <c r="C452" s="9"/>
      <c r="D452" s="9"/>
      <c r="E452" s="9"/>
      <c r="F452" s="9"/>
      <c r="G452" s="9"/>
      <c r="H452" s="9"/>
      <c r="I452" s="9"/>
      <c r="J452" s="9"/>
      <c r="K452" s="9"/>
      <c r="L452" s="9"/>
      <c r="M452" s="9"/>
      <c r="N452" s="9"/>
      <c r="O452" s="9"/>
      <c r="P452" s="9"/>
      <c r="Q452" s="9"/>
      <c r="R452" s="9"/>
      <c r="S452" s="9"/>
      <c r="T452" s="9"/>
      <c r="U452" s="9"/>
      <c r="V452" s="9"/>
      <c r="W452" s="9"/>
      <c r="X452" s="9"/>
      <c r="Y452" s="9"/>
      <c r="Z452" s="9"/>
      <c r="AA452" s="9"/>
      <c r="AB452" s="9"/>
      <c r="AC452" s="9"/>
      <c r="AD452" s="9"/>
      <c r="AE452" s="9"/>
      <c r="AF452" s="9"/>
    </row>
    <row r="453">
      <c r="A453" s="9"/>
      <c r="B453" s="9"/>
      <c r="C453" s="9"/>
      <c r="D453" s="9"/>
      <c r="E453" s="9"/>
      <c r="F453" s="9"/>
      <c r="G453" s="9"/>
      <c r="H453" s="9"/>
      <c r="I453" s="9"/>
      <c r="J453" s="9"/>
      <c r="K453" s="9"/>
      <c r="L453" s="9"/>
      <c r="M453" s="9"/>
      <c r="N453" s="9"/>
      <c r="O453" s="9"/>
      <c r="P453" s="9"/>
      <c r="Q453" s="9"/>
      <c r="R453" s="9"/>
      <c r="S453" s="9"/>
      <c r="T453" s="9"/>
      <c r="U453" s="9"/>
      <c r="V453" s="9"/>
      <c r="W453" s="9"/>
      <c r="X453" s="9"/>
      <c r="Y453" s="9"/>
      <c r="Z453" s="9"/>
      <c r="AA453" s="9"/>
      <c r="AB453" s="9"/>
      <c r="AC453" s="9"/>
      <c r="AD453" s="9"/>
      <c r="AE453" s="9"/>
      <c r="AF453" s="9"/>
    </row>
    <row r="454">
      <c r="A454" s="9"/>
      <c r="B454" s="9"/>
      <c r="C454" s="9"/>
      <c r="D454" s="9"/>
      <c r="E454" s="9"/>
      <c r="F454" s="9"/>
      <c r="G454" s="9"/>
      <c r="H454" s="9"/>
      <c r="I454" s="9"/>
      <c r="J454" s="9"/>
      <c r="K454" s="9"/>
      <c r="L454" s="9"/>
      <c r="M454" s="9"/>
      <c r="N454" s="9"/>
      <c r="O454" s="9"/>
      <c r="P454" s="9"/>
      <c r="Q454" s="9"/>
      <c r="R454" s="9"/>
      <c r="S454" s="9"/>
      <c r="T454" s="9"/>
      <c r="U454" s="9"/>
      <c r="V454" s="9"/>
      <c r="W454" s="9"/>
      <c r="X454" s="9"/>
      <c r="Y454" s="9"/>
      <c r="Z454" s="9"/>
      <c r="AA454" s="9"/>
      <c r="AB454" s="9"/>
      <c r="AC454" s="9"/>
      <c r="AD454" s="9"/>
      <c r="AE454" s="9"/>
      <c r="AF454" s="9"/>
    </row>
    <row r="455">
      <c r="A455" s="9"/>
      <c r="B455" s="9"/>
      <c r="C455" s="9"/>
      <c r="D455" s="9"/>
      <c r="E455" s="9"/>
      <c r="F455" s="9"/>
      <c r="G455" s="9"/>
      <c r="H455" s="9"/>
      <c r="I455" s="9"/>
      <c r="J455" s="9"/>
      <c r="K455" s="9"/>
      <c r="L455" s="9"/>
      <c r="M455" s="9"/>
      <c r="N455" s="9"/>
      <c r="O455" s="9"/>
      <c r="P455" s="9"/>
      <c r="Q455" s="9"/>
      <c r="R455" s="9"/>
      <c r="S455" s="9"/>
      <c r="T455" s="9"/>
      <c r="U455" s="9"/>
      <c r="V455" s="9"/>
      <c r="W455" s="9"/>
      <c r="X455" s="9"/>
      <c r="Y455" s="9"/>
      <c r="Z455" s="9"/>
      <c r="AA455" s="9"/>
      <c r="AB455" s="9"/>
      <c r="AC455" s="9"/>
      <c r="AD455" s="9"/>
      <c r="AE455" s="9"/>
      <c r="AF455" s="9"/>
    </row>
    <row r="456">
      <c r="A456" s="9"/>
      <c r="B456" s="9"/>
      <c r="C456" s="9"/>
      <c r="D456" s="9"/>
      <c r="E456" s="9"/>
      <c r="F456" s="9"/>
      <c r="G456" s="9"/>
      <c r="H456" s="9"/>
      <c r="I456" s="9"/>
      <c r="J456" s="9"/>
      <c r="K456" s="9"/>
      <c r="L456" s="9"/>
      <c r="M456" s="9"/>
      <c r="N456" s="9"/>
      <c r="O456" s="9"/>
      <c r="P456" s="9"/>
      <c r="Q456" s="9"/>
      <c r="R456" s="9"/>
      <c r="S456" s="9"/>
      <c r="T456" s="9"/>
      <c r="U456" s="9"/>
      <c r="V456" s="9"/>
      <c r="W456" s="9"/>
      <c r="X456" s="9"/>
      <c r="Y456" s="9"/>
      <c r="Z456" s="9"/>
      <c r="AA456" s="9"/>
      <c r="AB456" s="9"/>
      <c r="AC456" s="9"/>
      <c r="AD456" s="9"/>
      <c r="AE456" s="9"/>
      <c r="AF456" s="9"/>
    </row>
    <row r="457">
      <c r="A457" s="9"/>
      <c r="B457" s="9"/>
      <c r="C457" s="9"/>
      <c r="D457" s="9"/>
      <c r="E457" s="9"/>
      <c r="F457" s="9"/>
      <c r="G457" s="9"/>
      <c r="H457" s="9"/>
      <c r="I457" s="9"/>
      <c r="J457" s="9"/>
      <c r="K457" s="9"/>
      <c r="L457" s="9"/>
      <c r="M457" s="9"/>
      <c r="N457" s="9"/>
      <c r="O457" s="9"/>
      <c r="P457" s="9"/>
      <c r="Q457" s="9"/>
      <c r="R457" s="9"/>
      <c r="S457" s="9"/>
      <c r="T457" s="9"/>
      <c r="U457" s="9"/>
      <c r="V457" s="9"/>
      <c r="W457" s="9"/>
      <c r="X457" s="9"/>
      <c r="Y457" s="9"/>
      <c r="Z457" s="9"/>
      <c r="AA457" s="9"/>
      <c r="AB457" s="9"/>
      <c r="AC457" s="9"/>
      <c r="AD457" s="9"/>
      <c r="AE457" s="9"/>
      <c r="AF457" s="9"/>
    </row>
    <row r="458">
      <c r="A458" s="9"/>
      <c r="B458" s="9"/>
      <c r="C458" s="9"/>
      <c r="D458" s="9"/>
      <c r="E458" s="9"/>
      <c r="F458" s="9"/>
      <c r="G458" s="9"/>
      <c r="H458" s="9"/>
      <c r="I458" s="9"/>
      <c r="J458" s="9"/>
      <c r="K458" s="9"/>
      <c r="L458" s="9"/>
      <c r="M458" s="9"/>
      <c r="N458" s="9"/>
      <c r="O458" s="9"/>
      <c r="P458" s="9"/>
      <c r="Q458" s="9"/>
      <c r="R458" s="9"/>
      <c r="S458" s="9"/>
      <c r="T458" s="9"/>
      <c r="U458" s="9"/>
      <c r="V458" s="9"/>
      <c r="W458" s="9"/>
      <c r="X458" s="9"/>
      <c r="Y458" s="9"/>
      <c r="Z458" s="9"/>
      <c r="AA458" s="9"/>
      <c r="AB458" s="9"/>
      <c r="AC458" s="9"/>
      <c r="AD458" s="9"/>
      <c r="AE458" s="9"/>
      <c r="AF458" s="9"/>
    </row>
    <row r="459">
      <c r="A459" s="9"/>
      <c r="B459" s="9"/>
      <c r="C459" s="9"/>
      <c r="D459" s="9"/>
      <c r="E459" s="9"/>
      <c r="F459" s="9"/>
      <c r="G459" s="9"/>
      <c r="H459" s="9"/>
      <c r="I459" s="9"/>
      <c r="J459" s="9"/>
      <c r="K459" s="9"/>
      <c r="L459" s="9"/>
      <c r="M459" s="9"/>
      <c r="N459" s="9"/>
      <c r="O459" s="9"/>
      <c r="P459" s="9"/>
      <c r="Q459" s="9"/>
      <c r="R459" s="9"/>
      <c r="S459" s="9"/>
      <c r="T459" s="9"/>
      <c r="U459" s="9"/>
      <c r="V459" s="9"/>
      <c r="W459" s="9"/>
      <c r="X459" s="9"/>
      <c r="Y459" s="9"/>
      <c r="Z459" s="9"/>
      <c r="AA459" s="9"/>
      <c r="AB459" s="9"/>
      <c r="AC459" s="9"/>
      <c r="AD459" s="9"/>
      <c r="AE459" s="9"/>
      <c r="AF459" s="9"/>
    </row>
    <row r="460">
      <c r="A460" s="9"/>
      <c r="B460" s="9"/>
      <c r="C460" s="9"/>
      <c r="D460" s="9"/>
      <c r="E460" s="9"/>
      <c r="F460" s="9"/>
      <c r="G460" s="9"/>
      <c r="H460" s="9"/>
      <c r="I460" s="9"/>
      <c r="J460" s="9"/>
      <c r="K460" s="9"/>
      <c r="L460" s="9"/>
      <c r="M460" s="9"/>
      <c r="N460" s="9"/>
      <c r="O460" s="9"/>
      <c r="P460" s="9"/>
      <c r="Q460" s="9"/>
      <c r="R460" s="9"/>
      <c r="S460" s="9"/>
      <c r="T460" s="9"/>
      <c r="U460" s="9"/>
      <c r="V460" s="9"/>
      <c r="W460" s="9"/>
      <c r="X460" s="9"/>
      <c r="Y460" s="9"/>
      <c r="Z460" s="9"/>
      <c r="AA460" s="9"/>
      <c r="AB460" s="9"/>
      <c r="AC460" s="9"/>
      <c r="AD460" s="9"/>
      <c r="AE460" s="9"/>
      <c r="AF460" s="9"/>
    </row>
    <row r="461">
      <c r="A461" s="9"/>
      <c r="B461" s="9"/>
      <c r="C461" s="9"/>
      <c r="D461" s="9"/>
      <c r="E461" s="9"/>
      <c r="F461" s="9"/>
      <c r="G461" s="9"/>
      <c r="H461" s="9"/>
      <c r="I461" s="9"/>
      <c r="J461" s="9"/>
      <c r="K461" s="9"/>
      <c r="L461" s="9"/>
      <c r="M461" s="9"/>
      <c r="N461" s="9"/>
      <c r="O461" s="9"/>
      <c r="P461" s="9"/>
      <c r="Q461" s="9"/>
      <c r="R461" s="9"/>
      <c r="S461" s="9"/>
      <c r="T461" s="9"/>
      <c r="U461" s="9"/>
      <c r="V461" s="9"/>
      <c r="W461" s="9"/>
      <c r="X461" s="9"/>
      <c r="Y461" s="9"/>
      <c r="Z461" s="9"/>
      <c r="AA461" s="9"/>
      <c r="AB461" s="9"/>
      <c r="AC461" s="9"/>
      <c r="AD461" s="9"/>
      <c r="AE461" s="9"/>
      <c r="AF461" s="9"/>
    </row>
    <row r="462">
      <c r="A462" s="9"/>
      <c r="B462" s="9"/>
      <c r="C462" s="9"/>
      <c r="D462" s="9"/>
      <c r="E462" s="9"/>
      <c r="F462" s="9"/>
      <c r="G462" s="9"/>
      <c r="H462" s="9"/>
      <c r="I462" s="9"/>
      <c r="J462" s="9"/>
      <c r="K462" s="9"/>
      <c r="L462" s="9"/>
      <c r="M462" s="9"/>
      <c r="N462" s="9"/>
      <c r="O462" s="9"/>
      <c r="P462" s="9"/>
      <c r="Q462" s="9"/>
      <c r="R462" s="9"/>
      <c r="S462" s="9"/>
      <c r="T462" s="9"/>
      <c r="U462" s="9"/>
      <c r="V462" s="9"/>
      <c r="W462" s="9"/>
      <c r="X462" s="9"/>
      <c r="Y462" s="9"/>
      <c r="Z462" s="9"/>
      <c r="AA462" s="9"/>
      <c r="AB462" s="9"/>
      <c r="AC462" s="9"/>
      <c r="AD462" s="9"/>
      <c r="AE462" s="9"/>
      <c r="AF462" s="9"/>
    </row>
    <row r="463">
      <c r="A463" s="9"/>
      <c r="B463" s="9"/>
      <c r="C463" s="9"/>
      <c r="D463" s="9"/>
      <c r="E463" s="9"/>
      <c r="F463" s="9"/>
      <c r="G463" s="9"/>
      <c r="H463" s="9"/>
      <c r="I463" s="9"/>
      <c r="J463" s="9"/>
      <c r="K463" s="9"/>
      <c r="L463" s="9"/>
      <c r="M463" s="9"/>
      <c r="N463" s="9"/>
      <c r="O463" s="9"/>
      <c r="P463" s="9"/>
      <c r="Q463" s="9"/>
      <c r="R463" s="9"/>
      <c r="S463" s="9"/>
      <c r="T463" s="9"/>
      <c r="U463" s="9"/>
      <c r="V463" s="9"/>
      <c r="W463" s="9"/>
      <c r="X463" s="9"/>
      <c r="Y463" s="9"/>
      <c r="Z463" s="9"/>
      <c r="AA463" s="9"/>
      <c r="AB463" s="9"/>
      <c r="AC463" s="9"/>
      <c r="AD463" s="9"/>
      <c r="AE463" s="9"/>
      <c r="AF463" s="9"/>
    </row>
    <row r="464">
      <c r="A464" s="9"/>
      <c r="B464" s="9"/>
      <c r="C464" s="9"/>
      <c r="D464" s="9"/>
      <c r="E464" s="9"/>
      <c r="F464" s="9"/>
      <c r="G464" s="9"/>
      <c r="H464" s="9"/>
      <c r="I464" s="9"/>
      <c r="J464" s="9"/>
      <c r="K464" s="9"/>
      <c r="L464" s="9"/>
      <c r="M464" s="9"/>
      <c r="N464" s="9"/>
      <c r="O464" s="9"/>
      <c r="P464" s="9"/>
      <c r="Q464" s="9"/>
      <c r="R464" s="9"/>
      <c r="S464" s="9"/>
      <c r="T464" s="9"/>
      <c r="U464" s="9"/>
      <c r="V464" s="9"/>
      <c r="W464" s="9"/>
      <c r="X464" s="9"/>
      <c r="Y464" s="9"/>
      <c r="Z464" s="9"/>
      <c r="AA464" s="9"/>
      <c r="AB464" s="9"/>
      <c r="AC464" s="9"/>
      <c r="AD464" s="9"/>
      <c r="AE464" s="9"/>
      <c r="AF464" s="9"/>
    </row>
    <row r="465">
      <c r="A465" s="9"/>
      <c r="B465" s="9"/>
      <c r="C465" s="9"/>
      <c r="D465" s="9"/>
      <c r="E465" s="9"/>
      <c r="F465" s="9"/>
      <c r="G465" s="9"/>
      <c r="H465" s="9"/>
      <c r="I465" s="9"/>
      <c r="J465" s="9"/>
      <c r="K465" s="9"/>
      <c r="L465" s="9"/>
      <c r="M465" s="9"/>
      <c r="N465" s="9"/>
      <c r="O465" s="9"/>
      <c r="P465" s="9"/>
      <c r="Q465" s="9"/>
      <c r="R465" s="9"/>
      <c r="S465" s="9"/>
      <c r="T465" s="9"/>
      <c r="U465" s="9"/>
      <c r="V465" s="9"/>
      <c r="W465" s="9"/>
      <c r="X465" s="9"/>
      <c r="Y465" s="9"/>
      <c r="Z465" s="9"/>
      <c r="AA465" s="9"/>
      <c r="AB465" s="9"/>
      <c r="AC465" s="9"/>
      <c r="AD465" s="9"/>
      <c r="AE465" s="9"/>
      <c r="AF465" s="9"/>
    </row>
    <row r="466">
      <c r="A466" s="9"/>
      <c r="B466" s="9"/>
      <c r="C466" s="9"/>
      <c r="D466" s="9"/>
      <c r="E466" s="9"/>
      <c r="F466" s="9"/>
      <c r="G466" s="9"/>
      <c r="H466" s="9"/>
      <c r="I466" s="9"/>
      <c r="J466" s="9"/>
      <c r="K466" s="9"/>
      <c r="L466" s="9"/>
      <c r="M466" s="9"/>
      <c r="N466" s="9"/>
      <c r="O466" s="9"/>
      <c r="P466" s="9"/>
      <c r="Q466" s="9"/>
      <c r="R466" s="9"/>
      <c r="S466" s="9"/>
      <c r="T466" s="9"/>
      <c r="U466" s="9"/>
      <c r="V466" s="9"/>
      <c r="W466" s="9"/>
      <c r="X466" s="9"/>
      <c r="Y466" s="9"/>
      <c r="Z466" s="9"/>
      <c r="AA466" s="9"/>
      <c r="AB466" s="9"/>
      <c r="AC466" s="9"/>
      <c r="AD466" s="9"/>
      <c r="AE466" s="9"/>
      <c r="AF466" s="9"/>
    </row>
    <row r="467">
      <c r="A467" s="9"/>
      <c r="B467" s="9"/>
      <c r="C467" s="9"/>
      <c r="D467" s="9"/>
      <c r="E467" s="9"/>
      <c r="F467" s="9"/>
      <c r="G467" s="9"/>
      <c r="H467" s="9"/>
      <c r="I467" s="9"/>
      <c r="J467" s="9"/>
      <c r="K467" s="9"/>
      <c r="L467" s="9"/>
      <c r="M467" s="9"/>
      <c r="N467" s="9"/>
      <c r="O467" s="9"/>
      <c r="P467" s="9"/>
      <c r="Q467" s="9"/>
      <c r="R467" s="9"/>
      <c r="S467" s="9"/>
      <c r="T467" s="9"/>
      <c r="U467" s="9"/>
      <c r="V467" s="9"/>
      <c r="W467" s="9"/>
      <c r="X467" s="9"/>
      <c r="Y467" s="9"/>
      <c r="Z467" s="9"/>
      <c r="AA467" s="9"/>
      <c r="AB467" s="9"/>
      <c r="AC467" s="9"/>
      <c r="AD467" s="9"/>
      <c r="AE467" s="9"/>
      <c r="AF467" s="9"/>
    </row>
    <row r="468">
      <c r="A468" s="9"/>
      <c r="B468" s="9"/>
      <c r="C468" s="9"/>
      <c r="D468" s="9"/>
      <c r="E468" s="9"/>
      <c r="F468" s="9"/>
      <c r="G468" s="9"/>
      <c r="H468" s="9"/>
      <c r="I468" s="9"/>
      <c r="J468" s="9"/>
      <c r="K468" s="9"/>
      <c r="L468" s="9"/>
      <c r="M468" s="9"/>
      <c r="N468" s="9"/>
      <c r="O468" s="9"/>
      <c r="P468" s="9"/>
      <c r="Q468" s="9"/>
      <c r="R468" s="9"/>
      <c r="S468" s="9"/>
      <c r="T468" s="9"/>
      <c r="U468" s="9"/>
      <c r="V468" s="9"/>
      <c r="W468" s="9"/>
      <c r="X468" s="9"/>
      <c r="Y468" s="9"/>
      <c r="Z468" s="9"/>
      <c r="AA468" s="9"/>
      <c r="AB468" s="9"/>
      <c r="AC468" s="9"/>
      <c r="AD468" s="9"/>
      <c r="AE468" s="9"/>
      <c r="AF468" s="9"/>
    </row>
    <row r="469">
      <c r="A469" s="9"/>
      <c r="B469" s="9"/>
      <c r="C469" s="9"/>
      <c r="D469" s="9"/>
      <c r="E469" s="9"/>
      <c r="F469" s="9"/>
      <c r="G469" s="9"/>
      <c r="H469" s="9"/>
      <c r="I469" s="9"/>
      <c r="J469" s="9"/>
      <c r="K469" s="9"/>
      <c r="L469" s="9"/>
      <c r="M469" s="9"/>
      <c r="N469" s="9"/>
      <c r="O469" s="9"/>
      <c r="P469" s="9"/>
      <c r="Q469" s="9"/>
      <c r="R469" s="9"/>
      <c r="S469" s="9"/>
      <c r="T469" s="9"/>
      <c r="U469" s="9"/>
      <c r="V469" s="9"/>
      <c r="W469" s="9"/>
      <c r="X469" s="9"/>
      <c r="Y469" s="9"/>
      <c r="Z469" s="9"/>
      <c r="AA469" s="9"/>
      <c r="AB469" s="9"/>
      <c r="AC469" s="9"/>
      <c r="AD469" s="9"/>
      <c r="AE469" s="9"/>
      <c r="AF469" s="9"/>
    </row>
    <row r="470">
      <c r="A470" s="9"/>
      <c r="B470" s="9"/>
      <c r="C470" s="9"/>
      <c r="D470" s="9"/>
      <c r="E470" s="9"/>
      <c r="F470" s="9"/>
      <c r="G470" s="9"/>
      <c r="H470" s="9"/>
      <c r="I470" s="9"/>
      <c r="J470" s="9"/>
      <c r="K470" s="9"/>
      <c r="L470" s="9"/>
      <c r="M470" s="9"/>
      <c r="N470" s="9"/>
      <c r="O470" s="9"/>
      <c r="P470" s="9"/>
      <c r="Q470" s="9"/>
      <c r="R470" s="9"/>
      <c r="S470" s="9"/>
      <c r="T470" s="9"/>
      <c r="U470" s="9"/>
      <c r="V470" s="9"/>
      <c r="W470" s="9"/>
      <c r="X470" s="9"/>
      <c r="Y470" s="9"/>
      <c r="Z470" s="9"/>
      <c r="AA470" s="9"/>
      <c r="AB470" s="9"/>
      <c r="AC470" s="9"/>
      <c r="AD470" s="9"/>
      <c r="AE470" s="9"/>
      <c r="AF470" s="9"/>
    </row>
    <row r="471">
      <c r="A471" s="9"/>
      <c r="B471" s="9"/>
      <c r="C471" s="9"/>
      <c r="D471" s="9"/>
      <c r="E471" s="9"/>
      <c r="F471" s="9"/>
      <c r="G471" s="9"/>
      <c r="H471" s="9"/>
      <c r="I471" s="9"/>
      <c r="J471" s="9"/>
      <c r="K471" s="9"/>
      <c r="L471" s="9"/>
      <c r="M471" s="9"/>
      <c r="N471" s="9"/>
      <c r="O471" s="9"/>
      <c r="P471" s="9"/>
      <c r="Q471" s="9"/>
      <c r="R471" s="9"/>
      <c r="S471" s="9"/>
      <c r="T471" s="9"/>
      <c r="U471" s="9"/>
      <c r="V471" s="9"/>
      <c r="W471" s="9"/>
      <c r="X471" s="9"/>
      <c r="Y471" s="9"/>
      <c r="Z471" s="9"/>
      <c r="AA471" s="9"/>
      <c r="AB471" s="9"/>
      <c r="AC471" s="9"/>
      <c r="AD471" s="9"/>
      <c r="AE471" s="9"/>
      <c r="AF471" s="9"/>
    </row>
    <row r="472">
      <c r="A472" s="9"/>
      <c r="B472" s="9"/>
      <c r="C472" s="9"/>
      <c r="D472" s="9"/>
      <c r="E472" s="9"/>
      <c r="F472" s="9"/>
      <c r="G472" s="9"/>
      <c r="H472" s="9"/>
      <c r="I472" s="9"/>
      <c r="J472" s="9"/>
      <c r="K472" s="9"/>
      <c r="L472" s="9"/>
      <c r="M472" s="9"/>
      <c r="N472" s="9"/>
      <c r="O472" s="9"/>
      <c r="P472" s="9"/>
      <c r="Q472" s="9"/>
      <c r="R472" s="9"/>
      <c r="S472" s="9"/>
      <c r="T472" s="9"/>
      <c r="U472" s="9"/>
      <c r="V472" s="9"/>
      <c r="W472" s="9"/>
      <c r="X472" s="9"/>
      <c r="Y472" s="9"/>
      <c r="Z472" s="9"/>
      <c r="AA472" s="9"/>
      <c r="AB472" s="9"/>
      <c r="AC472" s="9"/>
      <c r="AD472" s="9"/>
      <c r="AE472" s="9"/>
      <c r="AF472" s="9"/>
    </row>
    <row r="473">
      <c r="A473" s="9"/>
      <c r="B473" s="9"/>
      <c r="C473" s="9"/>
      <c r="D473" s="9"/>
      <c r="E473" s="9"/>
      <c r="F473" s="9"/>
      <c r="G473" s="9"/>
      <c r="H473" s="9"/>
      <c r="I473" s="9"/>
      <c r="J473" s="9"/>
      <c r="K473" s="9"/>
      <c r="L473" s="9"/>
      <c r="M473" s="9"/>
      <c r="N473" s="9"/>
      <c r="O473" s="9"/>
      <c r="P473" s="9"/>
      <c r="Q473" s="9"/>
      <c r="R473" s="9"/>
      <c r="S473" s="9"/>
      <c r="T473" s="9"/>
      <c r="U473" s="9"/>
      <c r="V473" s="9"/>
      <c r="W473" s="9"/>
      <c r="X473" s="9"/>
      <c r="Y473" s="9"/>
      <c r="Z473" s="9"/>
      <c r="AA473" s="9"/>
      <c r="AB473" s="9"/>
      <c r="AC473" s="9"/>
      <c r="AD473" s="9"/>
      <c r="AE473" s="9"/>
      <c r="AF473" s="9"/>
    </row>
    <row r="474">
      <c r="A474" s="9"/>
      <c r="B474" s="9"/>
      <c r="C474" s="9"/>
      <c r="D474" s="9"/>
      <c r="E474" s="9"/>
      <c r="F474" s="9"/>
      <c r="G474" s="9"/>
      <c r="H474" s="9"/>
      <c r="I474" s="9"/>
      <c r="J474" s="9"/>
      <c r="K474" s="9"/>
      <c r="L474" s="9"/>
      <c r="M474" s="9"/>
      <c r="N474" s="9"/>
      <c r="O474" s="9"/>
      <c r="P474" s="9"/>
      <c r="Q474" s="9"/>
      <c r="R474" s="9"/>
      <c r="S474" s="9"/>
      <c r="T474" s="9"/>
      <c r="U474" s="9"/>
      <c r="V474" s="9"/>
      <c r="W474" s="9"/>
      <c r="X474" s="9"/>
      <c r="Y474" s="9"/>
      <c r="Z474" s="9"/>
      <c r="AA474" s="9"/>
      <c r="AB474" s="9"/>
      <c r="AC474" s="9"/>
      <c r="AD474" s="9"/>
      <c r="AE474" s="9"/>
      <c r="AF474" s="9"/>
    </row>
    <row r="475">
      <c r="A475" s="9"/>
      <c r="B475" s="9"/>
      <c r="C475" s="9"/>
      <c r="D475" s="9"/>
      <c r="E475" s="9"/>
      <c r="F475" s="9"/>
      <c r="G475" s="9"/>
      <c r="H475" s="9"/>
      <c r="I475" s="9"/>
      <c r="J475" s="9"/>
      <c r="K475" s="9"/>
      <c r="L475" s="9"/>
      <c r="M475" s="9"/>
      <c r="N475" s="9"/>
      <c r="O475" s="9"/>
      <c r="P475" s="9"/>
      <c r="Q475" s="9"/>
      <c r="R475" s="9"/>
      <c r="S475" s="9"/>
      <c r="T475" s="9"/>
      <c r="U475" s="9"/>
      <c r="V475" s="9"/>
      <c r="W475" s="9"/>
      <c r="X475" s="9"/>
      <c r="Y475" s="9"/>
      <c r="Z475" s="9"/>
      <c r="AA475" s="9"/>
      <c r="AB475" s="9"/>
      <c r="AC475" s="9"/>
      <c r="AD475" s="9"/>
      <c r="AE475" s="9"/>
      <c r="AF475" s="9"/>
    </row>
    <row r="476">
      <c r="A476" s="9"/>
      <c r="B476" s="9"/>
      <c r="C476" s="9"/>
      <c r="D476" s="9"/>
      <c r="E476" s="9"/>
      <c r="F476" s="9"/>
      <c r="G476" s="9"/>
      <c r="H476" s="9"/>
      <c r="I476" s="9"/>
      <c r="J476" s="9"/>
      <c r="K476" s="9"/>
      <c r="L476" s="9"/>
      <c r="M476" s="9"/>
      <c r="N476" s="9"/>
      <c r="O476" s="9"/>
      <c r="P476" s="9"/>
      <c r="Q476" s="9"/>
      <c r="R476" s="9"/>
      <c r="S476" s="9"/>
      <c r="T476" s="9"/>
      <c r="U476" s="9"/>
      <c r="V476" s="9"/>
      <c r="W476" s="9"/>
      <c r="X476" s="9"/>
      <c r="Y476" s="9"/>
      <c r="Z476" s="9"/>
      <c r="AA476" s="9"/>
      <c r="AB476" s="9"/>
      <c r="AC476" s="9"/>
      <c r="AD476" s="9"/>
      <c r="AE476" s="9"/>
      <c r="AF476" s="9"/>
    </row>
    <row r="477">
      <c r="A477" s="9"/>
      <c r="B477" s="9"/>
      <c r="C477" s="9"/>
      <c r="D477" s="9"/>
      <c r="E477" s="9"/>
      <c r="F477" s="9"/>
      <c r="G477" s="9"/>
      <c r="H477" s="9"/>
      <c r="I477" s="9"/>
      <c r="J477" s="9"/>
      <c r="K477" s="9"/>
      <c r="L477" s="9"/>
      <c r="M477" s="9"/>
      <c r="N477" s="9"/>
      <c r="O477" s="9"/>
      <c r="P477" s="9"/>
      <c r="Q477" s="9"/>
      <c r="R477" s="9"/>
      <c r="S477" s="9"/>
      <c r="T477" s="9"/>
      <c r="U477" s="9"/>
      <c r="V477" s="9"/>
      <c r="W477" s="9"/>
      <c r="X477" s="9"/>
      <c r="Y477" s="9"/>
      <c r="Z477" s="9"/>
      <c r="AA477" s="9"/>
      <c r="AB477" s="9"/>
      <c r="AC477" s="9"/>
      <c r="AD477" s="9"/>
      <c r="AE477" s="9"/>
      <c r="AF477" s="9"/>
    </row>
    <row r="478">
      <c r="A478" s="9"/>
      <c r="B478" s="9"/>
      <c r="C478" s="9"/>
      <c r="D478" s="9"/>
      <c r="E478" s="9"/>
      <c r="F478" s="9"/>
      <c r="G478" s="9"/>
      <c r="H478" s="9"/>
      <c r="I478" s="9"/>
      <c r="J478" s="9"/>
      <c r="K478" s="9"/>
      <c r="L478" s="9"/>
      <c r="M478" s="9"/>
      <c r="N478" s="9"/>
      <c r="O478" s="9"/>
      <c r="P478" s="9"/>
      <c r="Q478" s="9"/>
      <c r="R478" s="9"/>
      <c r="S478" s="9"/>
      <c r="T478" s="9"/>
      <c r="U478" s="9"/>
      <c r="V478" s="9"/>
      <c r="W478" s="9"/>
      <c r="X478" s="9"/>
      <c r="Y478" s="9"/>
      <c r="Z478" s="9"/>
      <c r="AA478" s="9"/>
      <c r="AB478" s="9"/>
      <c r="AC478" s="9"/>
      <c r="AD478" s="9"/>
      <c r="AE478" s="9"/>
      <c r="AF478" s="9"/>
    </row>
    <row r="479">
      <c r="A479" s="9"/>
      <c r="B479" s="9"/>
      <c r="C479" s="9"/>
      <c r="D479" s="9"/>
      <c r="E479" s="9"/>
      <c r="F479" s="9"/>
      <c r="G479" s="9"/>
      <c r="H479" s="9"/>
      <c r="I479" s="9"/>
      <c r="J479" s="9"/>
      <c r="K479" s="9"/>
      <c r="L479" s="9"/>
      <c r="M479" s="9"/>
      <c r="N479" s="9"/>
      <c r="O479" s="9"/>
      <c r="P479" s="9"/>
      <c r="Q479" s="9"/>
      <c r="R479" s="9"/>
      <c r="S479" s="9"/>
      <c r="T479" s="9"/>
      <c r="U479" s="9"/>
      <c r="V479" s="9"/>
      <c r="W479" s="9"/>
      <c r="X479" s="9"/>
      <c r="Y479" s="9"/>
      <c r="Z479" s="9"/>
      <c r="AA479" s="9"/>
      <c r="AB479" s="9"/>
      <c r="AC479" s="9"/>
      <c r="AD479" s="9"/>
      <c r="AE479" s="9"/>
      <c r="AF479" s="9"/>
    </row>
    <row r="480">
      <c r="A480" s="9"/>
      <c r="B480" s="9"/>
      <c r="C480" s="9"/>
      <c r="D480" s="9"/>
      <c r="E480" s="9"/>
      <c r="F480" s="9"/>
      <c r="G480" s="9"/>
      <c r="H480" s="9"/>
      <c r="I480" s="9"/>
      <c r="J480" s="9"/>
      <c r="K480" s="9"/>
      <c r="L480" s="9"/>
      <c r="M480" s="9"/>
      <c r="N480" s="9"/>
      <c r="O480" s="9"/>
      <c r="P480" s="9"/>
      <c r="Q480" s="9"/>
      <c r="R480" s="9"/>
      <c r="S480" s="9"/>
      <c r="T480" s="9"/>
      <c r="U480" s="9"/>
      <c r="V480" s="9"/>
      <c r="W480" s="9"/>
      <c r="X480" s="9"/>
      <c r="Y480" s="9"/>
      <c r="Z480" s="9"/>
      <c r="AA480" s="9"/>
      <c r="AB480" s="9"/>
      <c r="AC480" s="9"/>
      <c r="AD480" s="9"/>
      <c r="AE480" s="9"/>
      <c r="AF480" s="9"/>
    </row>
    <row r="481">
      <c r="A481" s="9"/>
      <c r="B481" s="9"/>
      <c r="C481" s="9"/>
      <c r="D481" s="9"/>
      <c r="E481" s="9"/>
      <c r="F481" s="9"/>
      <c r="G481" s="9"/>
      <c r="H481" s="9"/>
      <c r="I481" s="9"/>
      <c r="J481" s="9"/>
      <c r="K481" s="9"/>
      <c r="L481" s="9"/>
      <c r="M481" s="9"/>
      <c r="N481" s="9"/>
      <c r="O481" s="9"/>
      <c r="P481" s="9"/>
      <c r="Q481" s="9"/>
      <c r="R481" s="9"/>
      <c r="S481" s="9"/>
      <c r="T481" s="9"/>
      <c r="U481" s="9"/>
      <c r="V481" s="9"/>
      <c r="W481" s="9"/>
      <c r="X481" s="9"/>
      <c r="Y481" s="9"/>
      <c r="Z481" s="9"/>
      <c r="AA481" s="9"/>
      <c r="AB481" s="9"/>
      <c r="AC481" s="9"/>
      <c r="AD481" s="9"/>
      <c r="AE481" s="9"/>
      <c r="AF481" s="9"/>
    </row>
    <row r="482">
      <c r="A482" s="9"/>
      <c r="B482" s="9"/>
      <c r="C482" s="9"/>
      <c r="D482" s="9"/>
      <c r="E482" s="9"/>
      <c r="F482" s="9"/>
      <c r="G482" s="9"/>
      <c r="H482" s="9"/>
      <c r="I482" s="9"/>
      <c r="J482" s="9"/>
      <c r="K482" s="9"/>
      <c r="L482" s="9"/>
      <c r="M482" s="9"/>
      <c r="N482" s="9"/>
      <c r="O482" s="9"/>
      <c r="P482" s="9"/>
      <c r="Q482" s="9"/>
      <c r="R482" s="9"/>
      <c r="S482" s="9"/>
      <c r="T482" s="9"/>
      <c r="U482" s="9"/>
      <c r="V482" s="9"/>
      <c r="W482" s="9"/>
      <c r="X482" s="9"/>
      <c r="Y482" s="9"/>
      <c r="Z482" s="9"/>
      <c r="AA482" s="9"/>
      <c r="AB482" s="9"/>
      <c r="AC482" s="9"/>
      <c r="AD482" s="9"/>
      <c r="AE482" s="9"/>
      <c r="AF482" s="9"/>
    </row>
    <row r="483">
      <c r="A483" s="9"/>
      <c r="B483" s="9"/>
      <c r="C483" s="9"/>
      <c r="D483" s="9"/>
      <c r="E483" s="9"/>
      <c r="F483" s="9"/>
      <c r="G483" s="9"/>
      <c r="H483" s="9"/>
      <c r="I483" s="9"/>
      <c r="J483" s="9"/>
      <c r="K483" s="9"/>
      <c r="L483" s="9"/>
      <c r="M483" s="9"/>
      <c r="N483" s="9"/>
      <c r="O483" s="9"/>
      <c r="P483" s="9"/>
      <c r="Q483" s="9"/>
      <c r="R483" s="9"/>
      <c r="S483" s="9"/>
      <c r="T483" s="9"/>
      <c r="U483" s="9"/>
      <c r="V483" s="9"/>
      <c r="W483" s="9"/>
      <c r="X483" s="9"/>
      <c r="Y483" s="9"/>
      <c r="Z483" s="9"/>
      <c r="AA483" s="9"/>
      <c r="AB483" s="9"/>
      <c r="AC483" s="9"/>
      <c r="AD483" s="9"/>
      <c r="AE483" s="9"/>
      <c r="AF483" s="9"/>
    </row>
    <row r="484">
      <c r="A484" s="9"/>
      <c r="B484" s="9"/>
      <c r="C484" s="9"/>
      <c r="D484" s="9"/>
      <c r="E484" s="9"/>
      <c r="F484" s="9"/>
      <c r="G484" s="9"/>
      <c r="H484" s="9"/>
      <c r="I484" s="9"/>
      <c r="J484" s="9"/>
      <c r="K484" s="9"/>
      <c r="L484" s="9"/>
      <c r="M484" s="9"/>
      <c r="N484" s="9"/>
      <c r="O484" s="9"/>
      <c r="P484" s="9"/>
      <c r="Q484" s="9"/>
      <c r="R484" s="9"/>
      <c r="S484" s="9"/>
      <c r="T484" s="9"/>
      <c r="U484" s="9"/>
      <c r="V484" s="9"/>
      <c r="W484" s="9"/>
      <c r="X484" s="9"/>
      <c r="Y484" s="9"/>
      <c r="Z484" s="9"/>
      <c r="AA484" s="9"/>
      <c r="AB484" s="9"/>
      <c r="AC484" s="9"/>
      <c r="AD484" s="9"/>
      <c r="AE484" s="9"/>
      <c r="AF484" s="9"/>
    </row>
    <row r="485">
      <c r="A485" s="9"/>
      <c r="B485" s="9"/>
      <c r="C485" s="9"/>
      <c r="D485" s="9"/>
      <c r="E485" s="9"/>
      <c r="F485" s="9"/>
      <c r="G485" s="9"/>
      <c r="H485" s="9"/>
      <c r="I485" s="9"/>
      <c r="J485" s="9"/>
      <c r="K485" s="9"/>
      <c r="L485" s="9"/>
      <c r="M485" s="9"/>
      <c r="N485" s="9"/>
      <c r="O485" s="9"/>
      <c r="P485" s="9"/>
      <c r="Q485" s="9"/>
      <c r="R485" s="9"/>
      <c r="S485" s="9"/>
      <c r="T485" s="9"/>
      <c r="U485" s="9"/>
      <c r="V485" s="9"/>
      <c r="W485" s="9"/>
      <c r="X485" s="9"/>
      <c r="Y485" s="9"/>
      <c r="Z485" s="9"/>
      <c r="AA485" s="9"/>
      <c r="AB485" s="9"/>
      <c r="AC485" s="9"/>
      <c r="AD485" s="9"/>
      <c r="AE485" s="9"/>
      <c r="AF485" s="9"/>
    </row>
    <row r="486">
      <c r="A486" s="9"/>
      <c r="B486" s="9"/>
      <c r="C486" s="9"/>
      <c r="D486" s="9"/>
      <c r="E486" s="9"/>
      <c r="F486" s="9"/>
      <c r="G486" s="9"/>
      <c r="H486" s="9"/>
      <c r="I486" s="9"/>
      <c r="J486" s="9"/>
      <c r="K486" s="9"/>
      <c r="L486" s="9"/>
      <c r="M486" s="9"/>
      <c r="N486" s="9"/>
      <c r="O486" s="9"/>
      <c r="P486" s="9"/>
      <c r="Q486" s="9"/>
      <c r="R486" s="9"/>
      <c r="S486" s="9"/>
      <c r="T486" s="9"/>
      <c r="U486" s="9"/>
      <c r="V486" s="9"/>
      <c r="W486" s="9"/>
      <c r="X486" s="9"/>
      <c r="Y486" s="9"/>
      <c r="Z486" s="9"/>
      <c r="AA486" s="9"/>
      <c r="AB486" s="9"/>
      <c r="AC486" s="9"/>
      <c r="AD486" s="9"/>
      <c r="AE486" s="9"/>
      <c r="AF486" s="9"/>
    </row>
    <row r="487">
      <c r="A487" s="9"/>
      <c r="B487" s="9"/>
      <c r="C487" s="9"/>
      <c r="D487" s="9"/>
      <c r="E487" s="9"/>
      <c r="F487" s="9"/>
      <c r="G487" s="9"/>
      <c r="H487" s="9"/>
      <c r="I487" s="9"/>
      <c r="J487" s="9"/>
      <c r="K487" s="9"/>
      <c r="L487" s="9"/>
      <c r="M487" s="9"/>
      <c r="N487" s="9"/>
      <c r="O487" s="9"/>
      <c r="P487" s="9"/>
      <c r="Q487" s="9"/>
      <c r="R487" s="9"/>
      <c r="S487" s="9"/>
      <c r="T487" s="9"/>
      <c r="U487" s="9"/>
      <c r="V487" s="9"/>
      <c r="W487" s="9"/>
      <c r="X487" s="9"/>
      <c r="Y487" s="9"/>
      <c r="Z487" s="9"/>
      <c r="AA487" s="9"/>
      <c r="AB487" s="9"/>
      <c r="AC487" s="9"/>
      <c r="AD487" s="9"/>
      <c r="AE487" s="9"/>
      <c r="AF487" s="9"/>
    </row>
    <row r="488">
      <c r="A488" s="9"/>
      <c r="B488" s="9"/>
      <c r="C488" s="9"/>
      <c r="D488" s="9"/>
      <c r="E488" s="9"/>
      <c r="F488" s="9"/>
      <c r="G488" s="9"/>
      <c r="H488" s="9"/>
      <c r="I488" s="9"/>
      <c r="J488" s="9"/>
      <c r="K488" s="9"/>
      <c r="L488" s="9"/>
      <c r="M488" s="9"/>
      <c r="N488" s="9"/>
      <c r="O488" s="9"/>
      <c r="P488" s="9"/>
      <c r="Q488" s="9"/>
      <c r="R488" s="9"/>
      <c r="S488" s="9"/>
      <c r="T488" s="9"/>
      <c r="U488" s="9"/>
      <c r="V488" s="9"/>
      <c r="W488" s="9"/>
      <c r="X488" s="9"/>
      <c r="Y488" s="9"/>
      <c r="Z488" s="9"/>
      <c r="AA488" s="9"/>
      <c r="AB488" s="9"/>
      <c r="AC488" s="9"/>
      <c r="AD488" s="9"/>
      <c r="AE488" s="9"/>
      <c r="AF488" s="9"/>
    </row>
    <row r="489">
      <c r="A489" s="9"/>
      <c r="B489" s="9"/>
      <c r="C489" s="9"/>
      <c r="D489" s="9"/>
      <c r="E489" s="9"/>
      <c r="F489" s="9"/>
      <c r="G489" s="9"/>
      <c r="H489" s="9"/>
      <c r="I489" s="9"/>
      <c r="J489" s="9"/>
      <c r="K489" s="9"/>
      <c r="L489" s="9"/>
      <c r="M489" s="9"/>
      <c r="N489" s="9"/>
      <c r="O489" s="9"/>
      <c r="P489" s="9"/>
      <c r="Q489" s="9"/>
      <c r="R489" s="9"/>
      <c r="S489" s="9"/>
      <c r="T489" s="9"/>
      <c r="U489" s="9"/>
      <c r="V489" s="9"/>
      <c r="W489" s="9"/>
      <c r="X489" s="9"/>
      <c r="Y489" s="9"/>
      <c r="Z489" s="9"/>
      <c r="AA489" s="9"/>
      <c r="AB489" s="9"/>
      <c r="AC489" s="9"/>
      <c r="AD489" s="9"/>
      <c r="AE489" s="9"/>
      <c r="AF489" s="9"/>
    </row>
    <row r="490">
      <c r="A490" s="9"/>
      <c r="B490" s="9"/>
      <c r="C490" s="9"/>
      <c r="D490" s="9"/>
      <c r="E490" s="9"/>
      <c r="F490" s="9"/>
      <c r="G490" s="9"/>
      <c r="H490" s="9"/>
      <c r="I490" s="9"/>
      <c r="J490" s="9"/>
      <c r="K490" s="9"/>
      <c r="L490" s="9"/>
      <c r="M490" s="9"/>
      <c r="N490" s="9"/>
      <c r="O490" s="9"/>
      <c r="P490" s="9"/>
      <c r="Q490" s="9"/>
      <c r="R490" s="9"/>
      <c r="S490" s="9"/>
      <c r="T490" s="9"/>
      <c r="U490" s="9"/>
      <c r="V490" s="9"/>
      <c r="W490" s="9"/>
      <c r="X490" s="9"/>
      <c r="Y490" s="9"/>
      <c r="Z490" s="9"/>
      <c r="AA490" s="9"/>
      <c r="AB490" s="9"/>
      <c r="AC490" s="9"/>
      <c r="AD490" s="9"/>
      <c r="AE490" s="9"/>
      <c r="AF490" s="9"/>
    </row>
    <row r="491">
      <c r="A491" s="9"/>
      <c r="B491" s="9"/>
      <c r="C491" s="9"/>
      <c r="D491" s="9"/>
      <c r="E491" s="9"/>
      <c r="F491" s="9"/>
      <c r="G491" s="9"/>
      <c r="H491" s="9"/>
      <c r="I491" s="9"/>
      <c r="J491" s="9"/>
      <c r="K491" s="9"/>
      <c r="L491" s="9"/>
      <c r="M491" s="9"/>
      <c r="N491" s="9"/>
      <c r="O491" s="9"/>
      <c r="P491" s="9"/>
      <c r="Q491" s="9"/>
      <c r="R491" s="9"/>
      <c r="S491" s="9"/>
      <c r="T491" s="9"/>
      <c r="U491" s="9"/>
      <c r="V491" s="9"/>
      <c r="W491" s="9"/>
      <c r="X491" s="9"/>
      <c r="Y491" s="9"/>
      <c r="Z491" s="9"/>
      <c r="AA491" s="9"/>
      <c r="AB491" s="9"/>
      <c r="AC491" s="9"/>
      <c r="AD491" s="9"/>
      <c r="AE491" s="9"/>
      <c r="AF491" s="9"/>
    </row>
    <row r="492">
      <c r="A492" s="9"/>
      <c r="B492" s="9"/>
      <c r="C492" s="9"/>
      <c r="D492" s="9"/>
      <c r="E492" s="9"/>
      <c r="F492" s="9"/>
      <c r="G492" s="9"/>
      <c r="H492" s="9"/>
      <c r="I492" s="9"/>
      <c r="J492" s="9"/>
      <c r="K492" s="9"/>
      <c r="L492" s="9"/>
      <c r="M492" s="9"/>
      <c r="N492" s="9"/>
      <c r="O492" s="9"/>
      <c r="P492" s="9"/>
      <c r="Q492" s="9"/>
      <c r="R492" s="9"/>
      <c r="S492" s="9"/>
      <c r="T492" s="9"/>
      <c r="U492" s="9"/>
      <c r="V492" s="9"/>
      <c r="W492" s="9"/>
      <c r="X492" s="9"/>
      <c r="Y492" s="9"/>
      <c r="Z492" s="9"/>
      <c r="AA492" s="9"/>
      <c r="AB492" s="9"/>
      <c r="AC492" s="9"/>
      <c r="AD492" s="9"/>
      <c r="AE492" s="9"/>
      <c r="AF492" s="9"/>
    </row>
    <row r="493">
      <c r="A493" s="9"/>
      <c r="B493" s="9"/>
      <c r="C493" s="9"/>
      <c r="D493" s="9"/>
      <c r="E493" s="9"/>
      <c r="F493" s="9"/>
      <c r="G493" s="9"/>
      <c r="H493" s="9"/>
      <c r="I493" s="9"/>
      <c r="J493" s="9"/>
      <c r="K493" s="9"/>
      <c r="L493" s="9"/>
      <c r="M493" s="9"/>
      <c r="N493" s="9"/>
      <c r="O493" s="9"/>
      <c r="P493" s="9"/>
      <c r="Q493" s="9"/>
      <c r="R493" s="9"/>
      <c r="S493" s="9"/>
      <c r="T493" s="9"/>
      <c r="U493" s="9"/>
      <c r="V493" s="9"/>
      <c r="W493" s="9"/>
      <c r="X493" s="9"/>
      <c r="Y493" s="9"/>
      <c r="Z493" s="9"/>
      <c r="AA493" s="9"/>
      <c r="AB493" s="9"/>
      <c r="AC493" s="9"/>
      <c r="AD493" s="9"/>
      <c r="AE493" s="9"/>
      <c r="AF493" s="9"/>
    </row>
    <row r="494">
      <c r="A494" s="9"/>
      <c r="B494" s="9"/>
      <c r="C494" s="9"/>
      <c r="D494" s="9"/>
      <c r="E494" s="9"/>
      <c r="F494" s="9"/>
      <c r="G494" s="9"/>
      <c r="H494" s="9"/>
      <c r="I494" s="9"/>
      <c r="J494" s="9"/>
      <c r="K494" s="9"/>
      <c r="L494" s="9"/>
      <c r="M494" s="9"/>
      <c r="N494" s="9"/>
      <c r="O494" s="9"/>
      <c r="P494" s="9"/>
      <c r="Q494" s="9"/>
      <c r="R494" s="9"/>
      <c r="S494" s="9"/>
      <c r="T494" s="9"/>
      <c r="U494" s="9"/>
      <c r="V494" s="9"/>
      <c r="W494" s="9"/>
      <c r="X494" s="9"/>
      <c r="Y494" s="9"/>
      <c r="Z494" s="9"/>
      <c r="AA494" s="9"/>
      <c r="AB494" s="9"/>
      <c r="AC494" s="9"/>
      <c r="AD494" s="9"/>
      <c r="AE494" s="9"/>
      <c r="AF494" s="9"/>
    </row>
    <row r="495">
      <c r="A495" s="9"/>
      <c r="B495" s="9"/>
      <c r="C495" s="9"/>
      <c r="D495" s="9"/>
      <c r="E495" s="9"/>
      <c r="F495" s="9"/>
      <c r="G495" s="9"/>
      <c r="H495" s="9"/>
      <c r="I495" s="9"/>
      <c r="J495" s="9"/>
      <c r="K495" s="9"/>
      <c r="L495" s="9"/>
      <c r="M495" s="9"/>
      <c r="N495" s="9"/>
      <c r="O495" s="9"/>
      <c r="P495" s="9"/>
      <c r="Q495" s="9"/>
      <c r="R495" s="9"/>
      <c r="S495" s="9"/>
      <c r="T495" s="9"/>
      <c r="U495" s="9"/>
      <c r="V495" s="9"/>
      <c r="W495" s="9"/>
      <c r="X495" s="9"/>
      <c r="Y495" s="9"/>
      <c r="Z495" s="9"/>
      <c r="AA495" s="9"/>
      <c r="AB495" s="9"/>
      <c r="AC495" s="9"/>
      <c r="AD495" s="9"/>
      <c r="AE495" s="9"/>
      <c r="AF495" s="9"/>
    </row>
    <row r="496">
      <c r="A496" s="9"/>
      <c r="B496" s="9"/>
      <c r="C496" s="9"/>
      <c r="D496" s="9"/>
      <c r="E496" s="9"/>
      <c r="F496" s="9"/>
      <c r="G496" s="9"/>
      <c r="H496" s="9"/>
      <c r="I496" s="9"/>
      <c r="J496" s="9"/>
      <c r="K496" s="9"/>
      <c r="L496" s="9"/>
      <c r="M496" s="9"/>
      <c r="N496" s="9"/>
      <c r="O496" s="9"/>
      <c r="P496" s="9"/>
      <c r="Q496" s="9"/>
      <c r="R496" s="9"/>
      <c r="S496" s="9"/>
      <c r="T496" s="9"/>
      <c r="U496" s="9"/>
      <c r="V496" s="9"/>
      <c r="W496" s="9"/>
      <c r="X496" s="9"/>
      <c r="Y496" s="9"/>
      <c r="Z496" s="9"/>
      <c r="AA496" s="9"/>
      <c r="AB496" s="9"/>
      <c r="AC496" s="9"/>
      <c r="AD496" s="9"/>
      <c r="AE496" s="9"/>
      <c r="AF496" s="9"/>
    </row>
    <row r="497">
      <c r="A497" s="9"/>
      <c r="B497" s="9"/>
      <c r="C497" s="9"/>
      <c r="D497" s="9"/>
      <c r="E497" s="9"/>
      <c r="F497" s="9"/>
      <c r="G497" s="9"/>
      <c r="H497" s="9"/>
      <c r="I497" s="9"/>
      <c r="J497" s="9"/>
      <c r="K497" s="9"/>
      <c r="L497" s="9"/>
      <c r="M497" s="9"/>
      <c r="N497" s="9"/>
      <c r="O497" s="9"/>
      <c r="P497" s="9"/>
      <c r="Q497" s="9"/>
      <c r="R497" s="9"/>
      <c r="S497" s="9"/>
      <c r="T497" s="9"/>
      <c r="U497" s="9"/>
      <c r="V497" s="9"/>
      <c r="W497" s="9"/>
      <c r="X497" s="9"/>
      <c r="Y497" s="9"/>
      <c r="Z497" s="9"/>
      <c r="AA497" s="9"/>
      <c r="AB497" s="9"/>
      <c r="AC497" s="9"/>
      <c r="AD497" s="9"/>
      <c r="AE497" s="9"/>
      <c r="AF497" s="9"/>
    </row>
    <row r="498">
      <c r="A498" s="9"/>
      <c r="B498" s="9"/>
      <c r="C498" s="9"/>
      <c r="D498" s="9"/>
      <c r="E498" s="9"/>
      <c r="F498" s="9"/>
      <c r="G498" s="9"/>
      <c r="H498" s="9"/>
      <c r="I498" s="9"/>
      <c r="J498" s="9"/>
      <c r="K498" s="9"/>
      <c r="L498" s="9"/>
      <c r="M498" s="9"/>
      <c r="N498" s="9"/>
      <c r="O498" s="9"/>
      <c r="P498" s="9"/>
      <c r="Q498" s="9"/>
      <c r="R498" s="9"/>
      <c r="S498" s="9"/>
      <c r="T498" s="9"/>
      <c r="U498" s="9"/>
      <c r="V498" s="9"/>
      <c r="W498" s="9"/>
      <c r="X498" s="9"/>
      <c r="Y498" s="9"/>
      <c r="Z498" s="9"/>
      <c r="AA498" s="9"/>
      <c r="AB498" s="9"/>
      <c r="AC498" s="9"/>
      <c r="AD498" s="9"/>
      <c r="AE498" s="9"/>
      <c r="AF498" s="9"/>
    </row>
    <row r="499">
      <c r="A499" s="9"/>
      <c r="B499" s="9"/>
      <c r="C499" s="9"/>
      <c r="D499" s="9"/>
      <c r="E499" s="9"/>
      <c r="F499" s="9"/>
      <c r="G499" s="9"/>
      <c r="H499" s="9"/>
      <c r="I499" s="9"/>
      <c r="J499" s="9"/>
      <c r="K499" s="9"/>
      <c r="L499" s="9"/>
      <c r="M499" s="9"/>
      <c r="N499" s="9"/>
      <c r="O499" s="9"/>
      <c r="P499" s="9"/>
      <c r="Q499" s="9"/>
      <c r="R499" s="9"/>
      <c r="S499" s="9"/>
      <c r="T499" s="9"/>
      <c r="U499" s="9"/>
      <c r="V499" s="9"/>
      <c r="W499" s="9"/>
      <c r="X499" s="9"/>
      <c r="Y499" s="9"/>
      <c r="Z499" s="9"/>
      <c r="AA499" s="9"/>
      <c r="AB499" s="9"/>
      <c r="AC499" s="9"/>
      <c r="AD499" s="9"/>
      <c r="AE499" s="9"/>
      <c r="AF499" s="9"/>
    </row>
    <row r="500">
      <c r="A500" s="9"/>
      <c r="B500" s="9"/>
      <c r="C500" s="9"/>
      <c r="D500" s="9"/>
      <c r="E500" s="9"/>
      <c r="F500" s="9"/>
      <c r="G500" s="9"/>
      <c r="H500" s="9"/>
      <c r="I500" s="9"/>
      <c r="J500" s="9"/>
      <c r="K500" s="9"/>
      <c r="L500" s="9"/>
      <c r="M500" s="9"/>
      <c r="N500" s="9"/>
      <c r="O500" s="9"/>
      <c r="P500" s="9"/>
      <c r="Q500" s="9"/>
      <c r="R500" s="9"/>
      <c r="S500" s="9"/>
      <c r="T500" s="9"/>
      <c r="U500" s="9"/>
      <c r="V500" s="9"/>
      <c r="W500" s="9"/>
      <c r="X500" s="9"/>
      <c r="Y500" s="9"/>
      <c r="Z500" s="9"/>
      <c r="AA500" s="9"/>
      <c r="AB500" s="9"/>
      <c r="AC500" s="9"/>
      <c r="AD500" s="9"/>
      <c r="AE500" s="9"/>
      <c r="AF500" s="9"/>
    </row>
    <row r="501">
      <c r="A501" s="9"/>
      <c r="B501" s="9"/>
      <c r="C501" s="9"/>
      <c r="D501" s="9"/>
      <c r="E501" s="9"/>
      <c r="F501" s="9"/>
      <c r="G501" s="9"/>
      <c r="H501" s="9"/>
      <c r="I501" s="9"/>
      <c r="J501" s="9"/>
      <c r="K501" s="9"/>
      <c r="L501" s="9"/>
      <c r="M501" s="9"/>
      <c r="N501" s="9"/>
      <c r="O501" s="9"/>
      <c r="P501" s="9"/>
      <c r="Q501" s="9"/>
      <c r="R501" s="9"/>
      <c r="S501" s="9"/>
      <c r="T501" s="9"/>
      <c r="U501" s="9"/>
      <c r="V501" s="9"/>
      <c r="W501" s="9"/>
      <c r="X501" s="9"/>
      <c r="Y501" s="9"/>
      <c r="Z501" s="9"/>
      <c r="AA501" s="9"/>
      <c r="AB501" s="9"/>
      <c r="AC501" s="9"/>
      <c r="AD501" s="9"/>
      <c r="AE501" s="9"/>
      <c r="AF501" s="9"/>
    </row>
    <row r="502">
      <c r="A502" s="9"/>
      <c r="B502" s="9"/>
      <c r="C502" s="9"/>
      <c r="D502" s="9"/>
      <c r="E502" s="9"/>
      <c r="F502" s="9"/>
      <c r="G502" s="9"/>
      <c r="H502" s="9"/>
      <c r="I502" s="9"/>
      <c r="J502" s="9"/>
      <c r="K502" s="9"/>
      <c r="L502" s="9"/>
      <c r="M502" s="9"/>
      <c r="N502" s="9"/>
      <c r="O502" s="9"/>
      <c r="P502" s="9"/>
      <c r="Q502" s="9"/>
      <c r="R502" s="9"/>
      <c r="S502" s="9"/>
      <c r="T502" s="9"/>
      <c r="U502" s="9"/>
      <c r="V502" s="9"/>
      <c r="W502" s="9"/>
      <c r="X502" s="9"/>
      <c r="Y502" s="9"/>
      <c r="Z502" s="9"/>
      <c r="AA502" s="9"/>
      <c r="AB502" s="9"/>
      <c r="AC502" s="9"/>
      <c r="AD502" s="9"/>
      <c r="AE502" s="9"/>
      <c r="AF502" s="9"/>
    </row>
    <row r="503">
      <c r="A503" s="9"/>
      <c r="B503" s="9"/>
      <c r="C503" s="9"/>
      <c r="D503" s="9"/>
      <c r="E503" s="9"/>
      <c r="F503" s="9"/>
      <c r="G503" s="9"/>
      <c r="H503" s="9"/>
      <c r="I503" s="9"/>
      <c r="J503" s="9"/>
      <c r="K503" s="9"/>
      <c r="L503" s="9"/>
      <c r="M503" s="9"/>
      <c r="N503" s="9"/>
      <c r="O503" s="9"/>
      <c r="P503" s="9"/>
      <c r="Q503" s="9"/>
      <c r="R503" s="9"/>
      <c r="S503" s="9"/>
      <c r="T503" s="9"/>
      <c r="U503" s="9"/>
      <c r="V503" s="9"/>
      <c r="W503" s="9"/>
      <c r="X503" s="9"/>
      <c r="Y503" s="9"/>
      <c r="Z503" s="9"/>
      <c r="AA503" s="9"/>
      <c r="AB503" s="9"/>
      <c r="AC503" s="9"/>
      <c r="AD503" s="9"/>
      <c r="AE503" s="9"/>
      <c r="AF503" s="9"/>
    </row>
    <row r="504">
      <c r="A504" s="9"/>
      <c r="B504" s="9"/>
      <c r="C504" s="9"/>
      <c r="D504" s="9"/>
      <c r="E504" s="9"/>
      <c r="F504" s="9"/>
      <c r="G504" s="9"/>
      <c r="H504" s="9"/>
      <c r="I504" s="9"/>
      <c r="J504" s="9"/>
      <c r="K504" s="9"/>
      <c r="L504" s="9"/>
      <c r="M504" s="9"/>
      <c r="N504" s="9"/>
      <c r="O504" s="9"/>
      <c r="P504" s="9"/>
      <c r="Q504" s="9"/>
      <c r="R504" s="9"/>
      <c r="S504" s="9"/>
      <c r="T504" s="9"/>
      <c r="U504" s="9"/>
      <c r="V504" s="9"/>
      <c r="W504" s="9"/>
      <c r="X504" s="9"/>
      <c r="Y504" s="9"/>
      <c r="Z504" s="9"/>
      <c r="AA504" s="9"/>
      <c r="AB504" s="9"/>
      <c r="AC504" s="9"/>
      <c r="AD504" s="9"/>
      <c r="AE504" s="9"/>
      <c r="AF504" s="9"/>
    </row>
    <row r="505">
      <c r="A505" s="9"/>
      <c r="B505" s="9"/>
      <c r="C505" s="9"/>
      <c r="D505" s="9"/>
      <c r="E505" s="9"/>
      <c r="F505" s="9"/>
      <c r="G505" s="9"/>
      <c r="H505" s="9"/>
      <c r="I505" s="9"/>
      <c r="J505" s="9"/>
      <c r="K505" s="9"/>
      <c r="L505" s="9"/>
      <c r="M505" s="9"/>
      <c r="N505" s="9"/>
      <c r="O505" s="9"/>
      <c r="P505" s="9"/>
      <c r="Q505" s="9"/>
      <c r="R505" s="9"/>
      <c r="S505" s="9"/>
      <c r="T505" s="9"/>
      <c r="U505" s="9"/>
      <c r="V505" s="9"/>
      <c r="W505" s="9"/>
      <c r="X505" s="9"/>
      <c r="Y505" s="9"/>
      <c r="Z505" s="9"/>
      <c r="AA505" s="9"/>
      <c r="AB505" s="9"/>
      <c r="AC505" s="9"/>
      <c r="AD505" s="9"/>
      <c r="AE505" s="9"/>
      <c r="AF505" s="9"/>
    </row>
    <row r="506">
      <c r="A506" s="9"/>
      <c r="B506" s="9"/>
      <c r="C506" s="9"/>
      <c r="D506" s="9"/>
      <c r="E506" s="9"/>
      <c r="F506" s="9"/>
      <c r="G506" s="9"/>
      <c r="H506" s="9"/>
      <c r="I506" s="9"/>
      <c r="J506" s="9"/>
      <c r="K506" s="9"/>
      <c r="L506" s="9"/>
      <c r="M506" s="9"/>
      <c r="N506" s="9"/>
      <c r="O506" s="9"/>
      <c r="P506" s="9"/>
      <c r="Q506" s="9"/>
      <c r="R506" s="9"/>
      <c r="S506" s="9"/>
      <c r="T506" s="9"/>
      <c r="U506" s="9"/>
      <c r="V506" s="9"/>
      <c r="W506" s="9"/>
      <c r="X506" s="9"/>
      <c r="Y506" s="9"/>
      <c r="Z506" s="9"/>
      <c r="AA506" s="9"/>
      <c r="AB506" s="9"/>
      <c r="AC506" s="9"/>
      <c r="AD506" s="9"/>
      <c r="AE506" s="9"/>
      <c r="AF506" s="9"/>
    </row>
    <row r="507">
      <c r="A507" s="9"/>
      <c r="B507" s="9"/>
      <c r="C507" s="9"/>
      <c r="D507" s="9"/>
      <c r="E507" s="9"/>
      <c r="F507" s="9"/>
      <c r="G507" s="9"/>
      <c r="H507" s="9"/>
      <c r="I507" s="9"/>
      <c r="J507" s="9"/>
      <c r="K507" s="9"/>
      <c r="L507" s="9"/>
      <c r="M507" s="9"/>
      <c r="N507" s="9"/>
      <c r="O507" s="9"/>
      <c r="P507" s="9"/>
      <c r="Q507" s="9"/>
      <c r="R507" s="9"/>
      <c r="S507" s="9"/>
      <c r="T507" s="9"/>
      <c r="U507" s="9"/>
      <c r="V507" s="9"/>
      <c r="W507" s="9"/>
      <c r="X507" s="9"/>
      <c r="Y507" s="9"/>
      <c r="Z507" s="9"/>
      <c r="AA507" s="9"/>
      <c r="AB507" s="9"/>
      <c r="AC507" s="9"/>
      <c r="AD507" s="9"/>
      <c r="AE507" s="9"/>
      <c r="AF507" s="9"/>
    </row>
    <row r="508">
      <c r="A508" s="9"/>
      <c r="B508" s="9"/>
      <c r="C508" s="9"/>
      <c r="D508" s="9"/>
      <c r="E508" s="9"/>
      <c r="F508" s="9"/>
      <c r="G508" s="9"/>
      <c r="H508" s="9"/>
      <c r="I508" s="9"/>
      <c r="J508" s="9"/>
      <c r="K508" s="9"/>
      <c r="L508" s="9"/>
      <c r="M508" s="9"/>
      <c r="N508" s="9"/>
      <c r="O508" s="9"/>
      <c r="P508" s="9"/>
      <c r="Q508" s="9"/>
      <c r="R508" s="9"/>
      <c r="S508" s="9"/>
      <c r="T508" s="9"/>
      <c r="U508" s="9"/>
      <c r="V508" s="9"/>
      <c r="W508" s="9"/>
      <c r="X508" s="9"/>
      <c r="Y508" s="9"/>
      <c r="Z508" s="9"/>
      <c r="AA508" s="9"/>
      <c r="AB508" s="9"/>
      <c r="AC508" s="9"/>
      <c r="AD508" s="9"/>
      <c r="AE508" s="9"/>
      <c r="AF508" s="9"/>
    </row>
    <row r="509">
      <c r="A509" s="9"/>
      <c r="B509" s="9"/>
      <c r="C509" s="9"/>
      <c r="D509" s="9"/>
      <c r="E509" s="9"/>
      <c r="F509" s="9"/>
      <c r="G509" s="9"/>
      <c r="H509" s="9"/>
      <c r="I509" s="9"/>
      <c r="J509" s="9"/>
      <c r="K509" s="9"/>
      <c r="L509" s="9"/>
      <c r="M509" s="9"/>
      <c r="N509" s="9"/>
      <c r="O509" s="9"/>
      <c r="P509" s="9"/>
      <c r="Q509" s="9"/>
      <c r="R509" s="9"/>
      <c r="S509" s="9"/>
      <c r="T509" s="9"/>
      <c r="U509" s="9"/>
      <c r="V509" s="9"/>
      <c r="W509" s="9"/>
      <c r="X509" s="9"/>
      <c r="Y509" s="9"/>
      <c r="Z509" s="9"/>
      <c r="AA509" s="9"/>
      <c r="AB509" s="9"/>
      <c r="AC509" s="9"/>
      <c r="AD509" s="9"/>
      <c r="AE509" s="9"/>
      <c r="AF509" s="9"/>
    </row>
    <row r="510">
      <c r="A510" s="9"/>
      <c r="B510" s="9"/>
      <c r="C510" s="9"/>
      <c r="D510" s="9"/>
      <c r="E510" s="9"/>
      <c r="F510" s="9"/>
      <c r="G510" s="9"/>
      <c r="H510" s="9"/>
      <c r="I510" s="9"/>
      <c r="J510" s="9"/>
      <c r="K510" s="9"/>
      <c r="L510" s="9"/>
      <c r="M510" s="9"/>
      <c r="N510" s="9"/>
      <c r="O510" s="9"/>
      <c r="P510" s="9"/>
      <c r="Q510" s="9"/>
      <c r="R510" s="9"/>
      <c r="S510" s="9"/>
      <c r="T510" s="9"/>
      <c r="U510" s="9"/>
      <c r="V510" s="9"/>
      <c r="W510" s="9"/>
      <c r="X510" s="9"/>
      <c r="Y510" s="9"/>
      <c r="Z510" s="9"/>
      <c r="AA510" s="9"/>
      <c r="AB510" s="9"/>
      <c r="AC510" s="9"/>
      <c r="AD510" s="9"/>
      <c r="AE510" s="9"/>
      <c r="AF510" s="9"/>
    </row>
    <row r="511">
      <c r="A511" s="9"/>
      <c r="B511" s="9"/>
      <c r="C511" s="9"/>
      <c r="D511" s="9"/>
      <c r="E511" s="9"/>
      <c r="F511" s="9"/>
      <c r="G511" s="9"/>
      <c r="H511" s="9"/>
      <c r="I511" s="9"/>
      <c r="J511" s="9"/>
      <c r="K511" s="9"/>
      <c r="L511" s="9"/>
      <c r="M511" s="9"/>
      <c r="N511" s="9"/>
      <c r="O511" s="9"/>
      <c r="P511" s="9"/>
      <c r="Q511" s="9"/>
      <c r="R511" s="9"/>
      <c r="S511" s="9"/>
      <c r="T511" s="9"/>
      <c r="U511" s="9"/>
      <c r="V511" s="9"/>
      <c r="W511" s="9"/>
      <c r="X511" s="9"/>
      <c r="Y511" s="9"/>
      <c r="Z511" s="9"/>
      <c r="AA511" s="9"/>
      <c r="AB511" s="9"/>
      <c r="AC511" s="9"/>
      <c r="AD511" s="9"/>
      <c r="AE511" s="9"/>
      <c r="AF511" s="9"/>
    </row>
    <row r="512">
      <c r="A512" s="9"/>
      <c r="B512" s="9"/>
      <c r="C512" s="9"/>
      <c r="D512" s="9"/>
      <c r="E512" s="9"/>
      <c r="F512" s="9"/>
      <c r="G512" s="9"/>
      <c r="H512" s="9"/>
      <c r="I512" s="9"/>
      <c r="J512" s="9"/>
      <c r="K512" s="9"/>
      <c r="L512" s="9"/>
      <c r="M512" s="9"/>
      <c r="N512" s="9"/>
      <c r="O512" s="9"/>
      <c r="P512" s="9"/>
      <c r="Q512" s="9"/>
      <c r="R512" s="9"/>
      <c r="S512" s="9"/>
      <c r="T512" s="9"/>
      <c r="U512" s="9"/>
      <c r="V512" s="9"/>
      <c r="W512" s="9"/>
      <c r="X512" s="9"/>
      <c r="Y512" s="9"/>
      <c r="Z512" s="9"/>
      <c r="AA512" s="9"/>
      <c r="AB512" s="9"/>
      <c r="AC512" s="9"/>
      <c r="AD512" s="9"/>
      <c r="AE512" s="9"/>
      <c r="AF512" s="9"/>
    </row>
    <row r="513">
      <c r="A513" s="9"/>
      <c r="B513" s="9"/>
      <c r="C513" s="9"/>
      <c r="D513" s="9"/>
      <c r="E513" s="9"/>
      <c r="F513" s="9"/>
      <c r="G513" s="9"/>
      <c r="H513" s="9"/>
      <c r="I513" s="9"/>
      <c r="J513" s="9"/>
      <c r="K513" s="9"/>
      <c r="L513" s="9"/>
      <c r="M513" s="9"/>
      <c r="N513" s="9"/>
      <c r="O513" s="9"/>
      <c r="P513" s="9"/>
      <c r="Q513" s="9"/>
      <c r="R513" s="9"/>
      <c r="S513" s="9"/>
      <c r="T513" s="9"/>
      <c r="U513" s="9"/>
      <c r="V513" s="9"/>
      <c r="W513" s="9"/>
      <c r="X513" s="9"/>
      <c r="Y513" s="9"/>
      <c r="Z513" s="9"/>
      <c r="AA513" s="9"/>
      <c r="AB513" s="9"/>
      <c r="AC513" s="9"/>
      <c r="AD513" s="9"/>
      <c r="AE513" s="9"/>
      <c r="AF513" s="9"/>
    </row>
    <row r="514">
      <c r="A514" s="9"/>
      <c r="B514" s="9"/>
      <c r="C514" s="9"/>
      <c r="D514" s="9"/>
      <c r="E514" s="9"/>
      <c r="F514" s="9"/>
      <c r="G514" s="9"/>
      <c r="H514" s="9"/>
      <c r="I514" s="9"/>
      <c r="J514" s="9"/>
      <c r="K514" s="9"/>
      <c r="L514" s="9"/>
      <c r="M514" s="9"/>
      <c r="N514" s="9"/>
      <c r="O514" s="9"/>
      <c r="P514" s="9"/>
      <c r="Q514" s="9"/>
      <c r="R514" s="9"/>
      <c r="S514" s="9"/>
      <c r="T514" s="9"/>
      <c r="U514" s="9"/>
      <c r="V514" s="9"/>
      <c r="W514" s="9"/>
      <c r="X514" s="9"/>
      <c r="Y514" s="9"/>
      <c r="Z514" s="9"/>
      <c r="AA514" s="9"/>
      <c r="AB514" s="9"/>
      <c r="AC514" s="9"/>
      <c r="AD514" s="9"/>
      <c r="AE514" s="9"/>
      <c r="AF514" s="9"/>
    </row>
    <row r="515">
      <c r="A515" s="9"/>
      <c r="B515" s="9"/>
      <c r="C515" s="9"/>
      <c r="D515" s="9"/>
      <c r="E515" s="9"/>
      <c r="F515" s="9"/>
      <c r="G515" s="9"/>
      <c r="H515" s="9"/>
      <c r="I515" s="9"/>
      <c r="J515" s="9"/>
      <c r="K515" s="9"/>
      <c r="L515" s="9"/>
      <c r="M515" s="9"/>
      <c r="N515" s="9"/>
      <c r="O515" s="9"/>
      <c r="P515" s="9"/>
      <c r="Q515" s="9"/>
      <c r="R515" s="9"/>
      <c r="S515" s="9"/>
      <c r="T515" s="9"/>
      <c r="U515" s="9"/>
      <c r="V515" s="9"/>
      <c r="W515" s="9"/>
      <c r="X515" s="9"/>
      <c r="Y515" s="9"/>
      <c r="Z515" s="9"/>
      <c r="AA515" s="9"/>
      <c r="AB515" s="9"/>
      <c r="AC515" s="9"/>
      <c r="AD515" s="9"/>
      <c r="AE515" s="9"/>
      <c r="AF515" s="9"/>
    </row>
    <row r="516">
      <c r="A516" s="9"/>
      <c r="B516" s="9"/>
      <c r="C516" s="9"/>
      <c r="D516" s="9"/>
      <c r="E516" s="9"/>
      <c r="F516" s="9"/>
      <c r="G516" s="9"/>
      <c r="H516" s="9"/>
      <c r="I516" s="9"/>
      <c r="J516" s="9"/>
      <c r="K516" s="9"/>
      <c r="L516" s="9"/>
      <c r="M516" s="9"/>
      <c r="N516" s="9"/>
      <c r="O516" s="9"/>
      <c r="P516" s="9"/>
      <c r="Q516" s="9"/>
      <c r="R516" s="9"/>
      <c r="S516" s="9"/>
      <c r="T516" s="9"/>
      <c r="U516" s="9"/>
      <c r="V516" s="9"/>
      <c r="W516" s="9"/>
      <c r="X516" s="9"/>
      <c r="Y516" s="9"/>
      <c r="Z516" s="9"/>
      <c r="AA516" s="9"/>
      <c r="AB516" s="9"/>
      <c r="AC516" s="9"/>
      <c r="AD516" s="9"/>
      <c r="AE516" s="9"/>
      <c r="AF516" s="9"/>
    </row>
    <row r="517">
      <c r="A517" s="9"/>
      <c r="B517" s="9"/>
      <c r="C517" s="9"/>
      <c r="D517" s="9"/>
      <c r="E517" s="9"/>
      <c r="F517" s="9"/>
      <c r="G517" s="9"/>
      <c r="H517" s="9"/>
      <c r="I517" s="9"/>
      <c r="J517" s="9"/>
      <c r="K517" s="9"/>
      <c r="L517" s="9"/>
      <c r="M517" s="9"/>
      <c r="N517" s="9"/>
      <c r="O517" s="9"/>
      <c r="P517" s="9"/>
      <c r="Q517" s="9"/>
      <c r="R517" s="9"/>
      <c r="S517" s="9"/>
      <c r="T517" s="9"/>
      <c r="U517" s="9"/>
      <c r="V517" s="9"/>
      <c r="W517" s="9"/>
      <c r="X517" s="9"/>
      <c r="Y517" s="9"/>
      <c r="Z517" s="9"/>
      <c r="AA517" s="9"/>
      <c r="AB517" s="9"/>
      <c r="AC517" s="9"/>
      <c r="AD517" s="9"/>
      <c r="AE517" s="9"/>
      <c r="AF517" s="9"/>
    </row>
    <row r="518">
      <c r="A518" s="9"/>
      <c r="B518" s="9"/>
      <c r="C518" s="9"/>
      <c r="D518" s="9"/>
      <c r="E518" s="9"/>
      <c r="F518" s="9"/>
      <c r="G518" s="9"/>
      <c r="H518" s="9"/>
      <c r="I518" s="9"/>
      <c r="J518" s="9"/>
      <c r="K518" s="9"/>
      <c r="L518" s="9"/>
      <c r="M518" s="9"/>
      <c r="N518" s="9"/>
      <c r="O518" s="9"/>
      <c r="P518" s="9"/>
      <c r="Q518" s="9"/>
      <c r="R518" s="9"/>
      <c r="S518" s="9"/>
      <c r="T518" s="9"/>
      <c r="U518" s="9"/>
      <c r="V518" s="9"/>
      <c r="W518" s="9"/>
      <c r="X518" s="9"/>
      <c r="Y518" s="9"/>
      <c r="Z518" s="9"/>
      <c r="AA518" s="9"/>
      <c r="AB518" s="9"/>
      <c r="AC518" s="9"/>
      <c r="AD518" s="9"/>
      <c r="AE518" s="9"/>
      <c r="AF518" s="9"/>
    </row>
    <row r="519">
      <c r="A519" s="9"/>
      <c r="B519" s="9"/>
      <c r="C519" s="9"/>
      <c r="D519" s="9"/>
      <c r="E519" s="9"/>
      <c r="F519" s="9"/>
      <c r="G519" s="9"/>
      <c r="H519" s="9"/>
      <c r="I519" s="9"/>
      <c r="J519" s="9"/>
      <c r="K519" s="9"/>
      <c r="L519" s="9"/>
      <c r="M519" s="9"/>
      <c r="N519" s="9"/>
      <c r="O519" s="9"/>
      <c r="P519" s="9"/>
      <c r="Q519" s="9"/>
      <c r="R519" s="9"/>
      <c r="S519" s="9"/>
      <c r="T519" s="9"/>
      <c r="U519" s="9"/>
      <c r="V519" s="9"/>
      <c r="W519" s="9"/>
      <c r="X519" s="9"/>
      <c r="Y519" s="9"/>
      <c r="Z519" s="9"/>
      <c r="AA519" s="9"/>
      <c r="AB519" s="9"/>
      <c r="AC519" s="9"/>
      <c r="AD519" s="9"/>
      <c r="AE519" s="9"/>
      <c r="AF519" s="9"/>
    </row>
    <row r="520">
      <c r="A520" s="9"/>
      <c r="B520" s="9"/>
      <c r="C520" s="9"/>
      <c r="D520" s="9"/>
      <c r="E520" s="9"/>
      <c r="F520" s="9"/>
      <c r="G520" s="9"/>
      <c r="H520" s="9"/>
      <c r="I520" s="9"/>
      <c r="J520" s="9"/>
      <c r="K520" s="9"/>
      <c r="L520" s="9"/>
      <c r="M520" s="9"/>
      <c r="N520" s="9"/>
      <c r="O520" s="9"/>
      <c r="P520" s="9"/>
      <c r="Q520" s="9"/>
      <c r="R520" s="9"/>
      <c r="S520" s="9"/>
      <c r="T520" s="9"/>
      <c r="U520" s="9"/>
      <c r="V520" s="9"/>
      <c r="W520" s="9"/>
      <c r="X520" s="9"/>
      <c r="Y520" s="9"/>
      <c r="Z520" s="9"/>
      <c r="AA520" s="9"/>
      <c r="AB520" s="9"/>
      <c r="AC520" s="9"/>
      <c r="AD520" s="9"/>
      <c r="AE520" s="9"/>
      <c r="AF520" s="9"/>
    </row>
    <row r="521">
      <c r="A521" s="9"/>
      <c r="B521" s="9"/>
      <c r="C521" s="9"/>
      <c r="D521" s="9"/>
      <c r="E521" s="9"/>
      <c r="F521" s="9"/>
      <c r="G521" s="9"/>
      <c r="H521" s="9"/>
      <c r="I521" s="9"/>
      <c r="J521" s="9"/>
      <c r="K521" s="9"/>
      <c r="L521" s="9"/>
      <c r="M521" s="9"/>
      <c r="N521" s="9"/>
      <c r="O521" s="9"/>
      <c r="P521" s="9"/>
      <c r="Q521" s="9"/>
      <c r="R521" s="9"/>
      <c r="S521" s="9"/>
      <c r="T521" s="9"/>
      <c r="U521" s="9"/>
      <c r="V521" s="9"/>
      <c r="W521" s="9"/>
      <c r="X521" s="9"/>
      <c r="Y521" s="9"/>
      <c r="Z521" s="9"/>
      <c r="AA521" s="9"/>
      <c r="AB521" s="9"/>
      <c r="AC521" s="9"/>
      <c r="AD521" s="9"/>
      <c r="AE521" s="9"/>
      <c r="AF521" s="9"/>
    </row>
    <row r="522">
      <c r="A522" s="9"/>
      <c r="B522" s="9"/>
      <c r="C522" s="9"/>
      <c r="D522" s="9"/>
      <c r="E522" s="9"/>
      <c r="F522" s="9"/>
      <c r="G522" s="9"/>
      <c r="H522" s="9"/>
      <c r="I522" s="9"/>
      <c r="J522" s="9"/>
      <c r="K522" s="9"/>
      <c r="L522" s="9"/>
      <c r="M522" s="9"/>
      <c r="N522" s="9"/>
      <c r="O522" s="9"/>
      <c r="P522" s="9"/>
      <c r="Q522" s="9"/>
      <c r="R522" s="9"/>
      <c r="S522" s="9"/>
      <c r="T522" s="9"/>
      <c r="U522" s="9"/>
      <c r="V522" s="9"/>
      <c r="W522" s="9"/>
      <c r="X522" s="9"/>
      <c r="Y522" s="9"/>
      <c r="Z522" s="9"/>
      <c r="AA522" s="9"/>
      <c r="AB522" s="9"/>
      <c r="AC522" s="9"/>
      <c r="AD522" s="9"/>
      <c r="AE522" s="9"/>
      <c r="AF522" s="9"/>
    </row>
    <row r="523">
      <c r="A523" s="9"/>
      <c r="B523" s="9"/>
      <c r="C523" s="9"/>
      <c r="D523" s="9"/>
      <c r="E523" s="9"/>
      <c r="F523" s="9"/>
      <c r="G523" s="9"/>
      <c r="H523" s="9"/>
      <c r="I523" s="9"/>
      <c r="J523" s="9"/>
      <c r="K523" s="9"/>
      <c r="L523" s="9"/>
      <c r="M523" s="9"/>
      <c r="N523" s="9"/>
      <c r="O523" s="9"/>
      <c r="P523" s="9"/>
      <c r="Q523" s="9"/>
      <c r="R523" s="9"/>
      <c r="S523" s="9"/>
      <c r="T523" s="9"/>
      <c r="U523" s="9"/>
      <c r="V523" s="9"/>
      <c r="W523" s="9"/>
      <c r="X523" s="9"/>
      <c r="Y523" s="9"/>
      <c r="Z523" s="9"/>
      <c r="AA523" s="9"/>
      <c r="AB523" s="9"/>
      <c r="AC523" s="9"/>
      <c r="AD523" s="9"/>
      <c r="AE523" s="9"/>
      <c r="AF523" s="9"/>
    </row>
    <row r="524">
      <c r="A524" s="9"/>
      <c r="B524" s="9"/>
      <c r="C524" s="9"/>
      <c r="D524" s="9"/>
      <c r="E524" s="9"/>
      <c r="F524" s="9"/>
      <c r="G524" s="9"/>
      <c r="H524" s="9"/>
      <c r="I524" s="9"/>
      <c r="J524" s="9"/>
      <c r="K524" s="9"/>
      <c r="L524" s="9"/>
      <c r="M524" s="9"/>
      <c r="N524" s="9"/>
      <c r="O524" s="9"/>
      <c r="P524" s="9"/>
      <c r="Q524" s="9"/>
      <c r="R524" s="9"/>
      <c r="S524" s="9"/>
      <c r="T524" s="9"/>
      <c r="U524" s="9"/>
      <c r="V524" s="9"/>
      <c r="W524" s="9"/>
      <c r="X524" s="9"/>
      <c r="Y524" s="9"/>
      <c r="Z524" s="9"/>
      <c r="AA524" s="9"/>
      <c r="AB524" s="9"/>
      <c r="AC524" s="9"/>
      <c r="AD524" s="9"/>
      <c r="AE524" s="9"/>
      <c r="AF524" s="9"/>
    </row>
    <row r="525">
      <c r="A525" s="9"/>
      <c r="B525" s="9"/>
      <c r="C525" s="9"/>
      <c r="D525" s="9"/>
      <c r="E525" s="9"/>
      <c r="F525" s="9"/>
      <c r="G525" s="9"/>
      <c r="H525" s="9"/>
      <c r="I525" s="9"/>
      <c r="J525" s="9"/>
      <c r="K525" s="9"/>
      <c r="L525" s="9"/>
      <c r="M525" s="9"/>
      <c r="N525" s="9"/>
      <c r="O525" s="9"/>
      <c r="P525" s="9"/>
      <c r="Q525" s="9"/>
      <c r="R525" s="9"/>
      <c r="S525" s="9"/>
      <c r="T525" s="9"/>
      <c r="U525" s="9"/>
      <c r="V525" s="9"/>
      <c r="W525" s="9"/>
      <c r="X525" s="9"/>
      <c r="Y525" s="9"/>
      <c r="Z525" s="9"/>
      <c r="AA525" s="9"/>
      <c r="AB525" s="9"/>
      <c r="AC525" s="9"/>
      <c r="AD525" s="9"/>
      <c r="AE525" s="9"/>
      <c r="AF525" s="9"/>
    </row>
    <row r="526">
      <c r="A526" s="9"/>
      <c r="B526" s="9"/>
      <c r="C526" s="9"/>
      <c r="D526" s="9"/>
      <c r="E526" s="9"/>
      <c r="F526" s="9"/>
      <c r="G526" s="9"/>
      <c r="H526" s="9"/>
      <c r="I526" s="9"/>
      <c r="J526" s="9"/>
      <c r="K526" s="9"/>
      <c r="L526" s="9"/>
      <c r="M526" s="9"/>
      <c r="N526" s="9"/>
      <c r="O526" s="9"/>
      <c r="P526" s="9"/>
      <c r="Q526" s="9"/>
      <c r="R526" s="9"/>
      <c r="S526" s="9"/>
      <c r="T526" s="9"/>
      <c r="U526" s="9"/>
      <c r="V526" s="9"/>
      <c r="W526" s="9"/>
      <c r="X526" s="9"/>
      <c r="Y526" s="9"/>
      <c r="Z526" s="9"/>
      <c r="AA526" s="9"/>
      <c r="AB526" s="9"/>
      <c r="AC526" s="9"/>
      <c r="AD526" s="9"/>
      <c r="AE526" s="9"/>
      <c r="AF526" s="9"/>
    </row>
    <row r="527">
      <c r="A527" s="9"/>
      <c r="B527" s="9"/>
      <c r="C527" s="9"/>
      <c r="D527" s="9"/>
      <c r="E527" s="9"/>
      <c r="F527" s="9"/>
      <c r="G527" s="9"/>
      <c r="H527" s="9"/>
      <c r="I527" s="9"/>
      <c r="J527" s="9"/>
      <c r="K527" s="9"/>
      <c r="L527" s="9"/>
      <c r="M527" s="9"/>
      <c r="N527" s="9"/>
      <c r="O527" s="9"/>
      <c r="P527" s="9"/>
      <c r="Q527" s="9"/>
      <c r="R527" s="9"/>
      <c r="S527" s="9"/>
      <c r="T527" s="9"/>
      <c r="U527" s="9"/>
      <c r="V527" s="9"/>
      <c r="W527" s="9"/>
      <c r="X527" s="9"/>
      <c r="Y527" s="9"/>
      <c r="Z527" s="9"/>
      <c r="AA527" s="9"/>
      <c r="AB527" s="9"/>
      <c r="AC527" s="9"/>
      <c r="AD527" s="9"/>
      <c r="AE527" s="9"/>
      <c r="AF527" s="9"/>
    </row>
    <row r="528">
      <c r="A528" s="9"/>
      <c r="B528" s="9"/>
      <c r="C528" s="9"/>
      <c r="D528" s="9"/>
      <c r="E528" s="9"/>
      <c r="F528" s="9"/>
      <c r="G528" s="9"/>
      <c r="H528" s="9"/>
      <c r="I528" s="9"/>
      <c r="J528" s="9"/>
      <c r="K528" s="9"/>
      <c r="L528" s="9"/>
      <c r="M528" s="9"/>
      <c r="N528" s="9"/>
      <c r="O528" s="9"/>
      <c r="P528" s="9"/>
      <c r="Q528" s="9"/>
      <c r="R528" s="9"/>
      <c r="S528" s="9"/>
      <c r="T528" s="9"/>
      <c r="U528" s="9"/>
      <c r="V528" s="9"/>
      <c r="W528" s="9"/>
      <c r="X528" s="9"/>
      <c r="Y528" s="9"/>
      <c r="Z528" s="9"/>
      <c r="AA528" s="9"/>
      <c r="AB528" s="9"/>
      <c r="AC528" s="9"/>
      <c r="AD528" s="9"/>
      <c r="AE528" s="9"/>
      <c r="AF528" s="9"/>
    </row>
    <row r="529">
      <c r="A529" s="9"/>
      <c r="B529" s="9"/>
      <c r="C529" s="9"/>
      <c r="D529" s="9"/>
      <c r="E529" s="9"/>
      <c r="F529" s="9"/>
      <c r="G529" s="9"/>
      <c r="H529" s="9"/>
      <c r="I529" s="9"/>
      <c r="J529" s="9"/>
      <c r="K529" s="9"/>
      <c r="L529" s="9"/>
      <c r="M529" s="9"/>
      <c r="N529" s="9"/>
      <c r="O529" s="9"/>
      <c r="P529" s="9"/>
      <c r="Q529" s="9"/>
      <c r="R529" s="9"/>
      <c r="S529" s="9"/>
      <c r="T529" s="9"/>
      <c r="U529" s="9"/>
      <c r="V529" s="9"/>
      <c r="W529" s="9"/>
      <c r="X529" s="9"/>
      <c r="Y529" s="9"/>
      <c r="Z529" s="9"/>
      <c r="AA529" s="9"/>
      <c r="AB529" s="9"/>
      <c r="AC529" s="9"/>
      <c r="AD529" s="9"/>
      <c r="AE529" s="9"/>
      <c r="AF529" s="9"/>
    </row>
    <row r="530">
      <c r="A530" s="9"/>
      <c r="B530" s="9"/>
      <c r="C530" s="9"/>
      <c r="D530" s="9"/>
      <c r="E530" s="9"/>
      <c r="F530" s="9"/>
      <c r="G530" s="9"/>
      <c r="H530" s="9"/>
      <c r="I530" s="9"/>
      <c r="J530" s="9"/>
      <c r="K530" s="9"/>
      <c r="L530" s="9"/>
      <c r="M530" s="9"/>
      <c r="N530" s="9"/>
      <c r="O530" s="9"/>
      <c r="P530" s="9"/>
      <c r="Q530" s="9"/>
      <c r="R530" s="9"/>
      <c r="S530" s="9"/>
      <c r="T530" s="9"/>
      <c r="U530" s="9"/>
      <c r="V530" s="9"/>
      <c r="W530" s="9"/>
      <c r="X530" s="9"/>
      <c r="Y530" s="9"/>
      <c r="Z530" s="9"/>
      <c r="AA530" s="9"/>
      <c r="AB530" s="9"/>
      <c r="AC530" s="9"/>
      <c r="AD530" s="9"/>
      <c r="AE530" s="9"/>
      <c r="AF530" s="9"/>
    </row>
    <row r="531">
      <c r="A531" s="9"/>
      <c r="B531" s="9"/>
      <c r="C531" s="9"/>
      <c r="D531" s="9"/>
      <c r="E531" s="9"/>
      <c r="F531" s="9"/>
      <c r="G531" s="9"/>
      <c r="H531" s="9"/>
      <c r="I531" s="9"/>
      <c r="J531" s="9"/>
      <c r="K531" s="9"/>
      <c r="L531" s="9"/>
      <c r="M531" s="9"/>
      <c r="N531" s="9"/>
      <c r="O531" s="9"/>
      <c r="P531" s="9"/>
      <c r="Q531" s="9"/>
      <c r="R531" s="9"/>
      <c r="S531" s="9"/>
      <c r="T531" s="9"/>
      <c r="U531" s="9"/>
      <c r="V531" s="9"/>
      <c r="W531" s="9"/>
      <c r="X531" s="9"/>
      <c r="Y531" s="9"/>
      <c r="Z531" s="9"/>
      <c r="AA531" s="9"/>
      <c r="AB531" s="9"/>
      <c r="AC531" s="9"/>
      <c r="AD531" s="9"/>
      <c r="AE531" s="9"/>
      <c r="AF531" s="9"/>
    </row>
    <row r="532">
      <c r="A532" s="9"/>
      <c r="B532" s="9"/>
      <c r="C532" s="9"/>
      <c r="D532" s="9"/>
      <c r="E532" s="9"/>
      <c r="F532" s="9"/>
      <c r="G532" s="9"/>
      <c r="H532" s="9"/>
      <c r="I532" s="9"/>
      <c r="J532" s="9"/>
      <c r="K532" s="9"/>
      <c r="L532" s="9"/>
      <c r="M532" s="9"/>
      <c r="N532" s="9"/>
      <c r="O532" s="9"/>
      <c r="P532" s="9"/>
      <c r="Q532" s="9"/>
      <c r="R532" s="9"/>
      <c r="S532" s="9"/>
      <c r="T532" s="9"/>
      <c r="U532" s="9"/>
      <c r="V532" s="9"/>
      <c r="W532" s="9"/>
      <c r="X532" s="9"/>
      <c r="Y532" s="9"/>
      <c r="Z532" s="9"/>
      <c r="AA532" s="9"/>
      <c r="AB532" s="9"/>
      <c r="AC532" s="9"/>
      <c r="AD532" s="9"/>
      <c r="AE532" s="9"/>
      <c r="AF532" s="9"/>
    </row>
    <row r="533">
      <c r="A533" s="9"/>
      <c r="B533" s="9"/>
      <c r="C533" s="9"/>
      <c r="D533" s="9"/>
      <c r="E533" s="9"/>
      <c r="F533" s="9"/>
      <c r="G533" s="9"/>
      <c r="H533" s="9"/>
      <c r="I533" s="9"/>
      <c r="J533" s="9"/>
      <c r="K533" s="9"/>
      <c r="L533" s="9"/>
      <c r="M533" s="9"/>
      <c r="N533" s="9"/>
      <c r="O533" s="9"/>
      <c r="P533" s="9"/>
      <c r="Q533" s="9"/>
      <c r="R533" s="9"/>
      <c r="S533" s="9"/>
      <c r="T533" s="9"/>
      <c r="U533" s="9"/>
      <c r="V533" s="9"/>
      <c r="W533" s="9"/>
      <c r="X533" s="9"/>
      <c r="Y533" s="9"/>
      <c r="Z533" s="9"/>
      <c r="AA533" s="9"/>
      <c r="AB533" s="9"/>
      <c r="AC533" s="9"/>
      <c r="AD533" s="9"/>
      <c r="AE533" s="9"/>
      <c r="AF533" s="9"/>
    </row>
    <row r="534">
      <c r="A534" s="9"/>
      <c r="B534" s="9"/>
      <c r="C534" s="9"/>
      <c r="D534" s="9"/>
      <c r="E534" s="9"/>
      <c r="F534" s="9"/>
      <c r="G534" s="9"/>
      <c r="H534" s="9"/>
      <c r="I534" s="9"/>
      <c r="J534" s="9"/>
      <c r="K534" s="9"/>
      <c r="L534" s="9"/>
      <c r="M534" s="9"/>
      <c r="N534" s="9"/>
      <c r="O534" s="9"/>
      <c r="P534" s="9"/>
      <c r="Q534" s="9"/>
      <c r="R534" s="9"/>
      <c r="S534" s="9"/>
      <c r="T534" s="9"/>
      <c r="U534" s="9"/>
      <c r="V534" s="9"/>
      <c r="W534" s="9"/>
      <c r="X534" s="9"/>
      <c r="Y534" s="9"/>
      <c r="Z534" s="9"/>
      <c r="AA534" s="9"/>
      <c r="AB534" s="9"/>
      <c r="AC534" s="9"/>
      <c r="AD534" s="9"/>
      <c r="AE534" s="9"/>
      <c r="AF534" s="9"/>
    </row>
    <row r="535">
      <c r="A535" s="9"/>
      <c r="B535" s="9"/>
      <c r="C535" s="9"/>
      <c r="D535" s="9"/>
      <c r="E535" s="9"/>
      <c r="F535" s="9"/>
      <c r="G535" s="9"/>
      <c r="H535" s="9"/>
      <c r="I535" s="9"/>
      <c r="J535" s="9"/>
      <c r="K535" s="9"/>
      <c r="L535" s="9"/>
      <c r="M535" s="9"/>
      <c r="N535" s="9"/>
      <c r="O535" s="9"/>
      <c r="P535" s="9"/>
      <c r="Q535" s="9"/>
      <c r="R535" s="9"/>
      <c r="S535" s="9"/>
      <c r="T535" s="9"/>
      <c r="U535" s="9"/>
      <c r="V535" s="9"/>
      <c r="W535" s="9"/>
      <c r="X535" s="9"/>
      <c r="Y535" s="9"/>
      <c r="Z535" s="9"/>
      <c r="AA535" s="9"/>
      <c r="AB535" s="9"/>
      <c r="AC535" s="9"/>
      <c r="AD535" s="9"/>
      <c r="AE535" s="9"/>
      <c r="AF535" s="9"/>
    </row>
    <row r="536">
      <c r="A536" s="9"/>
      <c r="B536" s="9"/>
      <c r="C536" s="9"/>
      <c r="D536" s="9"/>
      <c r="E536" s="9"/>
      <c r="F536" s="9"/>
      <c r="G536" s="9"/>
      <c r="H536" s="9"/>
      <c r="I536" s="9"/>
      <c r="J536" s="9"/>
      <c r="K536" s="9"/>
      <c r="L536" s="9"/>
      <c r="M536" s="9"/>
      <c r="N536" s="9"/>
      <c r="O536" s="9"/>
      <c r="P536" s="9"/>
      <c r="Q536" s="9"/>
      <c r="R536" s="9"/>
      <c r="S536" s="9"/>
      <c r="T536" s="9"/>
      <c r="U536" s="9"/>
      <c r="V536" s="9"/>
      <c r="W536" s="9"/>
      <c r="X536" s="9"/>
      <c r="Y536" s="9"/>
      <c r="Z536" s="9"/>
      <c r="AA536" s="9"/>
      <c r="AB536" s="9"/>
      <c r="AC536" s="9"/>
      <c r="AD536" s="9"/>
      <c r="AE536" s="9"/>
      <c r="AF536" s="9"/>
    </row>
    <row r="537">
      <c r="A537" s="9"/>
      <c r="B537" s="9"/>
      <c r="C537" s="9"/>
      <c r="D537" s="9"/>
      <c r="E537" s="9"/>
      <c r="F537" s="9"/>
      <c r="G537" s="9"/>
      <c r="H537" s="9"/>
      <c r="I537" s="9"/>
      <c r="J537" s="9"/>
      <c r="K537" s="9"/>
      <c r="L537" s="9"/>
      <c r="M537" s="9"/>
      <c r="N537" s="9"/>
      <c r="O537" s="9"/>
      <c r="P537" s="9"/>
      <c r="Q537" s="9"/>
      <c r="R537" s="9"/>
      <c r="S537" s="9"/>
      <c r="T537" s="9"/>
      <c r="U537" s="9"/>
      <c r="V537" s="9"/>
      <c r="W537" s="9"/>
      <c r="X537" s="9"/>
      <c r="Y537" s="9"/>
      <c r="Z537" s="9"/>
      <c r="AA537" s="9"/>
      <c r="AB537" s="9"/>
      <c r="AC537" s="9"/>
      <c r="AD537" s="9"/>
      <c r="AE537" s="9"/>
      <c r="AF537" s="9"/>
    </row>
    <row r="538">
      <c r="A538" s="9"/>
      <c r="B538" s="9"/>
      <c r="C538" s="9"/>
      <c r="D538" s="9"/>
      <c r="E538" s="9"/>
      <c r="F538" s="9"/>
      <c r="G538" s="9"/>
      <c r="H538" s="9"/>
      <c r="I538" s="9"/>
      <c r="J538" s="9"/>
      <c r="K538" s="9"/>
      <c r="L538" s="9"/>
      <c r="M538" s="9"/>
      <c r="N538" s="9"/>
      <c r="O538" s="9"/>
      <c r="P538" s="9"/>
      <c r="Q538" s="9"/>
      <c r="R538" s="9"/>
      <c r="S538" s="9"/>
      <c r="T538" s="9"/>
      <c r="U538" s="9"/>
      <c r="V538" s="9"/>
      <c r="W538" s="9"/>
      <c r="X538" s="9"/>
      <c r="Y538" s="9"/>
      <c r="Z538" s="9"/>
      <c r="AA538" s="9"/>
      <c r="AB538" s="9"/>
      <c r="AC538" s="9"/>
      <c r="AD538" s="9"/>
      <c r="AE538" s="9"/>
      <c r="AF538" s="9"/>
    </row>
    <row r="539">
      <c r="A539" s="9"/>
      <c r="B539" s="9"/>
      <c r="C539" s="9"/>
      <c r="D539" s="9"/>
      <c r="E539" s="9"/>
      <c r="F539" s="9"/>
      <c r="G539" s="9"/>
      <c r="H539" s="9"/>
      <c r="I539" s="9"/>
      <c r="J539" s="9"/>
      <c r="K539" s="9"/>
      <c r="L539" s="9"/>
      <c r="M539" s="9"/>
      <c r="N539" s="9"/>
      <c r="O539" s="9"/>
      <c r="P539" s="9"/>
      <c r="Q539" s="9"/>
      <c r="R539" s="9"/>
      <c r="S539" s="9"/>
      <c r="T539" s="9"/>
      <c r="U539" s="9"/>
      <c r="V539" s="9"/>
      <c r="W539" s="9"/>
      <c r="X539" s="9"/>
      <c r="Y539" s="9"/>
      <c r="Z539" s="9"/>
      <c r="AA539" s="9"/>
      <c r="AB539" s="9"/>
      <c r="AC539" s="9"/>
      <c r="AD539" s="9"/>
      <c r="AE539" s="9"/>
      <c r="AF539" s="9"/>
    </row>
    <row r="540">
      <c r="A540" s="9"/>
      <c r="B540" s="9"/>
      <c r="C540" s="9"/>
      <c r="D540" s="9"/>
      <c r="E540" s="9"/>
      <c r="F540" s="9"/>
      <c r="G540" s="9"/>
      <c r="H540" s="9"/>
      <c r="I540" s="9"/>
      <c r="J540" s="9"/>
      <c r="K540" s="9"/>
      <c r="L540" s="9"/>
      <c r="M540" s="9"/>
      <c r="N540" s="9"/>
      <c r="O540" s="9"/>
      <c r="P540" s="9"/>
      <c r="Q540" s="9"/>
      <c r="R540" s="9"/>
      <c r="S540" s="9"/>
      <c r="T540" s="9"/>
      <c r="U540" s="9"/>
      <c r="V540" s="9"/>
      <c r="W540" s="9"/>
      <c r="X540" s="9"/>
      <c r="Y540" s="9"/>
      <c r="Z540" s="9"/>
      <c r="AA540" s="9"/>
      <c r="AB540" s="9"/>
      <c r="AC540" s="9"/>
      <c r="AD540" s="9"/>
      <c r="AE540" s="9"/>
      <c r="AF540" s="9"/>
    </row>
    <row r="541">
      <c r="A541" s="9"/>
      <c r="B541" s="9"/>
      <c r="C541" s="9"/>
      <c r="D541" s="9"/>
      <c r="E541" s="9"/>
      <c r="F541" s="9"/>
      <c r="G541" s="9"/>
      <c r="H541" s="9"/>
      <c r="I541" s="9"/>
      <c r="J541" s="9"/>
      <c r="K541" s="9"/>
      <c r="L541" s="9"/>
      <c r="M541" s="9"/>
      <c r="N541" s="9"/>
      <c r="O541" s="9"/>
      <c r="P541" s="9"/>
      <c r="Q541" s="9"/>
      <c r="R541" s="9"/>
      <c r="S541" s="9"/>
      <c r="T541" s="9"/>
      <c r="U541" s="9"/>
      <c r="V541" s="9"/>
      <c r="W541" s="9"/>
      <c r="X541" s="9"/>
      <c r="Y541" s="9"/>
      <c r="Z541" s="9"/>
      <c r="AA541" s="9"/>
      <c r="AB541" s="9"/>
      <c r="AC541" s="9"/>
      <c r="AD541" s="9"/>
      <c r="AE541" s="9"/>
      <c r="AF541" s="9"/>
    </row>
    <row r="542">
      <c r="A542" s="9"/>
      <c r="B542" s="9"/>
      <c r="C542" s="9"/>
      <c r="D542" s="9"/>
      <c r="E542" s="9"/>
      <c r="F542" s="9"/>
      <c r="G542" s="9"/>
      <c r="H542" s="9"/>
      <c r="I542" s="9"/>
      <c r="J542" s="9"/>
      <c r="K542" s="9"/>
      <c r="L542" s="9"/>
      <c r="M542" s="9"/>
      <c r="N542" s="9"/>
      <c r="O542" s="9"/>
      <c r="P542" s="9"/>
      <c r="Q542" s="9"/>
      <c r="R542" s="9"/>
      <c r="S542" s="9"/>
      <c r="T542" s="9"/>
      <c r="U542" s="9"/>
      <c r="V542" s="9"/>
      <c r="W542" s="9"/>
      <c r="X542" s="9"/>
      <c r="Y542" s="9"/>
      <c r="Z542" s="9"/>
      <c r="AA542" s="9"/>
      <c r="AB542" s="9"/>
      <c r="AC542" s="9"/>
      <c r="AD542" s="9"/>
      <c r="AE542" s="9"/>
      <c r="AF542" s="9"/>
    </row>
    <row r="543">
      <c r="A543" s="9"/>
      <c r="B543" s="9"/>
      <c r="C543" s="9"/>
      <c r="D543" s="9"/>
      <c r="E543" s="9"/>
      <c r="F543" s="9"/>
      <c r="G543" s="9"/>
      <c r="H543" s="9"/>
      <c r="I543" s="9"/>
      <c r="J543" s="9"/>
      <c r="K543" s="9"/>
      <c r="L543" s="9"/>
      <c r="M543" s="9"/>
      <c r="N543" s="9"/>
      <c r="O543" s="9"/>
      <c r="P543" s="9"/>
      <c r="Q543" s="9"/>
      <c r="R543" s="9"/>
      <c r="S543" s="9"/>
      <c r="T543" s="9"/>
      <c r="U543" s="9"/>
      <c r="V543" s="9"/>
      <c r="W543" s="9"/>
      <c r="X543" s="9"/>
      <c r="Y543" s="9"/>
      <c r="Z543" s="9"/>
      <c r="AA543" s="9"/>
      <c r="AB543" s="9"/>
      <c r="AC543" s="9"/>
      <c r="AD543" s="9"/>
      <c r="AE543" s="9"/>
      <c r="AF543" s="9"/>
    </row>
    <row r="544">
      <c r="A544" s="9"/>
      <c r="B544" s="9"/>
      <c r="C544" s="9"/>
      <c r="D544" s="9"/>
      <c r="E544" s="9"/>
      <c r="F544" s="9"/>
      <c r="G544" s="9"/>
      <c r="H544" s="9"/>
      <c r="I544" s="9"/>
      <c r="J544" s="9"/>
      <c r="K544" s="9"/>
      <c r="L544" s="9"/>
      <c r="M544" s="9"/>
      <c r="N544" s="9"/>
      <c r="O544" s="9"/>
      <c r="P544" s="9"/>
      <c r="Q544" s="9"/>
      <c r="R544" s="9"/>
      <c r="S544" s="9"/>
      <c r="T544" s="9"/>
      <c r="U544" s="9"/>
      <c r="V544" s="9"/>
      <c r="W544" s="9"/>
      <c r="X544" s="9"/>
      <c r="Y544" s="9"/>
      <c r="Z544" s="9"/>
      <c r="AA544" s="9"/>
      <c r="AB544" s="9"/>
      <c r="AC544" s="9"/>
      <c r="AD544" s="9"/>
      <c r="AE544" s="9"/>
      <c r="AF544" s="9"/>
    </row>
    <row r="545">
      <c r="A545" s="9"/>
      <c r="B545" s="9"/>
      <c r="C545" s="9"/>
      <c r="D545" s="9"/>
      <c r="E545" s="9"/>
      <c r="F545" s="9"/>
      <c r="G545" s="9"/>
      <c r="H545" s="9"/>
      <c r="I545" s="9"/>
      <c r="J545" s="9"/>
      <c r="K545" s="9"/>
      <c r="L545" s="9"/>
      <c r="M545" s="9"/>
      <c r="N545" s="9"/>
      <c r="O545" s="9"/>
      <c r="P545" s="9"/>
      <c r="Q545" s="9"/>
      <c r="R545" s="9"/>
      <c r="S545" s="9"/>
      <c r="T545" s="9"/>
      <c r="U545" s="9"/>
      <c r="V545" s="9"/>
      <c r="W545" s="9"/>
      <c r="X545" s="9"/>
      <c r="Y545" s="9"/>
      <c r="Z545" s="9"/>
      <c r="AA545" s="9"/>
      <c r="AB545" s="9"/>
      <c r="AC545" s="9"/>
      <c r="AD545" s="9"/>
      <c r="AE545" s="9"/>
      <c r="AF545" s="9"/>
    </row>
    <row r="546">
      <c r="A546" s="9"/>
      <c r="B546" s="9"/>
      <c r="C546" s="9"/>
      <c r="D546" s="9"/>
      <c r="E546" s="9"/>
      <c r="F546" s="9"/>
      <c r="G546" s="9"/>
      <c r="H546" s="9"/>
      <c r="I546" s="9"/>
      <c r="J546" s="9"/>
      <c r="K546" s="9"/>
      <c r="L546" s="9"/>
      <c r="M546" s="9"/>
      <c r="N546" s="9"/>
      <c r="O546" s="9"/>
      <c r="P546" s="9"/>
      <c r="Q546" s="9"/>
      <c r="R546" s="9"/>
      <c r="S546" s="9"/>
      <c r="T546" s="9"/>
      <c r="U546" s="9"/>
      <c r="V546" s="9"/>
      <c r="W546" s="9"/>
      <c r="X546" s="9"/>
      <c r="Y546" s="9"/>
      <c r="Z546" s="9"/>
      <c r="AA546" s="9"/>
      <c r="AB546" s="9"/>
      <c r="AC546" s="9"/>
      <c r="AD546" s="9"/>
      <c r="AE546" s="9"/>
      <c r="AF546" s="9"/>
    </row>
    <row r="547">
      <c r="A547" s="9"/>
      <c r="B547" s="9"/>
      <c r="C547" s="9"/>
      <c r="D547" s="9"/>
      <c r="E547" s="9"/>
      <c r="F547" s="9"/>
      <c r="G547" s="9"/>
      <c r="H547" s="9"/>
      <c r="I547" s="9"/>
      <c r="J547" s="9"/>
      <c r="K547" s="9"/>
      <c r="L547" s="9"/>
      <c r="M547" s="9"/>
      <c r="N547" s="9"/>
      <c r="O547" s="9"/>
      <c r="P547" s="9"/>
      <c r="Q547" s="9"/>
      <c r="R547" s="9"/>
      <c r="S547" s="9"/>
      <c r="T547" s="9"/>
      <c r="U547" s="9"/>
      <c r="V547" s="9"/>
      <c r="W547" s="9"/>
      <c r="X547" s="9"/>
      <c r="Y547" s="9"/>
      <c r="Z547" s="9"/>
      <c r="AA547" s="9"/>
      <c r="AB547" s="9"/>
      <c r="AC547" s="9"/>
      <c r="AD547" s="9"/>
      <c r="AE547" s="9"/>
      <c r="AF547" s="9"/>
    </row>
    <row r="548">
      <c r="A548" s="9"/>
      <c r="B548" s="9"/>
      <c r="C548" s="9"/>
      <c r="D548" s="9"/>
      <c r="E548" s="9"/>
      <c r="F548" s="9"/>
      <c r="G548" s="9"/>
      <c r="H548" s="9"/>
      <c r="I548" s="9"/>
      <c r="J548" s="9"/>
      <c r="K548" s="9"/>
      <c r="L548" s="9"/>
      <c r="M548" s="9"/>
      <c r="N548" s="9"/>
      <c r="O548" s="9"/>
      <c r="P548" s="9"/>
      <c r="Q548" s="9"/>
      <c r="R548" s="9"/>
      <c r="S548" s="9"/>
      <c r="T548" s="9"/>
      <c r="U548" s="9"/>
      <c r="V548" s="9"/>
      <c r="W548" s="9"/>
      <c r="X548" s="9"/>
      <c r="Y548" s="9"/>
      <c r="Z548" s="9"/>
      <c r="AA548" s="9"/>
      <c r="AB548" s="9"/>
      <c r="AC548" s="9"/>
      <c r="AD548" s="9"/>
      <c r="AE548" s="9"/>
      <c r="AF548" s="9"/>
    </row>
    <row r="549">
      <c r="A549" s="9"/>
      <c r="B549" s="9"/>
      <c r="C549" s="9"/>
      <c r="D549" s="9"/>
      <c r="E549" s="9"/>
      <c r="F549" s="9"/>
      <c r="G549" s="9"/>
      <c r="H549" s="9"/>
      <c r="I549" s="9"/>
      <c r="J549" s="9"/>
      <c r="K549" s="9"/>
      <c r="L549" s="9"/>
      <c r="M549" s="9"/>
      <c r="N549" s="9"/>
      <c r="O549" s="9"/>
      <c r="P549" s="9"/>
      <c r="Q549" s="9"/>
      <c r="R549" s="9"/>
      <c r="S549" s="9"/>
      <c r="T549" s="9"/>
      <c r="U549" s="9"/>
      <c r="V549" s="9"/>
      <c r="W549" s="9"/>
      <c r="X549" s="9"/>
      <c r="Y549" s="9"/>
      <c r="Z549" s="9"/>
      <c r="AA549" s="9"/>
      <c r="AB549" s="9"/>
      <c r="AC549" s="9"/>
      <c r="AD549" s="9"/>
      <c r="AE549" s="9"/>
      <c r="AF549" s="9"/>
    </row>
    <row r="550">
      <c r="A550" s="9"/>
      <c r="B550" s="9"/>
      <c r="C550" s="9"/>
      <c r="D550" s="9"/>
      <c r="E550" s="9"/>
      <c r="F550" s="9"/>
      <c r="G550" s="9"/>
      <c r="H550" s="9"/>
      <c r="I550" s="9"/>
      <c r="J550" s="9"/>
      <c r="K550" s="9"/>
      <c r="L550" s="9"/>
      <c r="M550" s="9"/>
      <c r="N550" s="9"/>
      <c r="O550" s="9"/>
      <c r="P550" s="9"/>
      <c r="Q550" s="9"/>
      <c r="R550" s="9"/>
      <c r="S550" s="9"/>
      <c r="T550" s="9"/>
      <c r="U550" s="9"/>
      <c r="V550" s="9"/>
      <c r="W550" s="9"/>
      <c r="X550" s="9"/>
      <c r="Y550" s="9"/>
      <c r="Z550" s="9"/>
      <c r="AA550" s="9"/>
      <c r="AB550" s="9"/>
      <c r="AC550" s="9"/>
      <c r="AD550" s="9"/>
      <c r="AE550" s="9"/>
      <c r="AF550" s="9"/>
    </row>
    <row r="551">
      <c r="A551" s="9"/>
      <c r="B551" s="9"/>
      <c r="C551" s="9"/>
      <c r="D551" s="9"/>
      <c r="E551" s="9"/>
      <c r="F551" s="9"/>
      <c r="G551" s="9"/>
      <c r="H551" s="9"/>
      <c r="I551" s="9"/>
      <c r="J551" s="9"/>
      <c r="K551" s="9"/>
      <c r="L551" s="9"/>
      <c r="M551" s="9"/>
      <c r="N551" s="9"/>
      <c r="O551" s="9"/>
      <c r="P551" s="9"/>
      <c r="Q551" s="9"/>
      <c r="R551" s="9"/>
      <c r="S551" s="9"/>
      <c r="T551" s="9"/>
      <c r="U551" s="9"/>
      <c r="V551" s="9"/>
      <c r="W551" s="9"/>
      <c r="X551" s="9"/>
      <c r="Y551" s="9"/>
      <c r="Z551" s="9"/>
      <c r="AA551" s="9"/>
      <c r="AB551" s="9"/>
      <c r="AC551" s="9"/>
      <c r="AD551" s="9"/>
      <c r="AE551" s="9"/>
      <c r="AF551" s="9"/>
    </row>
    <row r="552">
      <c r="A552" s="9"/>
      <c r="B552" s="9"/>
      <c r="C552" s="9"/>
      <c r="D552" s="9"/>
      <c r="E552" s="9"/>
      <c r="F552" s="9"/>
      <c r="G552" s="9"/>
      <c r="H552" s="9"/>
      <c r="I552" s="9"/>
      <c r="J552" s="9"/>
      <c r="K552" s="9"/>
      <c r="L552" s="9"/>
      <c r="M552" s="9"/>
      <c r="N552" s="9"/>
      <c r="O552" s="9"/>
      <c r="P552" s="9"/>
      <c r="Q552" s="9"/>
      <c r="R552" s="9"/>
      <c r="S552" s="9"/>
      <c r="T552" s="9"/>
      <c r="U552" s="9"/>
      <c r="V552" s="9"/>
      <c r="W552" s="9"/>
      <c r="X552" s="9"/>
      <c r="Y552" s="9"/>
      <c r="Z552" s="9"/>
      <c r="AA552" s="9"/>
      <c r="AB552" s="9"/>
      <c r="AC552" s="9"/>
      <c r="AD552" s="9"/>
      <c r="AE552" s="9"/>
      <c r="AF552" s="9"/>
    </row>
    <row r="553">
      <c r="A553" s="9"/>
      <c r="B553" s="9"/>
      <c r="C553" s="9"/>
      <c r="D553" s="9"/>
      <c r="E553" s="9"/>
      <c r="F553" s="9"/>
      <c r="G553" s="9"/>
      <c r="H553" s="9"/>
      <c r="I553" s="9"/>
      <c r="J553" s="9"/>
      <c r="K553" s="9"/>
      <c r="L553" s="9"/>
      <c r="M553" s="9"/>
      <c r="N553" s="9"/>
      <c r="O553" s="9"/>
      <c r="P553" s="9"/>
      <c r="Q553" s="9"/>
      <c r="R553" s="9"/>
      <c r="S553" s="9"/>
      <c r="T553" s="9"/>
      <c r="U553" s="9"/>
      <c r="V553" s="9"/>
      <c r="W553" s="9"/>
      <c r="X553" s="9"/>
      <c r="Y553" s="9"/>
      <c r="Z553" s="9"/>
      <c r="AA553" s="9"/>
      <c r="AB553" s="9"/>
      <c r="AC553" s="9"/>
      <c r="AD553" s="9"/>
      <c r="AE553" s="9"/>
      <c r="AF553" s="9"/>
    </row>
    <row r="554">
      <c r="A554" s="9"/>
      <c r="B554" s="9"/>
      <c r="C554" s="9"/>
      <c r="D554" s="9"/>
      <c r="E554" s="9"/>
      <c r="F554" s="9"/>
      <c r="G554" s="9"/>
      <c r="H554" s="9"/>
      <c r="I554" s="9"/>
      <c r="J554" s="9"/>
      <c r="K554" s="9"/>
      <c r="L554" s="9"/>
      <c r="M554" s="9"/>
      <c r="N554" s="9"/>
      <c r="O554" s="9"/>
      <c r="P554" s="9"/>
      <c r="Q554" s="9"/>
      <c r="R554" s="9"/>
      <c r="S554" s="9"/>
      <c r="T554" s="9"/>
      <c r="U554" s="9"/>
      <c r="V554" s="9"/>
      <c r="W554" s="9"/>
      <c r="X554" s="9"/>
      <c r="Y554" s="9"/>
      <c r="Z554" s="9"/>
      <c r="AA554" s="9"/>
      <c r="AB554" s="9"/>
      <c r="AC554" s="9"/>
      <c r="AD554" s="9"/>
      <c r="AE554" s="9"/>
      <c r="AF554" s="9"/>
    </row>
    <row r="555">
      <c r="A555" s="9"/>
      <c r="B555" s="9"/>
      <c r="C555" s="9"/>
      <c r="D555" s="9"/>
      <c r="E555" s="9"/>
      <c r="F555" s="9"/>
      <c r="G555" s="9"/>
      <c r="H555" s="9"/>
      <c r="I555" s="9"/>
      <c r="J555" s="9"/>
      <c r="K555" s="9"/>
      <c r="L555" s="9"/>
      <c r="M555" s="9"/>
      <c r="N555" s="9"/>
      <c r="O555" s="9"/>
      <c r="P555" s="9"/>
      <c r="Q555" s="9"/>
      <c r="R555" s="9"/>
      <c r="S555" s="9"/>
      <c r="T555" s="9"/>
      <c r="U555" s="9"/>
      <c r="V555" s="9"/>
      <c r="W555" s="9"/>
      <c r="X555" s="9"/>
      <c r="Y555" s="9"/>
      <c r="Z555" s="9"/>
      <c r="AA555" s="9"/>
      <c r="AB555" s="9"/>
      <c r="AC555" s="9"/>
      <c r="AD555" s="9"/>
      <c r="AE555" s="9"/>
      <c r="AF555" s="9"/>
    </row>
    <row r="556">
      <c r="A556" s="9"/>
      <c r="B556" s="9"/>
      <c r="C556" s="9"/>
      <c r="D556" s="9"/>
      <c r="E556" s="9"/>
      <c r="F556" s="9"/>
      <c r="G556" s="9"/>
      <c r="H556" s="9"/>
      <c r="I556" s="9"/>
      <c r="J556" s="9"/>
      <c r="K556" s="9"/>
      <c r="L556" s="9"/>
      <c r="M556" s="9"/>
      <c r="N556" s="9"/>
      <c r="O556" s="9"/>
      <c r="P556" s="9"/>
      <c r="Q556" s="9"/>
      <c r="R556" s="9"/>
      <c r="S556" s="9"/>
      <c r="T556" s="9"/>
      <c r="U556" s="9"/>
      <c r="V556" s="9"/>
      <c r="W556" s="9"/>
      <c r="X556" s="9"/>
      <c r="Y556" s="9"/>
      <c r="Z556" s="9"/>
      <c r="AA556" s="9"/>
      <c r="AB556" s="9"/>
      <c r="AC556" s="9"/>
      <c r="AD556" s="9"/>
      <c r="AE556" s="9"/>
      <c r="AF556" s="9"/>
    </row>
    <row r="557">
      <c r="A557" s="9"/>
      <c r="B557" s="9"/>
      <c r="C557" s="9"/>
      <c r="D557" s="9"/>
      <c r="E557" s="9"/>
      <c r="F557" s="9"/>
      <c r="G557" s="9"/>
      <c r="H557" s="9"/>
      <c r="I557" s="9"/>
      <c r="J557" s="9"/>
      <c r="K557" s="9"/>
      <c r="L557" s="9"/>
      <c r="M557" s="9"/>
      <c r="N557" s="9"/>
      <c r="O557" s="9"/>
      <c r="P557" s="9"/>
      <c r="Q557" s="9"/>
      <c r="R557" s="9"/>
      <c r="S557" s="9"/>
      <c r="T557" s="9"/>
      <c r="U557" s="9"/>
      <c r="V557" s="9"/>
      <c r="W557" s="9"/>
      <c r="X557" s="9"/>
      <c r="Y557" s="9"/>
      <c r="Z557" s="9"/>
      <c r="AA557" s="9"/>
      <c r="AB557" s="9"/>
      <c r="AC557" s="9"/>
      <c r="AD557" s="9"/>
      <c r="AE557" s="9"/>
      <c r="AF557" s="9"/>
    </row>
    <row r="558">
      <c r="A558" s="9"/>
      <c r="B558" s="9"/>
      <c r="C558" s="9"/>
      <c r="D558" s="9"/>
      <c r="E558" s="9"/>
      <c r="F558" s="9"/>
      <c r="G558" s="9"/>
      <c r="H558" s="9"/>
      <c r="I558" s="9"/>
      <c r="J558" s="9"/>
      <c r="K558" s="9"/>
      <c r="L558" s="9"/>
      <c r="M558" s="9"/>
      <c r="N558" s="9"/>
      <c r="O558" s="9"/>
      <c r="P558" s="9"/>
      <c r="Q558" s="9"/>
      <c r="R558" s="9"/>
      <c r="S558" s="9"/>
      <c r="T558" s="9"/>
      <c r="U558" s="9"/>
      <c r="V558" s="9"/>
      <c r="W558" s="9"/>
      <c r="X558" s="9"/>
      <c r="Y558" s="9"/>
      <c r="Z558" s="9"/>
      <c r="AA558" s="9"/>
      <c r="AB558" s="9"/>
      <c r="AC558" s="9"/>
      <c r="AD558" s="9"/>
      <c r="AE558" s="9"/>
      <c r="AF558" s="9"/>
    </row>
    <row r="559">
      <c r="A559" s="9"/>
      <c r="B559" s="9"/>
      <c r="C559" s="9"/>
      <c r="D559" s="9"/>
      <c r="E559" s="9"/>
      <c r="F559" s="9"/>
      <c r="G559" s="9"/>
      <c r="H559" s="9"/>
      <c r="I559" s="9"/>
      <c r="J559" s="9"/>
      <c r="K559" s="9"/>
      <c r="L559" s="9"/>
      <c r="M559" s="9"/>
      <c r="N559" s="9"/>
      <c r="O559" s="9"/>
      <c r="P559" s="9"/>
      <c r="Q559" s="9"/>
      <c r="R559" s="9"/>
      <c r="S559" s="9"/>
      <c r="T559" s="9"/>
      <c r="U559" s="9"/>
      <c r="V559" s="9"/>
      <c r="W559" s="9"/>
      <c r="X559" s="9"/>
      <c r="Y559" s="9"/>
      <c r="Z559" s="9"/>
      <c r="AA559" s="9"/>
      <c r="AB559" s="9"/>
      <c r="AC559" s="9"/>
      <c r="AD559" s="9"/>
      <c r="AE559" s="9"/>
      <c r="AF559" s="9"/>
    </row>
    <row r="560">
      <c r="A560" s="9"/>
      <c r="B560" s="9"/>
      <c r="C560" s="9"/>
      <c r="D560" s="9"/>
      <c r="E560" s="9"/>
      <c r="F560" s="9"/>
      <c r="G560" s="9"/>
      <c r="H560" s="9"/>
      <c r="I560" s="9"/>
      <c r="J560" s="9"/>
      <c r="K560" s="9"/>
      <c r="L560" s="9"/>
      <c r="M560" s="9"/>
      <c r="N560" s="9"/>
      <c r="O560" s="9"/>
      <c r="P560" s="9"/>
      <c r="Q560" s="9"/>
      <c r="R560" s="9"/>
      <c r="S560" s="9"/>
      <c r="T560" s="9"/>
      <c r="U560" s="9"/>
      <c r="V560" s="9"/>
      <c r="W560" s="9"/>
      <c r="X560" s="9"/>
      <c r="Y560" s="9"/>
      <c r="Z560" s="9"/>
      <c r="AA560" s="9"/>
      <c r="AB560" s="9"/>
      <c r="AC560" s="9"/>
      <c r="AD560" s="9"/>
      <c r="AE560" s="9"/>
      <c r="AF560" s="9"/>
    </row>
    <row r="561">
      <c r="A561" s="9"/>
      <c r="B561" s="9"/>
      <c r="C561" s="9"/>
      <c r="D561" s="9"/>
      <c r="E561" s="9"/>
      <c r="F561" s="9"/>
      <c r="G561" s="9"/>
      <c r="H561" s="9"/>
      <c r="I561" s="9"/>
      <c r="J561" s="9"/>
      <c r="K561" s="9"/>
      <c r="L561" s="9"/>
      <c r="M561" s="9"/>
      <c r="N561" s="9"/>
      <c r="O561" s="9"/>
      <c r="P561" s="9"/>
      <c r="Q561" s="9"/>
      <c r="R561" s="9"/>
      <c r="S561" s="9"/>
      <c r="T561" s="9"/>
      <c r="U561" s="9"/>
      <c r="V561" s="9"/>
      <c r="W561" s="9"/>
      <c r="X561" s="9"/>
      <c r="Y561" s="9"/>
      <c r="Z561" s="9"/>
      <c r="AA561" s="9"/>
      <c r="AB561" s="9"/>
      <c r="AC561" s="9"/>
      <c r="AD561" s="9"/>
      <c r="AE561" s="9"/>
      <c r="AF561" s="9"/>
    </row>
    <row r="562">
      <c r="A562" s="9"/>
      <c r="B562" s="9"/>
      <c r="C562" s="9"/>
      <c r="D562" s="9"/>
      <c r="E562" s="9"/>
      <c r="F562" s="9"/>
      <c r="G562" s="9"/>
      <c r="H562" s="9"/>
      <c r="I562" s="9"/>
      <c r="J562" s="9"/>
      <c r="K562" s="9"/>
      <c r="L562" s="9"/>
      <c r="M562" s="9"/>
      <c r="N562" s="9"/>
      <c r="O562" s="9"/>
      <c r="P562" s="9"/>
      <c r="Q562" s="9"/>
      <c r="R562" s="9"/>
      <c r="S562" s="9"/>
      <c r="T562" s="9"/>
      <c r="U562" s="9"/>
      <c r="V562" s="9"/>
      <c r="W562" s="9"/>
      <c r="X562" s="9"/>
      <c r="Y562" s="9"/>
      <c r="Z562" s="9"/>
      <c r="AA562" s="9"/>
      <c r="AB562" s="9"/>
      <c r="AC562" s="9"/>
      <c r="AD562" s="9"/>
      <c r="AE562" s="9"/>
      <c r="AF562" s="9"/>
    </row>
    <row r="563">
      <c r="A563" s="9"/>
      <c r="B563" s="9"/>
      <c r="C563" s="9"/>
      <c r="D563" s="9"/>
      <c r="E563" s="9"/>
      <c r="F563" s="9"/>
      <c r="G563" s="9"/>
      <c r="H563" s="9"/>
      <c r="I563" s="9"/>
      <c r="J563" s="9"/>
      <c r="K563" s="9"/>
      <c r="L563" s="9"/>
      <c r="M563" s="9"/>
      <c r="N563" s="9"/>
      <c r="O563" s="9"/>
      <c r="P563" s="9"/>
      <c r="Q563" s="9"/>
      <c r="R563" s="9"/>
      <c r="S563" s="9"/>
      <c r="T563" s="9"/>
      <c r="U563" s="9"/>
      <c r="V563" s="9"/>
      <c r="W563" s="9"/>
      <c r="X563" s="9"/>
      <c r="Y563" s="9"/>
      <c r="Z563" s="9"/>
      <c r="AA563" s="9"/>
      <c r="AB563" s="9"/>
      <c r="AC563" s="9"/>
      <c r="AD563" s="9"/>
      <c r="AE563" s="9"/>
      <c r="AF563" s="9"/>
    </row>
    <row r="564">
      <c r="A564" s="9"/>
      <c r="B564" s="9"/>
      <c r="C564" s="9"/>
      <c r="D564" s="9"/>
      <c r="E564" s="9"/>
      <c r="F564" s="9"/>
      <c r="G564" s="9"/>
      <c r="H564" s="9"/>
      <c r="I564" s="9"/>
      <c r="J564" s="9"/>
      <c r="K564" s="9"/>
      <c r="L564" s="9"/>
      <c r="M564" s="9"/>
      <c r="N564" s="9"/>
      <c r="O564" s="9"/>
      <c r="P564" s="9"/>
      <c r="Q564" s="9"/>
      <c r="R564" s="9"/>
      <c r="S564" s="9"/>
      <c r="T564" s="9"/>
      <c r="U564" s="9"/>
      <c r="V564" s="9"/>
      <c r="W564" s="9"/>
      <c r="X564" s="9"/>
      <c r="Y564" s="9"/>
      <c r="Z564" s="9"/>
      <c r="AA564" s="9"/>
      <c r="AB564" s="9"/>
      <c r="AC564" s="9"/>
      <c r="AD564" s="9"/>
      <c r="AE564" s="9"/>
      <c r="AF564" s="9"/>
    </row>
    <row r="565">
      <c r="A565" s="9"/>
      <c r="B565" s="9"/>
      <c r="C565" s="9"/>
      <c r="D565" s="9"/>
      <c r="E565" s="9"/>
      <c r="F565" s="9"/>
      <c r="G565" s="9"/>
      <c r="H565" s="9"/>
      <c r="I565" s="9"/>
      <c r="J565" s="9"/>
      <c r="K565" s="9"/>
      <c r="L565" s="9"/>
      <c r="M565" s="9"/>
      <c r="N565" s="9"/>
      <c r="O565" s="9"/>
      <c r="P565" s="9"/>
      <c r="Q565" s="9"/>
      <c r="R565" s="9"/>
      <c r="S565" s="9"/>
      <c r="T565" s="9"/>
      <c r="U565" s="9"/>
      <c r="V565" s="9"/>
      <c r="W565" s="9"/>
      <c r="X565" s="9"/>
      <c r="Y565" s="9"/>
      <c r="Z565" s="9"/>
      <c r="AA565" s="9"/>
      <c r="AB565" s="9"/>
      <c r="AC565" s="9"/>
      <c r="AD565" s="9"/>
      <c r="AE565" s="9"/>
      <c r="AF565" s="9"/>
    </row>
    <row r="566">
      <c r="A566" s="9"/>
      <c r="B566" s="9"/>
      <c r="C566" s="9"/>
      <c r="D566" s="9"/>
      <c r="E566" s="9"/>
      <c r="F566" s="9"/>
      <c r="G566" s="9"/>
      <c r="H566" s="9"/>
      <c r="I566" s="9"/>
      <c r="J566" s="9"/>
      <c r="K566" s="9"/>
      <c r="L566" s="9"/>
      <c r="M566" s="9"/>
      <c r="N566" s="9"/>
      <c r="O566" s="9"/>
      <c r="P566" s="9"/>
      <c r="Q566" s="9"/>
      <c r="R566" s="9"/>
      <c r="S566" s="9"/>
      <c r="T566" s="9"/>
      <c r="U566" s="9"/>
      <c r="V566" s="9"/>
      <c r="W566" s="9"/>
      <c r="X566" s="9"/>
      <c r="Y566" s="9"/>
      <c r="Z566" s="9"/>
      <c r="AA566" s="9"/>
      <c r="AB566" s="9"/>
      <c r="AC566" s="9"/>
      <c r="AD566" s="9"/>
      <c r="AE566" s="9"/>
      <c r="AF566" s="9"/>
    </row>
    <row r="567">
      <c r="A567" s="9"/>
      <c r="B567" s="9"/>
      <c r="C567" s="9"/>
      <c r="D567" s="9"/>
      <c r="E567" s="9"/>
      <c r="F567" s="9"/>
      <c r="G567" s="9"/>
      <c r="H567" s="9"/>
      <c r="I567" s="9"/>
      <c r="J567" s="9"/>
      <c r="K567" s="9"/>
      <c r="L567" s="9"/>
      <c r="M567" s="9"/>
      <c r="N567" s="9"/>
      <c r="O567" s="9"/>
      <c r="P567" s="9"/>
      <c r="Q567" s="9"/>
      <c r="R567" s="9"/>
      <c r="S567" s="9"/>
      <c r="T567" s="9"/>
      <c r="U567" s="9"/>
      <c r="V567" s="9"/>
      <c r="W567" s="9"/>
      <c r="X567" s="9"/>
      <c r="Y567" s="9"/>
      <c r="Z567" s="9"/>
      <c r="AA567" s="9"/>
      <c r="AB567" s="9"/>
      <c r="AC567" s="9"/>
      <c r="AD567" s="9"/>
      <c r="AE567" s="9"/>
      <c r="AF567" s="9"/>
    </row>
    <row r="568">
      <c r="A568" s="9"/>
      <c r="B568" s="9"/>
      <c r="C568" s="9"/>
      <c r="D568" s="9"/>
      <c r="E568" s="9"/>
      <c r="F568" s="9"/>
      <c r="G568" s="9"/>
      <c r="H568" s="9"/>
      <c r="I568" s="9"/>
      <c r="J568" s="9"/>
      <c r="K568" s="9"/>
      <c r="L568" s="9"/>
      <c r="M568" s="9"/>
      <c r="N568" s="9"/>
      <c r="O568" s="9"/>
      <c r="P568" s="9"/>
      <c r="Q568" s="9"/>
      <c r="R568" s="9"/>
      <c r="S568" s="9"/>
      <c r="T568" s="9"/>
      <c r="U568" s="9"/>
      <c r="V568" s="9"/>
      <c r="W568" s="9"/>
      <c r="X568" s="9"/>
      <c r="Y568" s="9"/>
      <c r="Z568" s="9"/>
      <c r="AA568" s="9"/>
      <c r="AB568" s="9"/>
      <c r="AC568" s="9"/>
      <c r="AD568" s="9"/>
      <c r="AE568" s="9"/>
      <c r="AF568" s="9"/>
    </row>
    <row r="569">
      <c r="A569" s="9"/>
      <c r="B569" s="9"/>
      <c r="C569" s="9"/>
      <c r="D569" s="9"/>
      <c r="E569" s="9"/>
      <c r="F569" s="9"/>
      <c r="G569" s="9"/>
      <c r="H569" s="9"/>
      <c r="I569" s="9"/>
      <c r="J569" s="9"/>
      <c r="K569" s="9"/>
      <c r="L569" s="9"/>
      <c r="M569" s="9"/>
      <c r="N569" s="9"/>
      <c r="O569" s="9"/>
      <c r="P569" s="9"/>
      <c r="Q569" s="9"/>
      <c r="R569" s="9"/>
      <c r="S569" s="9"/>
      <c r="T569" s="9"/>
      <c r="U569" s="9"/>
      <c r="V569" s="9"/>
      <c r="W569" s="9"/>
      <c r="X569" s="9"/>
      <c r="Y569" s="9"/>
      <c r="Z569" s="9"/>
      <c r="AA569" s="9"/>
      <c r="AB569" s="9"/>
      <c r="AC569" s="9"/>
      <c r="AD569" s="9"/>
      <c r="AE569" s="9"/>
      <c r="AF569" s="9"/>
    </row>
    <row r="570">
      <c r="A570" s="9"/>
      <c r="B570" s="9"/>
      <c r="C570" s="9"/>
      <c r="D570" s="9"/>
      <c r="E570" s="9"/>
      <c r="F570" s="9"/>
      <c r="G570" s="9"/>
      <c r="H570" s="9"/>
      <c r="I570" s="9"/>
      <c r="J570" s="9"/>
      <c r="K570" s="9"/>
      <c r="L570" s="9"/>
      <c r="M570" s="9"/>
      <c r="N570" s="9"/>
      <c r="O570" s="9"/>
      <c r="P570" s="9"/>
      <c r="Q570" s="9"/>
      <c r="R570" s="9"/>
      <c r="S570" s="9"/>
      <c r="T570" s="9"/>
      <c r="U570" s="9"/>
      <c r="V570" s="9"/>
      <c r="W570" s="9"/>
      <c r="X570" s="9"/>
      <c r="Y570" s="9"/>
      <c r="Z570" s="9"/>
      <c r="AA570" s="9"/>
      <c r="AB570" s="9"/>
      <c r="AC570" s="9"/>
      <c r="AD570" s="9"/>
      <c r="AE570" s="9"/>
      <c r="AF570" s="9"/>
    </row>
    <row r="571">
      <c r="A571" s="9"/>
      <c r="B571" s="9"/>
      <c r="C571" s="9"/>
      <c r="D571" s="9"/>
      <c r="E571" s="9"/>
      <c r="F571" s="9"/>
      <c r="G571" s="9"/>
      <c r="H571" s="9"/>
      <c r="I571" s="9"/>
      <c r="J571" s="9"/>
      <c r="K571" s="9"/>
      <c r="L571" s="9"/>
      <c r="M571" s="9"/>
      <c r="N571" s="9"/>
      <c r="O571" s="9"/>
      <c r="P571" s="9"/>
      <c r="Q571" s="9"/>
      <c r="R571" s="9"/>
      <c r="S571" s="9"/>
      <c r="T571" s="9"/>
      <c r="U571" s="9"/>
      <c r="V571" s="9"/>
      <c r="W571" s="9"/>
      <c r="X571" s="9"/>
      <c r="Y571" s="9"/>
      <c r="Z571" s="9"/>
      <c r="AA571" s="9"/>
      <c r="AB571" s="9"/>
      <c r="AC571" s="9"/>
      <c r="AD571" s="9"/>
      <c r="AE571" s="9"/>
      <c r="AF571" s="9"/>
    </row>
    <row r="572">
      <c r="A572" s="9"/>
      <c r="B572" s="9"/>
      <c r="C572" s="9"/>
      <c r="D572" s="9"/>
      <c r="E572" s="9"/>
      <c r="F572" s="9"/>
      <c r="G572" s="9"/>
      <c r="H572" s="9"/>
      <c r="I572" s="9"/>
      <c r="J572" s="9"/>
      <c r="K572" s="9"/>
      <c r="L572" s="9"/>
      <c r="M572" s="9"/>
      <c r="N572" s="9"/>
      <c r="O572" s="9"/>
      <c r="P572" s="9"/>
      <c r="Q572" s="9"/>
      <c r="R572" s="9"/>
      <c r="S572" s="9"/>
      <c r="T572" s="9"/>
      <c r="U572" s="9"/>
      <c r="V572" s="9"/>
      <c r="W572" s="9"/>
      <c r="X572" s="9"/>
      <c r="Y572" s="9"/>
      <c r="Z572" s="9"/>
      <c r="AA572" s="9"/>
      <c r="AB572" s="9"/>
      <c r="AC572" s="9"/>
      <c r="AD572" s="9"/>
      <c r="AE572" s="9"/>
      <c r="AF572" s="9"/>
    </row>
    <row r="573">
      <c r="A573" s="9"/>
      <c r="B573" s="9"/>
      <c r="C573" s="9"/>
      <c r="D573" s="9"/>
      <c r="E573" s="9"/>
      <c r="F573" s="9"/>
      <c r="G573" s="9"/>
      <c r="H573" s="9"/>
      <c r="I573" s="9"/>
      <c r="J573" s="9"/>
      <c r="K573" s="9"/>
      <c r="L573" s="9"/>
      <c r="M573" s="9"/>
      <c r="N573" s="9"/>
      <c r="O573" s="9"/>
      <c r="P573" s="9"/>
      <c r="Q573" s="9"/>
      <c r="R573" s="9"/>
      <c r="S573" s="9"/>
      <c r="T573" s="9"/>
      <c r="U573" s="9"/>
      <c r="V573" s="9"/>
      <c r="W573" s="9"/>
      <c r="X573" s="9"/>
      <c r="Y573" s="9"/>
      <c r="Z573" s="9"/>
      <c r="AA573" s="9"/>
      <c r="AB573" s="9"/>
      <c r="AC573" s="9"/>
      <c r="AD573" s="9"/>
      <c r="AE573" s="9"/>
      <c r="AF573" s="9"/>
    </row>
    <row r="574">
      <c r="A574" s="9"/>
      <c r="B574" s="9"/>
      <c r="C574" s="9"/>
      <c r="D574" s="9"/>
      <c r="E574" s="9"/>
      <c r="F574" s="9"/>
      <c r="G574" s="9"/>
      <c r="H574" s="9"/>
      <c r="I574" s="9"/>
      <c r="J574" s="9"/>
      <c r="K574" s="9"/>
      <c r="L574" s="9"/>
      <c r="M574" s="9"/>
      <c r="N574" s="9"/>
      <c r="O574" s="9"/>
      <c r="P574" s="9"/>
      <c r="Q574" s="9"/>
      <c r="R574" s="9"/>
      <c r="S574" s="9"/>
      <c r="T574" s="9"/>
      <c r="U574" s="9"/>
      <c r="V574" s="9"/>
      <c r="W574" s="9"/>
      <c r="X574" s="9"/>
      <c r="Y574" s="9"/>
      <c r="Z574" s="9"/>
      <c r="AA574" s="9"/>
      <c r="AB574" s="9"/>
      <c r="AC574" s="9"/>
      <c r="AD574" s="9"/>
      <c r="AE574" s="9"/>
      <c r="AF574" s="9"/>
    </row>
    <row r="575">
      <c r="A575" s="9"/>
      <c r="B575" s="9"/>
      <c r="C575" s="9"/>
      <c r="D575" s="9"/>
      <c r="E575" s="9"/>
      <c r="F575" s="9"/>
      <c r="G575" s="9"/>
      <c r="H575" s="9"/>
      <c r="I575" s="9"/>
      <c r="J575" s="9"/>
      <c r="K575" s="9"/>
      <c r="L575" s="9"/>
      <c r="M575" s="9"/>
      <c r="N575" s="9"/>
      <c r="O575" s="9"/>
      <c r="P575" s="9"/>
      <c r="Q575" s="9"/>
      <c r="R575" s="9"/>
      <c r="S575" s="9"/>
      <c r="T575" s="9"/>
      <c r="U575" s="9"/>
      <c r="V575" s="9"/>
      <c r="W575" s="9"/>
      <c r="X575" s="9"/>
      <c r="Y575" s="9"/>
      <c r="Z575" s="9"/>
      <c r="AA575" s="9"/>
      <c r="AB575" s="9"/>
      <c r="AC575" s="9"/>
      <c r="AD575" s="9"/>
      <c r="AE575" s="9"/>
      <c r="AF575" s="9"/>
    </row>
    <row r="576">
      <c r="A576" s="9"/>
      <c r="B576" s="9"/>
      <c r="C576" s="9"/>
      <c r="D576" s="9"/>
      <c r="E576" s="9"/>
      <c r="F576" s="9"/>
      <c r="G576" s="9"/>
      <c r="H576" s="9"/>
      <c r="I576" s="9"/>
      <c r="J576" s="9"/>
      <c r="K576" s="9"/>
      <c r="L576" s="9"/>
      <c r="M576" s="9"/>
      <c r="N576" s="9"/>
      <c r="O576" s="9"/>
      <c r="P576" s="9"/>
      <c r="Q576" s="9"/>
      <c r="R576" s="9"/>
      <c r="S576" s="9"/>
      <c r="T576" s="9"/>
      <c r="U576" s="9"/>
      <c r="V576" s="9"/>
      <c r="W576" s="9"/>
      <c r="X576" s="9"/>
      <c r="Y576" s="9"/>
      <c r="Z576" s="9"/>
      <c r="AA576" s="9"/>
      <c r="AB576" s="9"/>
      <c r="AC576" s="9"/>
      <c r="AD576" s="9"/>
      <c r="AE576" s="9"/>
      <c r="AF576" s="9"/>
    </row>
    <row r="577">
      <c r="A577" s="9"/>
      <c r="B577" s="9"/>
      <c r="C577" s="9"/>
      <c r="D577" s="9"/>
      <c r="E577" s="9"/>
      <c r="F577" s="9"/>
      <c r="G577" s="9"/>
      <c r="H577" s="9"/>
      <c r="I577" s="9"/>
      <c r="J577" s="9"/>
      <c r="K577" s="9"/>
      <c r="L577" s="9"/>
      <c r="M577" s="9"/>
      <c r="N577" s="9"/>
      <c r="O577" s="9"/>
      <c r="P577" s="9"/>
      <c r="Q577" s="9"/>
      <c r="R577" s="9"/>
      <c r="S577" s="9"/>
      <c r="T577" s="9"/>
      <c r="U577" s="9"/>
      <c r="V577" s="9"/>
      <c r="W577" s="9"/>
      <c r="X577" s="9"/>
      <c r="Y577" s="9"/>
      <c r="Z577" s="9"/>
      <c r="AA577" s="9"/>
      <c r="AB577" s="9"/>
      <c r="AC577" s="9"/>
      <c r="AD577" s="9"/>
      <c r="AE577" s="9"/>
      <c r="AF577" s="9"/>
    </row>
    <row r="578">
      <c r="A578" s="9"/>
      <c r="B578" s="9"/>
      <c r="C578" s="9"/>
      <c r="D578" s="9"/>
      <c r="E578" s="9"/>
      <c r="F578" s="9"/>
      <c r="G578" s="9"/>
      <c r="H578" s="9"/>
      <c r="I578" s="9"/>
      <c r="J578" s="9"/>
      <c r="K578" s="9"/>
      <c r="L578" s="9"/>
      <c r="M578" s="9"/>
      <c r="N578" s="9"/>
      <c r="O578" s="9"/>
      <c r="P578" s="9"/>
      <c r="Q578" s="9"/>
      <c r="R578" s="9"/>
      <c r="S578" s="9"/>
      <c r="T578" s="9"/>
      <c r="U578" s="9"/>
      <c r="V578" s="9"/>
      <c r="W578" s="9"/>
      <c r="X578" s="9"/>
      <c r="Y578" s="9"/>
      <c r="Z578" s="9"/>
      <c r="AA578" s="9"/>
      <c r="AB578" s="9"/>
      <c r="AC578" s="9"/>
      <c r="AD578" s="9"/>
      <c r="AE578" s="9"/>
      <c r="AF578" s="9"/>
    </row>
    <row r="579">
      <c r="A579" s="9"/>
      <c r="B579" s="9"/>
      <c r="C579" s="9"/>
      <c r="D579" s="9"/>
      <c r="E579" s="9"/>
      <c r="F579" s="9"/>
      <c r="G579" s="9"/>
      <c r="H579" s="9"/>
      <c r="I579" s="9"/>
      <c r="J579" s="9"/>
      <c r="K579" s="9"/>
      <c r="L579" s="9"/>
      <c r="M579" s="9"/>
      <c r="N579" s="9"/>
      <c r="O579" s="9"/>
      <c r="P579" s="9"/>
      <c r="Q579" s="9"/>
      <c r="R579" s="9"/>
      <c r="S579" s="9"/>
      <c r="T579" s="9"/>
      <c r="U579" s="9"/>
      <c r="V579" s="9"/>
      <c r="W579" s="9"/>
      <c r="X579" s="9"/>
      <c r="Y579" s="9"/>
      <c r="Z579" s="9"/>
      <c r="AA579" s="9"/>
      <c r="AB579" s="9"/>
      <c r="AC579" s="9"/>
      <c r="AD579" s="9"/>
      <c r="AE579" s="9"/>
      <c r="AF579" s="9"/>
    </row>
    <row r="580">
      <c r="A580" s="9"/>
      <c r="B580" s="9"/>
      <c r="C580" s="9"/>
      <c r="D580" s="9"/>
      <c r="E580" s="9"/>
      <c r="F580" s="9"/>
      <c r="G580" s="9"/>
      <c r="H580" s="9"/>
      <c r="I580" s="9"/>
      <c r="J580" s="9"/>
      <c r="K580" s="9"/>
      <c r="L580" s="9"/>
      <c r="M580" s="9"/>
      <c r="N580" s="9"/>
      <c r="O580" s="9"/>
      <c r="P580" s="9"/>
      <c r="Q580" s="9"/>
      <c r="R580" s="9"/>
      <c r="S580" s="9"/>
      <c r="T580" s="9"/>
      <c r="U580" s="9"/>
      <c r="V580" s="9"/>
      <c r="W580" s="9"/>
      <c r="X580" s="9"/>
      <c r="Y580" s="9"/>
      <c r="Z580" s="9"/>
      <c r="AA580" s="9"/>
      <c r="AB580" s="9"/>
      <c r="AC580" s="9"/>
      <c r="AD580" s="9"/>
      <c r="AE580" s="9"/>
      <c r="AF580" s="9"/>
    </row>
    <row r="581">
      <c r="A581" s="9"/>
      <c r="B581" s="9"/>
      <c r="C581" s="9"/>
      <c r="D581" s="9"/>
      <c r="E581" s="9"/>
      <c r="F581" s="9"/>
      <c r="G581" s="9"/>
      <c r="H581" s="9"/>
      <c r="I581" s="9"/>
      <c r="J581" s="9"/>
      <c r="K581" s="9"/>
      <c r="L581" s="9"/>
      <c r="M581" s="9"/>
      <c r="N581" s="9"/>
      <c r="O581" s="9"/>
      <c r="P581" s="9"/>
      <c r="Q581" s="9"/>
      <c r="R581" s="9"/>
      <c r="S581" s="9"/>
      <c r="T581" s="9"/>
      <c r="U581" s="9"/>
      <c r="V581" s="9"/>
      <c r="W581" s="9"/>
      <c r="X581" s="9"/>
      <c r="Y581" s="9"/>
      <c r="Z581" s="9"/>
      <c r="AA581" s="9"/>
      <c r="AB581" s="9"/>
      <c r="AC581" s="9"/>
      <c r="AD581" s="9"/>
      <c r="AE581" s="9"/>
      <c r="AF581" s="9"/>
    </row>
    <row r="582">
      <c r="A582" s="9"/>
      <c r="B582" s="9"/>
      <c r="C582" s="9"/>
      <c r="D582" s="9"/>
      <c r="E582" s="9"/>
      <c r="F582" s="9"/>
      <c r="G582" s="9"/>
      <c r="H582" s="9"/>
      <c r="I582" s="9"/>
      <c r="J582" s="9"/>
      <c r="K582" s="9"/>
      <c r="L582" s="9"/>
      <c r="M582" s="9"/>
      <c r="N582" s="9"/>
      <c r="O582" s="9"/>
      <c r="P582" s="9"/>
      <c r="Q582" s="9"/>
      <c r="R582" s="9"/>
      <c r="S582" s="9"/>
      <c r="T582" s="9"/>
      <c r="U582" s="9"/>
      <c r="V582" s="9"/>
      <c r="W582" s="9"/>
      <c r="X582" s="9"/>
      <c r="Y582" s="9"/>
      <c r="Z582" s="9"/>
      <c r="AA582" s="9"/>
      <c r="AB582" s="9"/>
      <c r="AC582" s="9"/>
      <c r="AD582" s="9"/>
      <c r="AE582" s="9"/>
      <c r="AF582" s="9"/>
    </row>
    <row r="583">
      <c r="A583" s="9"/>
      <c r="B583" s="9"/>
      <c r="C583" s="9"/>
      <c r="D583" s="9"/>
      <c r="E583" s="9"/>
      <c r="F583" s="9"/>
      <c r="G583" s="9"/>
      <c r="H583" s="9"/>
      <c r="I583" s="9"/>
      <c r="J583" s="9"/>
      <c r="K583" s="9"/>
      <c r="L583" s="9"/>
      <c r="M583" s="9"/>
      <c r="N583" s="9"/>
      <c r="O583" s="9"/>
      <c r="P583" s="9"/>
      <c r="Q583" s="9"/>
      <c r="R583" s="9"/>
      <c r="S583" s="9"/>
      <c r="T583" s="9"/>
      <c r="U583" s="9"/>
      <c r="V583" s="9"/>
      <c r="W583" s="9"/>
      <c r="X583" s="9"/>
      <c r="Y583" s="9"/>
      <c r="Z583" s="9"/>
      <c r="AA583" s="9"/>
      <c r="AB583" s="9"/>
      <c r="AC583" s="9"/>
      <c r="AD583" s="9"/>
      <c r="AE583" s="9"/>
      <c r="AF583" s="9"/>
    </row>
    <row r="584">
      <c r="A584" s="9"/>
      <c r="B584" s="9"/>
      <c r="C584" s="9"/>
      <c r="D584" s="9"/>
      <c r="E584" s="9"/>
      <c r="F584" s="9"/>
      <c r="G584" s="9"/>
      <c r="H584" s="9"/>
      <c r="I584" s="9"/>
      <c r="J584" s="9"/>
      <c r="K584" s="9"/>
      <c r="L584" s="9"/>
      <c r="M584" s="9"/>
      <c r="N584" s="9"/>
      <c r="O584" s="9"/>
      <c r="P584" s="9"/>
      <c r="Q584" s="9"/>
      <c r="R584" s="9"/>
      <c r="S584" s="9"/>
      <c r="T584" s="9"/>
      <c r="U584" s="9"/>
      <c r="V584" s="9"/>
      <c r="W584" s="9"/>
      <c r="X584" s="9"/>
      <c r="Y584" s="9"/>
      <c r="Z584" s="9"/>
      <c r="AA584" s="9"/>
      <c r="AB584" s="9"/>
      <c r="AC584" s="9"/>
      <c r="AD584" s="9"/>
      <c r="AE584" s="9"/>
      <c r="AF584" s="9"/>
    </row>
    <row r="585">
      <c r="A585" s="9"/>
      <c r="B585" s="9"/>
      <c r="C585" s="9"/>
      <c r="D585" s="9"/>
      <c r="E585" s="9"/>
      <c r="F585" s="9"/>
      <c r="G585" s="9"/>
      <c r="H585" s="9"/>
      <c r="I585" s="9"/>
      <c r="J585" s="9"/>
      <c r="K585" s="9"/>
      <c r="L585" s="9"/>
      <c r="M585" s="9"/>
      <c r="N585" s="9"/>
      <c r="O585" s="9"/>
      <c r="P585" s="9"/>
      <c r="Q585" s="9"/>
      <c r="R585" s="9"/>
      <c r="S585" s="9"/>
      <c r="T585" s="9"/>
      <c r="U585" s="9"/>
      <c r="V585" s="9"/>
      <c r="W585" s="9"/>
      <c r="X585" s="9"/>
      <c r="Y585" s="9"/>
      <c r="Z585" s="9"/>
      <c r="AA585" s="9"/>
      <c r="AB585" s="9"/>
      <c r="AC585" s="9"/>
      <c r="AD585" s="9"/>
      <c r="AE585" s="9"/>
      <c r="AF585" s="9"/>
    </row>
    <row r="586">
      <c r="A586" s="9"/>
      <c r="B586" s="9"/>
      <c r="C586" s="9"/>
      <c r="D586" s="9"/>
      <c r="E586" s="9"/>
      <c r="F586" s="9"/>
      <c r="G586" s="9"/>
      <c r="H586" s="9"/>
      <c r="I586" s="9"/>
      <c r="J586" s="9"/>
      <c r="K586" s="9"/>
      <c r="L586" s="9"/>
      <c r="M586" s="9"/>
      <c r="N586" s="9"/>
      <c r="O586" s="9"/>
      <c r="P586" s="9"/>
      <c r="Q586" s="9"/>
      <c r="R586" s="9"/>
      <c r="S586" s="9"/>
      <c r="T586" s="9"/>
      <c r="U586" s="9"/>
      <c r="V586" s="9"/>
      <c r="W586" s="9"/>
      <c r="X586" s="9"/>
      <c r="Y586" s="9"/>
      <c r="Z586" s="9"/>
      <c r="AA586" s="9"/>
      <c r="AB586" s="9"/>
      <c r="AC586" s="9"/>
      <c r="AD586" s="9"/>
      <c r="AE586" s="9"/>
      <c r="AF586" s="9"/>
    </row>
    <row r="587">
      <c r="A587" s="9"/>
      <c r="B587" s="9"/>
      <c r="C587" s="9"/>
      <c r="D587" s="9"/>
      <c r="E587" s="9"/>
      <c r="F587" s="9"/>
      <c r="G587" s="9"/>
      <c r="H587" s="9"/>
      <c r="I587" s="9"/>
      <c r="J587" s="9"/>
      <c r="K587" s="9"/>
      <c r="L587" s="9"/>
      <c r="M587" s="9"/>
      <c r="N587" s="9"/>
      <c r="O587" s="9"/>
      <c r="P587" s="9"/>
      <c r="Q587" s="9"/>
      <c r="R587" s="9"/>
      <c r="S587" s="9"/>
      <c r="T587" s="9"/>
      <c r="U587" s="9"/>
      <c r="V587" s="9"/>
      <c r="W587" s="9"/>
      <c r="X587" s="9"/>
      <c r="Y587" s="9"/>
      <c r="Z587" s="9"/>
      <c r="AA587" s="9"/>
      <c r="AB587" s="9"/>
      <c r="AC587" s="9"/>
      <c r="AD587" s="9"/>
      <c r="AE587" s="9"/>
      <c r="AF587" s="9"/>
    </row>
    <row r="588">
      <c r="A588" s="9"/>
      <c r="B588" s="9"/>
      <c r="C588" s="9"/>
      <c r="D588" s="9"/>
      <c r="E588" s="9"/>
      <c r="F588" s="9"/>
      <c r="G588" s="9"/>
      <c r="H588" s="9"/>
      <c r="I588" s="9"/>
      <c r="J588" s="9"/>
      <c r="K588" s="9"/>
      <c r="L588" s="9"/>
      <c r="M588" s="9"/>
      <c r="N588" s="9"/>
      <c r="O588" s="9"/>
      <c r="P588" s="9"/>
      <c r="Q588" s="9"/>
      <c r="R588" s="9"/>
      <c r="S588" s="9"/>
      <c r="T588" s="9"/>
      <c r="U588" s="9"/>
      <c r="V588" s="9"/>
      <c r="W588" s="9"/>
      <c r="X588" s="9"/>
      <c r="Y588" s="9"/>
      <c r="Z588" s="9"/>
      <c r="AA588" s="9"/>
      <c r="AB588" s="9"/>
      <c r="AC588" s="9"/>
      <c r="AD588" s="9"/>
      <c r="AE588" s="9"/>
      <c r="AF588" s="9"/>
    </row>
    <row r="589">
      <c r="A589" s="9"/>
      <c r="B589" s="9"/>
      <c r="C589" s="9"/>
      <c r="D589" s="9"/>
      <c r="E589" s="9"/>
      <c r="F589" s="9"/>
      <c r="G589" s="9"/>
      <c r="H589" s="9"/>
      <c r="I589" s="9"/>
      <c r="J589" s="9"/>
      <c r="K589" s="9"/>
      <c r="L589" s="9"/>
      <c r="M589" s="9"/>
      <c r="N589" s="9"/>
      <c r="O589" s="9"/>
      <c r="P589" s="9"/>
      <c r="Q589" s="9"/>
      <c r="R589" s="9"/>
      <c r="S589" s="9"/>
      <c r="T589" s="9"/>
      <c r="U589" s="9"/>
      <c r="V589" s="9"/>
      <c r="W589" s="9"/>
      <c r="X589" s="9"/>
      <c r="Y589" s="9"/>
      <c r="Z589" s="9"/>
      <c r="AA589" s="9"/>
      <c r="AB589" s="9"/>
      <c r="AC589" s="9"/>
      <c r="AD589" s="9"/>
      <c r="AE589" s="9"/>
      <c r="AF589" s="9"/>
    </row>
    <row r="590">
      <c r="A590" s="9"/>
      <c r="B590" s="9"/>
      <c r="C590" s="9"/>
      <c r="D590" s="9"/>
      <c r="E590" s="9"/>
      <c r="F590" s="9"/>
      <c r="G590" s="9"/>
      <c r="H590" s="9"/>
      <c r="I590" s="9"/>
      <c r="J590" s="9"/>
      <c r="K590" s="9"/>
      <c r="L590" s="9"/>
      <c r="M590" s="9"/>
      <c r="N590" s="9"/>
      <c r="O590" s="9"/>
      <c r="P590" s="9"/>
      <c r="Q590" s="9"/>
      <c r="R590" s="9"/>
      <c r="S590" s="9"/>
      <c r="T590" s="9"/>
      <c r="U590" s="9"/>
      <c r="V590" s="9"/>
      <c r="W590" s="9"/>
      <c r="X590" s="9"/>
      <c r="Y590" s="9"/>
      <c r="Z590" s="9"/>
      <c r="AA590" s="9"/>
      <c r="AB590" s="9"/>
      <c r="AC590" s="9"/>
      <c r="AD590" s="9"/>
      <c r="AE590" s="9"/>
      <c r="AF590" s="9"/>
    </row>
    <row r="591">
      <c r="A591" s="9"/>
      <c r="B591" s="9"/>
      <c r="C591" s="9"/>
      <c r="D591" s="9"/>
      <c r="E591" s="9"/>
      <c r="F591" s="9"/>
      <c r="G591" s="9"/>
      <c r="H591" s="9"/>
      <c r="I591" s="9"/>
      <c r="J591" s="9"/>
      <c r="K591" s="9"/>
      <c r="L591" s="9"/>
      <c r="M591" s="9"/>
      <c r="N591" s="9"/>
      <c r="O591" s="9"/>
      <c r="P591" s="9"/>
      <c r="Q591" s="9"/>
      <c r="R591" s="9"/>
      <c r="S591" s="9"/>
      <c r="T591" s="9"/>
      <c r="U591" s="9"/>
      <c r="V591" s="9"/>
      <c r="W591" s="9"/>
      <c r="X591" s="9"/>
      <c r="Y591" s="9"/>
      <c r="Z591" s="9"/>
      <c r="AA591" s="9"/>
      <c r="AB591" s="9"/>
      <c r="AC591" s="9"/>
      <c r="AD591" s="9"/>
      <c r="AE591" s="9"/>
      <c r="AF591" s="9"/>
    </row>
    <row r="592">
      <c r="A592" s="9"/>
      <c r="B592" s="9"/>
      <c r="C592" s="9"/>
      <c r="D592" s="9"/>
      <c r="E592" s="9"/>
      <c r="F592" s="9"/>
      <c r="G592" s="9"/>
      <c r="H592" s="9"/>
      <c r="I592" s="9"/>
      <c r="J592" s="9"/>
      <c r="K592" s="9"/>
      <c r="L592" s="9"/>
      <c r="M592" s="9"/>
      <c r="N592" s="9"/>
      <c r="O592" s="9"/>
      <c r="P592" s="9"/>
      <c r="Q592" s="9"/>
      <c r="R592" s="9"/>
      <c r="S592" s="9"/>
      <c r="T592" s="9"/>
      <c r="U592" s="9"/>
      <c r="V592" s="9"/>
      <c r="W592" s="9"/>
      <c r="X592" s="9"/>
      <c r="Y592" s="9"/>
      <c r="Z592" s="9"/>
      <c r="AA592" s="9"/>
      <c r="AB592" s="9"/>
      <c r="AC592" s="9"/>
      <c r="AD592" s="9"/>
      <c r="AE592" s="9"/>
      <c r="AF592" s="9"/>
    </row>
    <row r="593">
      <c r="A593" s="9"/>
      <c r="B593" s="9"/>
      <c r="C593" s="9"/>
      <c r="D593" s="9"/>
      <c r="E593" s="9"/>
      <c r="F593" s="9"/>
      <c r="G593" s="9"/>
      <c r="H593" s="9"/>
      <c r="I593" s="9"/>
      <c r="J593" s="9"/>
      <c r="K593" s="9"/>
      <c r="L593" s="9"/>
      <c r="M593" s="9"/>
      <c r="N593" s="9"/>
      <c r="O593" s="9"/>
      <c r="P593" s="9"/>
      <c r="Q593" s="9"/>
      <c r="R593" s="9"/>
      <c r="S593" s="9"/>
      <c r="T593" s="9"/>
      <c r="U593" s="9"/>
      <c r="V593" s="9"/>
      <c r="W593" s="9"/>
      <c r="X593" s="9"/>
      <c r="Y593" s="9"/>
      <c r="Z593" s="9"/>
      <c r="AA593" s="9"/>
      <c r="AB593" s="9"/>
      <c r="AC593" s="9"/>
      <c r="AD593" s="9"/>
      <c r="AE593" s="9"/>
      <c r="AF593" s="9"/>
    </row>
    <row r="594">
      <c r="A594" s="9"/>
      <c r="B594" s="9"/>
      <c r="C594" s="9"/>
      <c r="D594" s="9"/>
      <c r="E594" s="9"/>
      <c r="F594" s="9"/>
      <c r="G594" s="9"/>
      <c r="H594" s="9"/>
      <c r="I594" s="9"/>
      <c r="J594" s="9"/>
      <c r="K594" s="9"/>
      <c r="L594" s="9"/>
      <c r="M594" s="9"/>
      <c r="N594" s="9"/>
      <c r="O594" s="9"/>
      <c r="P594" s="9"/>
      <c r="Q594" s="9"/>
      <c r="R594" s="9"/>
      <c r="S594" s="9"/>
      <c r="T594" s="9"/>
      <c r="U594" s="9"/>
      <c r="V594" s="9"/>
      <c r="W594" s="9"/>
      <c r="X594" s="9"/>
      <c r="Y594" s="9"/>
      <c r="Z594" s="9"/>
      <c r="AA594" s="9"/>
      <c r="AB594" s="9"/>
      <c r="AC594" s="9"/>
      <c r="AD594" s="9"/>
      <c r="AE594" s="9"/>
      <c r="AF594" s="9"/>
    </row>
    <row r="595">
      <c r="A595" s="9"/>
      <c r="B595" s="9"/>
      <c r="C595" s="9"/>
      <c r="D595" s="9"/>
      <c r="E595" s="9"/>
      <c r="F595" s="9"/>
      <c r="G595" s="9"/>
      <c r="H595" s="9"/>
      <c r="I595" s="9"/>
      <c r="J595" s="9"/>
      <c r="K595" s="9"/>
      <c r="L595" s="9"/>
      <c r="M595" s="9"/>
      <c r="N595" s="9"/>
      <c r="O595" s="9"/>
      <c r="P595" s="9"/>
      <c r="Q595" s="9"/>
      <c r="R595" s="9"/>
      <c r="S595" s="9"/>
      <c r="T595" s="9"/>
      <c r="U595" s="9"/>
      <c r="V595" s="9"/>
      <c r="W595" s="9"/>
      <c r="X595" s="9"/>
      <c r="Y595" s="9"/>
      <c r="Z595" s="9"/>
      <c r="AA595" s="9"/>
      <c r="AB595" s="9"/>
      <c r="AC595" s="9"/>
      <c r="AD595" s="9"/>
      <c r="AE595" s="9"/>
      <c r="AF595" s="9"/>
    </row>
    <row r="596">
      <c r="A596" s="9"/>
      <c r="B596" s="9"/>
      <c r="C596" s="9"/>
      <c r="D596" s="9"/>
      <c r="E596" s="9"/>
      <c r="F596" s="9"/>
      <c r="G596" s="9"/>
      <c r="H596" s="9"/>
      <c r="I596" s="9"/>
      <c r="J596" s="9"/>
      <c r="K596" s="9"/>
      <c r="L596" s="9"/>
      <c r="M596" s="9"/>
      <c r="N596" s="9"/>
      <c r="O596" s="9"/>
      <c r="P596" s="9"/>
      <c r="Q596" s="9"/>
      <c r="R596" s="9"/>
      <c r="S596" s="9"/>
      <c r="T596" s="9"/>
      <c r="U596" s="9"/>
      <c r="V596" s="9"/>
      <c r="W596" s="9"/>
      <c r="X596" s="9"/>
      <c r="Y596" s="9"/>
      <c r="Z596" s="9"/>
      <c r="AA596" s="9"/>
      <c r="AB596" s="9"/>
      <c r="AC596" s="9"/>
      <c r="AD596" s="9"/>
      <c r="AE596" s="9"/>
      <c r="AF596" s="9"/>
    </row>
    <row r="597">
      <c r="A597" s="9"/>
      <c r="B597" s="9"/>
      <c r="C597" s="9"/>
      <c r="D597" s="9"/>
      <c r="E597" s="9"/>
      <c r="F597" s="9"/>
      <c r="G597" s="9"/>
      <c r="H597" s="9"/>
      <c r="I597" s="9"/>
      <c r="J597" s="9"/>
      <c r="K597" s="9"/>
      <c r="L597" s="9"/>
      <c r="M597" s="9"/>
      <c r="N597" s="9"/>
      <c r="O597" s="9"/>
      <c r="P597" s="9"/>
      <c r="Q597" s="9"/>
      <c r="R597" s="9"/>
      <c r="S597" s="9"/>
      <c r="T597" s="9"/>
      <c r="U597" s="9"/>
      <c r="V597" s="9"/>
      <c r="W597" s="9"/>
      <c r="X597" s="9"/>
      <c r="Y597" s="9"/>
      <c r="Z597" s="9"/>
      <c r="AA597" s="9"/>
      <c r="AB597" s="9"/>
      <c r="AC597" s="9"/>
      <c r="AD597" s="9"/>
      <c r="AE597" s="9"/>
      <c r="AF597" s="9"/>
    </row>
    <row r="598">
      <c r="A598" s="9"/>
      <c r="B598" s="9"/>
      <c r="C598" s="9"/>
      <c r="D598" s="9"/>
      <c r="E598" s="9"/>
      <c r="F598" s="9"/>
      <c r="G598" s="9"/>
      <c r="H598" s="9"/>
      <c r="I598" s="9"/>
      <c r="J598" s="9"/>
      <c r="K598" s="9"/>
      <c r="L598" s="9"/>
      <c r="M598" s="9"/>
      <c r="N598" s="9"/>
      <c r="O598" s="9"/>
      <c r="P598" s="9"/>
      <c r="Q598" s="9"/>
      <c r="R598" s="9"/>
      <c r="S598" s="9"/>
      <c r="T598" s="9"/>
      <c r="U598" s="9"/>
      <c r="V598" s="9"/>
      <c r="W598" s="9"/>
      <c r="X598" s="9"/>
      <c r="Y598" s="9"/>
      <c r="Z598" s="9"/>
      <c r="AA598" s="9"/>
      <c r="AB598" s="9"/>
      <c r="AC598" s="9"/>
      <c r="AD598" s="9"/>
      <c r="AE598" s="9"/>
      <c r="AF598" s="9"/>
    </row>
    <row r="599">
      <c r="A599" s="9"/>
      <c r="B599" s="9"/>
      <c r="C599" s="9"/>
      <c r="D599" s="9"/>
      <c r="E599" s="9"/>
      <c r="F599" s="9"/>
      <c r="G599" s="9"/>
      <c r="H599" s="9"/>
      <c r="I599" s="9"/>
      <c r="J599" s="9"/>
      <c r="K599" s="9"/>
      <c r="L599" s="9"/>
      <c r="M599" s="9"/>
      <c r="N599" s="9"/>
      <c r="O599" s="9"/>
      <c r="P599" s="9"/>
      <c r="Q599" s="9"/>
      <c r="R599" s="9"/>
      <c r="S599" s="9"/>
      <c r="T599" s="9"/>
      <c r="U599" s="9"/>
      <c r="V599" s="9"/>
      <c r="W599" s="9"/>
      <c r="X599" s="9"/>
      <c r="Y599" s="9"/>
      <c r="Z599" s="9"/>
      <c r="AA599" s="9"/>
      <c r="AB599" s="9"/>
      <c r="AC599" s="9"/>
      <c r="AD599" s="9"/>
      <c r="AE599" s="9"/>
      <c r="AF599" s="9"/>
    </row>
    <row r="600">
      <c r="A600" s="9"/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s="9"/>
      <c r="N600" s="9"/>
      <c r="O600" s="9"/>
      <c r="P600" s="9"/>
      <c r="Q600" s="9"/>
      <c r="R600" s="9"/>
      <c r="S600" s="9"/>
      <c r="T600" s="9"/>
      <c r="U600" s="9"/>
      <c r="V600" s="9"/>
      <c r="W600" s="9"/>
      <c r="X600" s="9"/>
      <c r="Y600" s="9"/>
      <c r="Z600" s="9"/>
      <c r="AA600" s="9"/>
      <c r="AB600" s="9"/>
      <c r="AC600" s="9"/>
      <c r="AD600" s="9"/>
      <c r="AE600" s="9"/>
      <c r="AF600" s="9"/>
    </row>
    <row r="601">
      <c r="A601" s="9"/>
      <c r="B601" s="9"/>
      <c r="C601" s="9"/>
      <c r="D601" s="9"/>
      <c r="E601" s="9"/>
      <c r="F601" s="9"/>
      <c r="G601" s="9"/>
      <c r="H601" s="9"/>
      <c r="I601" s="9"/>
      <c r="J601" s="9"/>
      <c r="K601" s="9"/>
      <c r="L601" s="9"/>
      <c r="M601" s="9"/>
      <c r="N601" s="9"/>
      <c r="O601" s="9"/>
      <c r="P601" s="9"/>
      <c r="Q601" s="9"/>
      <c r="R601" s="9"/>
      <c r="S601" s="9"/>
      <c r="T601" s="9"/>
      <c r="U601" s="9"/>
      <c r="V601" s="9"/>
      <c r="W601" s="9"/>
      <c r="X601" s="9"/>
      <c r="Y601" s="9"/>
      <c r="Z601" s="9"/>
      <c r="AA601" s="9"/>
      <c r="AB601" s="9"/>
      <c r="AC601" s="9"/>
      <c r="AD601" s="9"/>
      <c r="AE601" s="9"/>
      <c r="AF601" s="9"/>
    </row>
    <row r="602">
      <c r="A602" s="9"/>
      <c r="B602" s="9"/>
      <c r="C602" s="9"/>
      <c r="D602" s="9"/>
      <c r="E602" s="9"/>
      <c r="F602" s="9"/>
      <c r="G602" s="9"/>
      <c r="H602" s="9"/>
      <c r="I602" s="9"/>
      <c r="J602" s="9"/>
      <c r="K602" s="9"/>
      <c r="L602" s="9"/>
      <c r="M602" s="9"/>
      <c r="N602" s="9"/>
      <c r="O602" s="9"/>
      <c r="P602" s="9"/>
      <c r="Q602" s="9"/>
      <c r="R602" s="9"/>
      <c r="S602" s="9"/>
      <c r="T602" s="9"/>
      <c r="U602" s="9"/>
      <c r="V602" s="9"/>
      <c r="W602" s="9"/>
      <c r="X602" s="9"/>
      <c r="Y602" s="9"/>
      <c r="Z602" s="9"/>
      <c r="AA602" s="9"/>
      <c r="AB602" s="9"/>
      <c r="AC602" s="9"/>
      <c r="AD602" s="9"/>
      <c r="AE602" s="9"/>
      <c r="AF602" s="9"/>
    </row>
    <row r="603">
      <c r="A603" s="9"/>
      <c r="B603" s="9"/>
      <c r="C603" s="9"/>
      <c r="D603" s="9"/>
      <c r="E603" s="9"/>
      <c r="F603" s="9"/>
      <c r="G603" s="9"/>
      <c r="H603" s="9"/>
      <c r="I603" s="9"/>
      <c r="J603" s="9"/>
      <c r="K603" s="9"/>
      <c r="L603" s="9"/>
      <c r="M603" s="9"/>
      <c r="N603" s="9"/>
      <c r="O603" s="9"/>
      <c r="P603" s="9"/>
      <c r="Q603" s="9"/>
      <c r="R603" s="9"/>
      <c r="S603" s="9"/>
      <c r="T603" s="9"/>
      <c r="U603" s="9"/>
      <c r="V603" s="9"/>
      <c r="W603" s="9"/>
      <c r="X603" s="9"/>
      <c r="Y603" s="9"/>
      <c r="Z603" s="9"/>
      <c r="AA603" s="9"/>
      <c r="AB603" s="9"/>
      <c r="AC603" s="9"/>
      <c r="AD603" s="9"/>
      <c r="AE603" s="9"/>
      <c r="AF603" s="9"/>
    </row>
    <row r="604">
      <c r="A604" s="9"/>
      <c r="B604" s="9"/>
      <c r="C604" s="9"/>
      <c r="D604" s="9"/>
      <c r="E604" s="9"/>
      <c r="F604" s="9"/>
      <c r="G604" s="9"/>
      <c r="H604" s="9"/>
      <c r="I604" s="9"/>
      <c r="J604" s="9"/>
      <c r="K604" s="9"/>
      <c r="L604" s="9"/>
      <c r="M604" s="9"/>
      <c r="N604" s="9"/>
      <c r="O604" s="9"/>
      <c r="P604" s="9"/>
      <c r="Q604" s="9"/>
      <c r="R604" s="9"/>
      <c r="S604" s="9"/>
      <c r="T604" s="9"/>
      <c r="U604" s="9"/>
      <c r="V604" s="9"/>
      <c r="W604" s="9"/>
      <c r="X604" s="9"/>
      <c r="Y604" s="9"/>
      <c r="Z604" s="9"/>
      <c r="AA604" s="9"/>
      <c r="AB604" s="9"/>
      <c r="AC604" s="9"/>
      <c r="AD604" s="9"/>
      <c r="AE604" s="9"/>
      <c r="AF604" s="9"/>
    </row>
    <row r="605">
      <c r="A605" s="9"/>
      <c r="B605" s="9"/>
      <c r="C605" s="9"/>
      <c r="D605" s="9"/>
      <c r="E605" s="9"/>
      <c r="F605" s="9"/>
      <c r="G605" s="9"/>
      <c r="H605" s="9"/>
      <c r="I605" s="9"/>
      <c r="J605" s="9"/>
      <c r="K605" s="9"/>
      <c r="L605" s="9"/>
      <c r="M605" s="9"/>
      <c r="N605" s="9"/>
      <c r="O605" s="9"/>
      <c r="P605" s="9"/>
      <c r="Q605" s="9"/>
      <c r="R605" s="9"/>
      <c r="S605" s="9"/>
      <c r="T605" s="9"/>
      <c r="U605" s="9"/>
      <c r="V605" s="9"/>
      <c r="W605" s="9"/>
      <c r="X605" s="9"/>
      <c r="Y605" s="9"/>
      <c r="Z605" s="9"/>
      <c r="AA605" s="9"/>
      <c r="AB605" s="9"/>
      <c r="AC605" s="9"/>
      <c r="AD605" s="9"/>
      <c r="AE605" s="9"/>
      <c r="AF605" s="9"/>
    </row>
    <row r="606">
      <c r="A606" s="9"/>
      <c r="B606" s="9"/>
      <c r="C606" s="9"/>
      <c r="D606" s="9"/>
      <c r="E606" s="9"/>
      <c r="F606" s="9"/>
      <c r="G606" s="9"/>
      <c r="H606" s="9"/>
      <c r="I606" s="9"/>
      <c r="J606" s="9"/>
      <c r="K606" s="9"/>
      <c r="L606" s="9"/>
      <c r="M606" s="9"/>
      <c r="N606" s="9"/>
      <c r="O606" s="9"/>
      <c r="P606" s="9"/>
      <c r="Q606" s="9"/>
      <c r="R606" s="9"/>
      <c r="S606" s="9"/>
      <c r="T606" s="9"/>
      <c r="U606" s="9"/>
      <c r="V606" s="9"/>
      <c r="W606" s="9"/>
      <c r="X606" s="9"/>
      <c r="Y606" s="9"/>
      <c r="Z606" s="9"/>
      <c r="AA606" s="9"/>
      <c r="AB606" s="9"/>
      <c r="AC606" s="9"/>
      <c r="AD606" s="9"/>
      <c r="AE606" s="9"/>
      <c r="AF606" s="9"/>
    </row>
    <row r="607">
      <c r="A607" s="9"/>
      <c r="B607" s="9"/>
      <c r="C607" s="9"/>
      <c r="D607" s="9"/>
      <c r="E607" s="9"/>
      <c r="F607" s="9"/>
      <c r="G607" s="9"/>
      <c r="H607" s="9"/>
      <c r="I607" s="9"/>
      <c r="J607" s="9"/>
      <c r="K607" s="9"/>
      <c r="L607" s="9"/>
      <c r="M607" s="9"/>
      <c r="N607" s="9"/>
      <c r="O607" s="9"/>
      <c r="P607" s="9"/>
      <c r="Q607" s="9"/>
      <c r="R607" s="9"/>
      <c r="S607" s="9"/>
      <c r="T607" s="9"/>
      <c r="U607" s="9"/>
      <c r="V607" s="9"/>
      <c r="W607" s="9"/>
      <c r="X607" s="9"/>
      <c r="Y607" s="9"/>
      <c r="Z607" s="9"/>
      <c r="AA607" s="9"/>
      <c r="AB607" s="9"/>
      <c r="AC607" s="9"/>
      <c r="AD607" s="9"/>
      <c r="AE607" s="9"/>
      <c r="AF607" s="9"/>
    </row>
    <row r="608">
      <c r="A608" s="9"/>
      <c r="B608" s="9"/>
      <c r="C608" s="9"/>
      <c r="D608" s="9"/>
      <c r="E608" s="9"/>
      <c r="F608" s="9"/>
      <c r="G608" s="9"/>
      <c r="H608" s="9"/>
      <c r="I608" s="9"/>
      <c r="J608" s="9"/>
      <c r="K608" s="9"/>
      <c r="L608" s="9"/>
      <c r="M608" s="9"/>
      <c r="N608" s="9"/>
      <c r="O608" s="9"/>
      <c r="P608" s="9"/>
      <c r="Q608" s="9"/>
      <c r="R608" s="9"/>
      <c r="S608" s="9"/>
      <c r="T608" s="9"/>
      <c r="U608" s="9"/>
      <c r="V608" s="9"/>
      <c r="W608" s="9"/>
      <c r="X608" s="9"/>
      <c r="Y608" s="9"/>
      <c r="Z608" s="9"/>
      <c r="AA608" s="9"/>
      <c r="AB608" s="9"/>
      <c r="AC608" s="9"/>
      <c r="AD608" s="9"/>
      <c r="AE608" s="9"/>
      <c r="AF608" s="9"/>
    </row>
    <row r="609">
      <c r="A609" s="9"/>
      <c r="B609" s="9"/>
      <c r="C609" s="9"/>
      <c r="D609" s="9"/>
      <c r="E609" s="9"/>
      <c r="F609" s="9"/>
      <c r="G609" s="9"/>
      <c r="H609" s="9"/>
      <c r="I609" s="9"/>
      <c r="J609" s="9"/>
      <c r="K609" s="9"/>
      <c r="L609" s="9"/>
      <c r="M609" s="9"/>
      <c r="N609" s="9"/>
      <c r="O609" s="9"/>
      <c r="P609" s="9"/>
      <c r="Q609" s="9"/>
      <c r="R609" s="9"/>
      <c r="S609" s="9"/>
      <c r="T609" s="9"/>
      <c r="U609" s="9"/>
      <c r="V609" s="9"/>
      <c r="W609" s="9"/>
      <c r="X609" s="9"/>
      <c r="Y609" s="9"/>
      <c r="Z609" s="9"/>
      <c r="AA609" s="9"/>
      <c r="AB609" s="9"/>
      <c r="AC609" s="9"/>
      <c r="AD609" s="9"/>
      <c r="AE609" s="9"/>
      <c r="AF609" s="9"/>
    </row>
    <row r="610">
      <c r="A610" s="9"/>
      <c r="B610" s="9"/>
      <c r="C610" s="9"/>
      <c r="D610" s="9"/>
      <c r="E610" s="9"/>
      <c r="F610" s="9"/>
      <c r="G610" s="9"/>
      <c r="H610" s="9"/>
      <c r="I610" s="9"/>
      <c r="J610" s="9"/>
      <c r="K610" s="9"/>
      <c r="L610" s="9"/>
      <c r="M610" s="9"/>
      <c r="N610" s="9"/>
      <c r="O610" s="9"/>
      <c r="P610" s="9"/>
      <c r="Q610" s="9"/>
      <c r="R610" s="9"/>
      <c r="S610" s="9"/>
      <c r="T610" s="9"/>
      <c r="U610" s="9"/>
      <c r="V610" s="9"/>
      <c r="W610" s="9"/>
      <c r="X610" s="9"/>
      <c r="Y610" s="9"/>
      <c r="Z610" s="9"/>
      <c r="AA610" s="9"/>
      <c r="AB610" s="9"/>
      <c r="AC610" s="9"/>
      <c r="AD610" s="9"/>
      <c r="AE610" s="9"/>
      <c r="AF610" s="9"/>
    </row>
    <row r="611">
      <c r="A611" s="9"/>
      <c r="B611" s="9"/>
      <c r="C611" s="9"/>
      <c r="D611" s="9"/>
      <c r="E611" s="9"/>
      <c r="F611" s="9"/>
      <c r="G611" s="9"/>
      <c r="H611" s="9"/>
      <c r="I611" s="9"/>
      <c r="J611" s="9"/>
      <c r="K611" s="9"/>
      <c r="L611" s="9"/>
      <c r="M611" s="9"/>
      <c r="N611" s="9"/>
      <c r="O611" s="9"/>
      <c r="P611" s="9"/>
      <c r="Q611" s="9"/>
      <c r="R611" s="9"/>
      <c r="S611" s="9"/>
      <c r="T611" s="9"/>
      <c r="U611" s="9"/>
      <c r="V611" s="9"/>
      <c r="W611" s="9"/>
      <c r="X611" s="9"/>
      <c r="Y611" s="9"/>
      <c r="Z611" s="9"/>
      <c r="AA611" s="9"/>
      <c r="AB611" s="9"/>
      <c r="AC611" s="9"/>
      <c r="AD611" s="9"/>
      <c r="AE611" s="9"/>
      <c r="AF611" s="9"/>
    </row>
    <row r="612">
      <c r="A612" s="9"/>
      <c r="B612" s="9"/>
      <c r="C612" s="9"/>
      <c r="D612" s="9"/>
      <c r="E612" s="9"/>
      <c r="F612" s="9"/>
      <c r="G612" s="9"/>
      <c r="H612" s="9"/>
      <c r="I612" s="9"/>
      <c r="J612" s="9"/>
      <c r="K612" s="9"/>
      <c r="L612" s="9"/>
      <c r="M612" s="9"/>
      <c r="N612" s="9"/>
      <c r="O612" s="9"/>
      <c r="P612" s="9"/>
      <c r="Q612" s="9"/>
      <c r="R612" s="9"/>
      <c r="S612" s="9"/>
      <c r="T612" s="9"/>
      <c r="U612" s="9"/>
      <c r="V612" s="9"/>
      <c r="W612" s="9"/>
      <c r="X612" s="9"/>
      <c r="Y612" s="9"/>
      <c r="Z612" s="9"/>
      <c r="AA612" s="9"/>
      <c r="AB612" s="9"/>
      <c r="AC612" s="9"/>
      <c r="AD612" s="9"/>
      <c r="AE612" s="9"/>
      <c r="AF612" s="9"/>
    </row>
    <row r="613">
      <c r="A613" s="9"/>
      <c r="B613" s="9"/>
      <c r="C613" s="9"/>
      <c r="D613" s="9"/>
      <c r="E613" s="9"/>
      <c r="F613" s="9"/>
      <c r="G613" s="9"/>
      <c r="H613" s="9"/>
      <c r="I613" s="9"/>
      <c r="J613" s="9"/>
      <c r="K613" s="9"/>
      <c r="L613" s="9"/>
      <c r="M613" s="9"/>
      <c r="N613" s="9"/>
      <c r="O613" s="9"/>
      <c r="P613" s="9"/>
      <c r="Q613" s="9"/>
      <c r="R613" s="9"/>
      <c r="S613" s="9"/>
      <c r="T613" s="9"/>
      <c r="U613" s="9"/>
      <c r="V613" s="9"/>
      <c r="W613" s="9"/>
      <c r="X613" s="9"/>
      <c r="Y613" s="9"/>
      <c r="Z613" s="9"/>
      <c r="AA613" s="9"/>
      <c r="AB613" s="9"/>
      <c r="AC613" s="9"/>
      <c r="AD613" s="9"/>
      <c r="AE613" s="9"/>
      <c r="AF613" s="9"/>
    </row>
    <row r="614">
      <c r="A614" s="9"/>
      <c r="B614" s="9"/>
      <c r="C614" s="9"/>
      <c r="D614" s="9"/>
      <c r="E614" s="9"/>
      <c r="F614" s="9"/>
      <c r="G614" s="9"/>
      <c r="H614" s="9"/>
      <c r="I614" s="9"/>
      <c r="J614" s="9"/>
      <c r="K614" s="9"/>
      <c r="L614" s="9"/>
      <c r="M614" s="9"/>
      <c r="N614" s="9"/>
      <c r="O614" s="9"/>
      <c r="P614" s="9"/>
      <c r="Q614" s="9"/>
      <c r="R614" s="9"/>
      <c r="S614" s="9"/>
      <c r="T614" s="9"/>
      <c r="U614" s="9"/>
      <c r="V614" s="9"/>
      <c r="W614" s="9"/>
      <c r="X614" s="9"/>
      <c r="Y614" s="9"/>
      <c r="Z614" s="9"/>
      <c r="AA614" s="9"/>
      <c r="AB614" s="9"/>
      <c r="AC614" s="9"/>
      <c r="AD614" s="9"/>
      <c r="AE614" s="9"/>
      <c r="AF614" s="9"/>
    </row>
    <row r="615">
      <c r="A615" s="9"/>
      <c r="B615" s="9"/>
      <c r="C615" s="9"/>
      <c r="D615" s="9"/>
      <c r="E615" s="9"/>
      <c r="F615" s="9"/>
      <c r="G615" s="9"/>
      <c r="H615" s="9"/>
      <c r="I615" s="9"/>
      <c r="J615" s="9"/>
      <c r="K615" s="9"/>
      <c r="L615" s="9"/>
      <c r="M615" s="9"/>
      <c r="N615" s="9"/>
      <c r="O615" s="9"/>
      <c r="P615" s="9"/>
      <c r="Q615" s="9"/>
      <c r="R615" s="9"/>
      <c r="S615" s="9"/>
      <c r="T615" s="9"/>
      <c r="U615" s="9"/>
      <c r="V615" s="9"/>
      <c r="W615" s="9"/>
      <c r="X615" s="9"/>
      <c r="Y615" s="9"/>
      <c r="Z615" s="9"/>
      <c r="AA615" s="9"/>
      <c r="AB615" s="9"/>
      <c r="AC615" s="9"/>
      <c r="AD615" s="9"/>
      <c r="AE615" s="9"/>
      <c r="AF615" s="9"/>
    </row>
    <row r="616">
      <c r="A616" s="9"/>
      <c r="B616" s="9"/>
      <c r="C616" s="9"/>
      <c r="D616" s="9"/>
      <c r="E616" s="9"/>
      <c r="F616" s="9"/>
      <c r="G616" s="9"/>
      <c r="H616" s="9"/>
      <c r="I616" s="9"/>
      <c r="J616" s="9"/>
      <c r="K616" s="9"/>
      <c r="L616" s="9"/>
      <c r="M616" s="9"/>
      <c r="N616" s="9"/>
      <c r="O616" s="9"/>
      <c r="P616" s="9"/>
      <c r="Q616" s="9"/>
      <c r="R616" s="9"/>
      <c r="S616" s="9"/>
      <c r="T616" s="9"/>
      <c r="U616" s="9"/>
      <c r="V616" s="9"/>
      <c r="W616" s="9"/>
      <c r="X616" s="9"/>
      <c r="Y616" s="9"/>
      <c r="Z616" s="9"/>
      <c r="AA616" s="9"/>
      <c r="AB616" s="9"/>
      <c r="AC616" s="9"/>
      <c r="AD616" s="9"/>
      <c r="AE616" s="9"/>
      <c r="AF616" s="9"/>
    </row>
    <row r="617">
      <c r="A617" s="9"/>
      <c r="B617" s="9"/>
      <c r="C617" s="9"/>
      <c r="D617" s="9"/>
      <c r="E617" s="9"/>
      <c r="F617" s="9"/>
      <c r="G617" s="9"/>
      <c r="H617" s="9"/>
      <c r="I617" s="9"/>
      <c r="J617" s="9"/>
      <c r="K617" s="9"/>
      <c r="L617" s="9"/>
      <c r="M617" s="9"/>
      <c r="N617" s="9"/>
      <c r="O617" s="9"/>
      <c r="P617" s="9"/>
      <c r="Q617" s="9"/>
      <c r="R617" s="9"/>
      <c r="S617" s="9"/>
      <c r="T617" s="9"/>
      <c r="U617" s="9"/>
      <c r="V617" s="9"/>
      <c r="W617" s="9"/>
      <c r="X617" s="9"/>
      <c r="Y617" s="9"/>
      <c r="Z617" s="9"/>
      <c r="AA617" s="9"/>
      <c r="AB617" s="9"/>
      <c r="AC617" s="9"/>
      <c r="AD617" s="9"/>
      <c r="AE617" s="9"/>
      <c r="AF617" s="9"/>
    </row>
    <row r="618">
      <c r="A618" s="9"/>
      <c r="B618" s="9"/>
      <c r="C618" s="9"/>
      <c r="D618" s="9"/>
      <c r="E618" s="9"/>
      <c r="F618" s="9"/>
      <c r="G618" s="9"/>
      <c r="H618" s="9"/>
      <c r="I618" s="9"/>
      <c r="J618" s="9"/>
      <c r="K618" s="9"/>
      <c r="L618" s="9"/>
      <c r="M618" s="9"/>
      <c r="N618" s="9"/>
      <c r="O618" s="9"/>
      <c r="P618" s="9"/>
      <c r="Q618" s="9"/>
      <c r="R618" s="9"/>
      <c r="S618" s="9"/>
      <c r="T618" s="9"/>
      <c r="U618" s="9"/>
      <c r="V618" s="9"/>
      <c r="W618" s="9"/>
      <c r="X618" s="9"/>
      <c r="Y618" s="9"/>
      <c r="Z618" s="9"/>
      <c r="AA618" s="9"/>
      <c r="AB618" s="9"/>
      <c r="AC618" s="9"/>
      <c r="AD618" s="9"/>
      <c r="AE618" s="9"/>
      <c r="AF618" s="9"/>
    </row>
    <row r="619">
      <c r="A619" s="9"/>
      <c r="B619" s="9"/>
      <c r="C619" s="9"/>
      <c r="D619" s="9"/>
      <c r="E619" s="9"/>
      <c r="F619" s="9"/>
      <c r="G619" s="9"/>
      <c r="H619" s="9"/>
      <c r="I619" s="9"/>
      <c r="J619" s="9"/>
      <c r="K619" s="9"/>
      <c r="L619" s="9"/>
      <c r="M619" s="9"/>
      <c r="N619" s="9"/>
      <c r="O619" s="9"/>
      <c r="P619" s="9"/>
      <c r="Q619" s="9"/>
      <c r="R619" s="9"/>
      <c r="S619" s="9"/>
      <c r="T619" s="9"/>
      <c r="U619" s="9"/>
      <c r="V619" s="9"/>
      <c r="W619" s="9"/>
      <c r="X619" s="9"/>
      <c r="Y619" s="9"/>
      <c r="Z619" s="9"/>
      <c r="AA619" s="9"/>
      <c r="AB619" s="9"/>
      <c r="AC619" s="9"/>
      <c r="AD619" s="9"/>
      <c r="AE619" s="9"/>
      <c r="AF619" s="9"/>
    </row>
    <row r="620">
      <c r="A620" s="9"/>
      <c r="B620" s="9"/>
      <c r="C620" s="9"/>
      <c r="D620" s="9"/>
      <c r="E620" s="9"/>
      <c r="F620" s="9"/>
      <c r="G620" s="9"/>
      <c r="H620" s="9"/>
      <c r="I620" s="9"/>
      <c r="J620" s="9"/>
      <c r="K620" s="9"/>
      <c r="L620" s="9"/>
      <c r="M620" s="9"/>
      <c r="N620" s="9"/>
      <c r="O620" s="9"/>
      <c r="P620" s="9"/>
      <c r="Q620" s="9"/>
      <c r="R620" s="9"/>
      <c r="S620" s="9"/>
      <c r="T620" s="9"/>
      <c r="U620" s="9"/>
      <c r="V620" s="9"/>
      <c r="W620" s="9"/>
      <c r="X620" s="9"/>
      <c r="Y620" s="9"/>
      <c r="Z620" s="9"/>
      <c r="AA620" s="9"/>
      <c r="AB620" s="9"/>
      <c r="AC620" s="9"/>
      <c r="AD620" s="9"/>
      <c r="AE620" s="9"/>
      <c r="AF620" s="9"/>
    </row>
    <row r="621">
      <c r="A621" s="9"/>
      <c r="B621" s="9"/>
      <c r="C621" s="9"/>
      <c r="D621" s="9"/>
      <c r="E621" s="9"/>
      <c r="F621" s="9"/>
      <c r="G621" s="9"/>
      <c r="H621" s="9"/>
      <c r="I621" s="9"/>
      <c r="J621" s="9"/>
      <c r="K621" s="9"/>
      <c r="L621" s="9"/>
      <c r="M621" s="9"/>
      <c r="N621" s="9"/>
      <c r="O621" s="9"/>
      <c r="P621" s="9"/>
      <c r="Q621" s="9"/>
      <c r="R621" s="9"/>
      <c r="S621" s="9"/>
      <c r="T621" s="9"/>
      <c r="U621" s="9"/>
      <c r="V621" s="9"/>
      <c r="W621" s="9"/>
      <c r="X621" s="9"/>
      <c r="Y621" s="9"/>
      <c r="Z621" s="9"/>
      <c r="AA621" s="9"/>
      <c r="AB621" s="9"/>
      <c r="AC621" s="9"/>
      <c r="AD621" s="9"/>
      <c r="AE621" s="9"/>
      <c r="AF621" s="9"/>
    </row>
    <row r="622">
      <c r="A622" s="9"/>
      <c r="B622" s="9"/>
      <c r="C622" s="9"/>
      <c r="D622" s="9"/>
      <c r="E622" s="9"/>
      <c r="F622" s="9"/>
      <c r="G622" s="9"/>
      <c r="H622" s="9"/>
      <c r="I622" s="9"/>
      <c r="J622" s="9"/>
      <c r="K622" s="9"/>
      <c r="L622" s="9"/>
      <c r="M622" s="9"/>
      <c r="N622" s="9"/>
      <c r="O622" s="9"/>
      <c r="P622" s="9"/>
      <c r="Q622" s="9"/>
      <c r="R622" s="9"/>
      <c r="S622" s="9"/>
      <c r="T622" s="9"/>
      <c r="U622" s="9"/>
      <c r="V622" s="9"/>
      <c r="W622" s="9"/>
      <c r="X622" s="9"/>
      <c r="Y622" s="9"/>
      <c r="Z622" s="9"/>
      <c r="AA622" s="9"/>
      <c r="AB622" s="9"/>
      <c r="AC622" s="9"/>
      <c r="AD622" s="9"/>
      <c r="AE622" s="9"/>
      <c r="AF622" s="9"/>
    </row>
    <row r="623">
      <c r="A623" s="9"/>
      <c r="B623" s="9"/>
      <c r="C623" s="9"/>
      <c r="D623" s="9"/>
      <c r="E623" s="9"/>
      <c r="F623" s="9"/>
      <c r="G623" s="9"/>
      <c r="H623" s="9"/>
      <c r="I623" s="9"/>
      <c r="J623" s="9"/>
      <c r="K623" s="9"/>
      <c r="L623" s="9"/>
      <c r="M623" s="9"/>
      <c r="N623" s="9"/>
      <c r="O623" s="9"/>
      <c r="P623" s="9"/>
      <c r="Q623" s="9"/>
      <c r="R623" s="9"/>
      <c r="S623" s="9"/>
      <c r="T623" s="9"/>
      <c r="U623" s="9"/>
      <c r="V623" s="9"/>
      <c r="W623" s="9"/>
      <c r="X623" s="9"/>
      <c r="Y623" s="9"/>
      <c r="Z623" s="9"/>
      <c r="AA623" s="9"/>
      <c r="AB623" s="9"/>
      <c r="AC623" s="9"/>
      <c r="AD623" s="9"/>
      <c r="AE623" s="9"/>
      <c r="AF623" s="9"/>
    </row>
    <row r="624">
      <c r="A624" s="9"/>
      <c r="B624" s="9"/>
      <c r="C624" s="9"/>
      <c r="D624" s="9"/>
      <c r="E624" s="9"/>
      <c r="F624" s="9"/>
      <c r="G624" s="9"/>
      <c r="H624" s="9"/>
      <c r="I624" s="9"/>
      <c r="J624" s="9"/>
      <c r="K624" s="9"/>
      <c r="L624" s="9"/>
      <c r="M624" s="9"/>
      <c r="N624" s="9"/>
      <c r="O624" s="9"/>
      <c r="P624" s="9"/>
      <c r="Q624" s="9"/>
      <c r="R624" s="9"/>
      <c r="S624" s="9"/>
      <c r="T624" s="9"/>
      <c r="U624" s="9"/>
      <c r="V624" s="9"/>
      <c r="W624" s="9"/>
      <c r="X624" s="9"/>
      <c r="Y624" s="9"/>
      <c r="Z624" s="9"/>
      <c r="AA624" s="9"/>
      <c r="AB624" s="9"/>
      <c r="AC624" s="9"/>
      <c r="AD624" s="9"/>
      <c r="AE624" s="9"/>
      <c r="AF624" s="9"/>
    </row>
    <row r="625">
      <c r="A625" s="9"/>
      <c r="B625" s="9"/>
      <c r="C625" s="9"/>
      <c r="D625" s="9"/>
      <c r="E625" s="9"/>
      <c r="F625" s="9"/>
      <c r="G625" s="9"/>
      <c r="H625" s="9"/>
      <c r="I625" s="9"/>
      <c r="J625" s="9"/>
      <c r="K625" s="9"/>
      <c r="L625" s="9"/>
      <c r="M625" s="9"/>
      <c r="N625" s="9"/>
      <c r="O625" s="9"/>
      <c r="P625" s="9"/>
      <c r="Q625" s="9"/>
      <c r="R625" s="9"/>
      <c r="S625" s="9"/>
      <c r="T625" s="9"/>
      <c r="U625" s="9"/>
      <c r="V625" s="9"/>
      <c r="W625" s="9"/>
      <c r="X625" s="9"/>
      <c r="Y625" s="9"/>
      <c r="Z625" s="9"/>
      <c r="AA625" s="9"/>
      <c r="AB625" s="9"/>
      <c r="AC625" s="9"/>
      <c r="AD625" s="9"/>
      <c r="AE625" s="9"/>
      <c r="AF625" s="9"/>
    </row>
    <row r="626">
      <c r="A626" s="9"/>
      <c r="B626" s="9"/>
      <c r="C626" s="9"/>
      <c r="D626" s="9"/>
      <c r="E626" s="9"/>
      <c r="F626" s="9"/>
      <c r="G626" s="9"/>
      <c r="H626" s="9"/>
      <c r="I626" s="9"/>
      <c r="J626" s="9"/>
      <c r="K626" s="9"/>
      <c r="L626" s="9"/>
      <c r="M626" s="9"/>
      <c r="N626" s="9"/>
      <c r="O626" s="9"/>
      <c r="P626" s="9"/>
      <c r="Q626" s="9"/>
      <c r="R626" s="9"/>
      <c r="S626" s="9"/>
      <c r="T626" s="9"/>
      <c r="U626" s="9"/>
      <c r="V626" s="9"/>
      <c r="W626" s="9"/>
      <c r="X626" s="9"/>
      <c r="Y626" s="9"/>
      <c r="Z626" s="9"/>
      <c r="AA626" s="9"/>
      <c r="AB626" s="9"/>
      <c r="AC626" s="9"/>
      <c r="AD626" s="9"/>
      <c r="AE626" s="9"/>
      <c r="AF626" s="9"/>
    </row>
    <row r="627">
      <c r="A627" s="9"/>
      <c r="B627" s="9"/>
      <c r="C627" s="9"/>
      <c r="D627" s="9"/>
      <c r="E627" s="9"/>
      <c r="F627" s="9"/>
      <c r="G627" s="9"/>
      <c r="H627" s="9"/>
      <c r="I627" s="9"/>
      <c r="J627" s="9"/>
      <c r="K627" s="9"/>
      <c r="L627" s="9"/>
      <c r="M627" s="9"/>
      <c r="N627" s="9"/>
      <c r="O627" s="9"/>
      <c r="P627" s="9"/>
      <c r="Q627" s="9"/>
      <c r="R627" s="9"/>
      <c r="S627" s="9"/>
      <c r="T627" s="9"/>
      <c r="U627" s="9"/>
      <c r="V627" s="9"/>
      <c r="W627" s="9"/>
      <c r="X627" s="9"/>
      <c r="Y627" s="9"/>
      <c r="Z627" s="9"/>
      <c r="AA627" s="9"/>
      <c r="AB627" s="9"/>
      <c r="AC627" s="9"/>
      <c r="AD627" s="9"/>
      <c r="AE627" s="9"/>
      <c r="AF627" s="9"/>
    </row>
    <row r="628">
      <c r="A628" s="9"/>
      <c r="B628" s="9"/>
      <c r="C628" s="9"/>
      <c r="D628" s="9"/>
      <c r="E628" s="9"/>
      <c r="F628" s="9"/>
      <c r="G628" s="9"/>
      <c r="H628" s="9"/>
      <c r="I628" s="9"/>
      <c r="J628" s="9"/>
      <c r="K628" s="9"/>
      <c r="L628" s="9"/>
      <c r="M628" s="9"/>
      <c r="N628" s="9"/>
      <c r="O628" s="9"/>
      <c r="P628" s="9"/>
      <c r="Q628" s="9"/>
      <c r="R628" s="9"/>
      <c r="S628" s="9"/>
      <c r="T628" s="9"/>
      <c r="U628" s="9"/>
      <c r="V628" s="9"/>
      <c r="W628" s="9"/>
      <c r="X628" s="9"/>
      <c r="Y628" s="9"/>
      <c r="Z628" s="9"/>
      <c r="AA628" s="9"/>
      <c r="AB628" s="9"/>
      <c r="AC628" s="9"/>
      <c r="AD628" s="9"/>
      <c r="AE628" s="9"/>
      <c r="AF628" s="9"/>
    </row>
    <row r="629">
      <c r="A629" s="9"/>
      <c r="B629" s="9"/>
      <c r="C629" s="9"/>
      <c r="D629" s="9"/>
      <c r="E629" s="9"/>
      <c r="F629" s="9"/>
      <c r="G629" s="9"/>
      <c r="H629" s="9"/>
      <c r="I629" s="9"/>
      <c r="J629" s="9"/>
      <c r="K629" s="9"/>
      <c r="L629" s="9"/>
      <c r="M629" s="9"/>
      <c r="N629" s="9"/>
      <c r="O629" s="9"/>
      <c r="P629" s="9"/>
      <c r="Q629" s="9"/>
      <c r="R629" s="9"/>
      <c r="S629" s="9"/>
      <c r="T629" s="9"/>
      <c r="U629" s="9"/>
      <c r="V629" s="9"/>
      <c r="W629" s="9"/>
      <c r="X629" s="9"/>
      <c r="Y629" s="9"/>
      <c r="Z629" s="9"/>
      <c r="AA629" s="9"/>
      <c r="AB629" s="9"/>
      <c r="AC629" s="9"/>
      <c r="AD629" s="9"/>
      <c r="AE629" s="9"/>
      <c r="AF629" s="9"/>
    </row>
    <row r="630">
      <c r="A630" s="9"/>
      <c r="B630" s="9"/>
      <c r="C630" s="9"/>
      <c r="D630" s="9"/>
      <c r="E630" s="9"/>
      <c r="F630" s="9"/>
      <c r="G630" s="9"/>
      <c r="H630" s="9"/>
      <c r="I630" s="9"/>
      <c r="J630" s="9"/>
      <c r="K630" s="9"/>
      <c r="L630" s="9"/>
      <c r="M630" s="9"/>
      <c r="N630" s="9"/>
      <c r="O630" s="9"/>
      <c r="P630" s="9"/>
      <c r="Q630" s="9"/>
      <c r="R630" s="9"/>
      <c r="S630" s="9"/>
      <c r="T630" s="9"/>
      <c r="U630" s="9"/>
      <c r="V630" s="9"/>
      <c r="W630" s="9"/>
      <c r="X630" s="9"/>
      <c r="Y630" s="9"/>
      <c r="Z630" s="9"/>
      <c r="AA630" s="9"/>
      <c r="AB630" s="9"/>
      <c r="AC630" s="9"/>
      <c r="AD630" s="9"/>
      <c r="AE630" s="9"/>
      <c r="AF630" s="9"/>
    </row>
    <row r="631">
      <c r="A631" s="9"/>
      <c r="B631" s="9"/>
      <c r="C631" s="9"/>
      <c r="D631" s="9"/>
      <c r="E631" s="9"/>
      <c r="F631" s="9"/>
      <c r="G631" s="9"/>
      <c r="H631" s="9"/>
      <c r="I631" s="9"/>
      <c r="J631" s="9"/>
      <c r="K631" s="9"/>
      <c r="L631" s="9"/>
      <c r="M631" s="9"/>
      <c r="N631" s="9"/>
      <c r="O631" s="9"/>
      <c r="P631" s="9"/>
      <c r="Q631" s="9"/>
      <c r="R631" s="9"/>
      <c r="S631" s="9"/>
      <c r="T631" s="9"/>
      <c r="U631" s="9"/>
      <c r="V631" s="9"/>
      <c r="W631" s="9"/>
      <c r="X631" s="9"/>
      <c r="Y631" s="9"/>
      <c r="Z631" s="9"/>
      <c r="AA631" s="9"/>
      <c r="AB631" s="9"/>
      <c r="AC631" s="9"/>
      <c r="AD631" s="9"/>
      <c r="AE631" s="9"/>
      <c r="AF631" s="9"/>
    </row>
    <row r="632">
      <c r="A632" s="9"/>
      <c r="B632" s="9"/>
      <c r="C632" s="9"/>
      <c r="D632" s="9"/>
      <c r="E632" s="9"/>
      <c r="F632" s="9"/>
      <c r="G632" s="9"/>
      <c r="H632" s="9"/>
      <c r="I632" s="9"/>
      <c r="J632" s="9"/>
      <c r="K632" s="9"/>
      <c r="L632" s="9"/>
      <c r="M632" s="9"/>
      <c r="N632" s="9"/>
      <c r="O632" s="9"/>
      <c r="P632" s="9"/>
      <c r="Q632" s="9"/>
      <c r="R632" s="9"/>
      <c r="S632" s="9"/>
      <c r="T632" s="9"/>
      <c r="U632" s="9"/>
      <c r="V632" s="9"/>
      <c r="W632" s="9"/>
      <c r="X632" s="9"/>
      <c r="Y632" s="9"/>
      <c r="Z632" s="9"/>
      <c r="AA632" s="9"/>
      <c r="AB632" s="9"/>
      <c r="AC632" s="9"/>
      <c r="AD632" s="9"/>
      <c r="AE632" s="9"/>
      <c r="AF632" s="9"/>
    </row>
    <row r="633">
      <c r="A633" s="9"/>
      <c r="B633" s="9"/>
      <c r="C633" s="9"/>
      <c r="D633" s="9"/>
      <c r="E633" s="9"/>
      <c r="F633" s="9"/>
      <c r="G633" s="9"/>
      <c r="H633" s="9"/>
      <c r="I633" s="9"/>
      <c r="J633" s="9"/>
      <c r="K633" s="9"/>
      <c r="L633" s="9"/>
      <c r="M633" s="9"/>
      <c r="N633" s="9"/>
      <c r="O633" s="9"/>
      <c r="P633" s="9"/>
      <c r="Q633" s="9"/>
      <c r="R633" s="9"/>
      <c r="S633" s="9"/>
      <c r="T633" s="9"/>
      <c r="U633" s="9"/>
      <c r="V633" s="9"/>
      <c r="W633" s="9"/>
      <c r="X633" s="9"/>
      <c r="Y633" s="9"/>
      <c r="Z633" s="9"/>
      <c r="AA633" s="9"/>
      <c r="AB633" s="9"/>
      <c r="AC633" s="9"/>
      <c r="AD633" s="9"/>
      <c r="AE633" s="9"/>
      <c r="AF633" s="9"/>
    </row>
    <row r="634">
      <c r="A634" s="9"/>
      <c r="B634" s="9"/>
      <c r="C634" s="9"/>
      <c r="D634" s="9"/>
      <c r="E634" s="9"/>
      <c r="F634" s="9"/>
      <c r="G634" s="9"/>
      <c r="H634" s="9"/>
      <c r="I634" s="9"/>
      <c r="J634" s="9"/>
      <c r="K634" s="9"/>
      <c r="L634" s="9"/>
      <c r="M634" s="9"/>
      <c r="N634" s="9"/>
      <c r="O634" s="9"/>
      <c r="P634" s="9"/>
      <c r="Q634" s="9"/>
      <c r="R634" s="9"/>
      <c r="S634" s="9"/>
      <c r="T634" s="9"/>
      <c r="U634" s="9"/>
      <c r="V634" s="9"/>
      <c r="W634" s="9"/>
      <c r="X634" s="9"/>
      <c r="Y634" s="9"/>
      <c r="Z634" s="9"/>
      <c r="AA634" s="9"/>
      <c r="AB634" s="9"/>
      <c r="AC634" s="9"/>
      <c r="AD634" s="9"/>
      <c r="AE634" s="9"/>
      <c r="AF634" s="9"/>
    </row>
    <row r="635">
      <c r="A635" s="9"/>
      <c r="B635" s="9"/>
      <c r="C635" s="9"/>
      <c r="D635" s="9"/>
      <c r="E635" s="9"/>
      <c r="F635" s="9"/>
      <c r="G635" s="9"/>
      <c r="H635" s="9"/>
      <c r="I635" s="9"/>
      <c r="J635" s="9"/>
      <c r="K635" s="9"/>
      <c r="L635" s="9"/>
      <c r="M635" s="9"/>
      <c r="N635" s="9"/>
      <c r="O635" s="9"/>
      <c r="P635" s="9"/>
      <c r="Q635" s="9"/>
      <c r="R635" s="9"/>
      <c r="S635" s="9"/>
      <c r="T635" s="9"/>
      <c r="U635" s="9"/>
      <c r="V635" s="9"/>
      <c r="W635" s="9"/>
      <c r="X635" s="9"/>
      <c r="Y635" s="9"/>
      <c r="Z635" s="9"/>
      <c r="AA635" s="9"/>
      <c r="AB635" s="9"/>
      <c r="AC635" s="9"/>
      <c r="AD635" s="9"/>
      <c r="AE635" s="9"/>
      <c r="AF635" s="9"/>
    </row>
    <row r="636">
      <c r="A636" s="9"/>
      <c r="B636" s="9"/>
      <c r="C636" s="9"/>
      <c r="D636" s="9"/>
      <c r="E636" s="9"/>
      <c r="F636" s="9"/>
      <c r="G636" s="9"/>
      <c r="H636" s="9"/>
      <c r="I636" s="9"/>
      <c r="J636" s="9"/>
      <c r="K636" s="9"/>
      <c r="L636" s="9"/>
      <c r="M636" s="9"/>
      <c r="N636" s="9"/>
      <c r="O636" s="9"/>
      <c r="P636" s="9"/>
      <c r="Q636" s="9"/>
      <c r="R636" s="9"/>
      <c r="S636" s="9"/>
      <c r="T636" s="9"/>
      <c r="U636" s="9"/>
      <c r="V636" s="9"/>
      <c r="W636" s="9"/>
      <c r="X636" s="9"/>
      <c r="Y636" s="9"/>
      <c r="Z636" s="9"/>
      <c r="AA636" s="9"/>
      <c r="AB636" s="9"/>
      <c r="AC636" s="9"/>
      <c r="AD636" s="9"/>
      <c r="AE636" s="9"/>
      <c r="AF636" s="9"/>
    </row>
    <row r="637">
      <c r="A637" s="9"/>
      <c r="B637" s="9"/>
      <c r="C637" s="9"/>
      <c r="D637" s="9"/>
      <c r="E637" s="9"/>
      <c r="F637" s="9"/>
      <c r="G637" s="9"/>
      <c r="H637" s="9"/>
      <c r="I637" s="9"/>
      <c r="J637" s="9"/>
      <c r="K637" s="9"/>
      <c r="L637" s="9"/>
      <c r="M637" s="9"/>
      <c r="N637" s="9"/>
      <c r="O637" s="9"/>
      <c r="P637" s="9"/>
      <c r="Q637" s="9"/>
      <c r="R637" s="9"/>
      <c r="S637" s="9"/>
      <c r="T637" s="9"/>
      <c r="U637" s="9"/>
      <c r="V637" s="9"/>
      <c r="W637" s="9"/>
      <c r="X637" s="9"/>
      <c r="Y637" s="9"/>
      <c r="Z637" s="9"/>
      <c r="AA637" s="9"/>
      <c r="AB637" s="9"/>
      <c r="AC637" s="9"/>
      <c r="AD637" s="9"/>
      <c r="AE637" s="9"/>
      <c r="AF637" s="9"/>
    </row>
    <row r="638">
      <c r="A638" s="9"/>
      <c r="B638" s="9"/>
      <c r="C638" s="9"/>
      <c r="D638" s="9"/>
      <c r="E638" s="9"/>
      <c r="F638" s="9"/>
      <c r="G638" s="9"/>
      <c r="H638" s="9"/>
      <c r="I638" s="9"/>
      <c r="J638" s="9"/>
      <c r="K638" s="9"/>
      <c r="L638" s="9"/>
      <c r="M638" s="9"/>
      <c r="N638" s="9"/>
      <c r="O638" s="9"/>
      <c r="P638" s="9"/>
      <c r="Q638" s="9"/>
      <c r="R638" s="9"/>
      <c r="S638" s="9"/>
      <c r="T638" s="9"/>
      <c r="U638" s="9"/>
      <c r="V638" s="9"/>
      <c r="W638" s="9"/>
      <c r="X638" s="9"/>
      <c r="Y638" s="9"/>
      <c r="Z638" s="9"/>
      <c r="AA638" s="9"/>
      <c r="AB638" s="9"/>
      <c r="AC638" s="9"/>
      <c r="AD638" s="9"/>
      <c r="AE638" s="9"/>
      <c r="AF638" s="9"/>
    </row>
    <row r="639">
      <c r="A639" s="9"/>
      <c r="B639" s="9"/>
      <c r="C639" s="9"/>
      <c r="D639" s="9"/>
      <c r="E639" s="9"/>
      <c r="F639" s="9"/>
      <c r="G639" s="9"/>
      <c r="H639" s="9"/>
      <c r="I639" s="9"/>
      <c r="J639" s="9"/>
      <c r="K639" s="9"/>
      <c r="L639" s="9"/>
      <c r="M639" s="9"/>
      <c r="N639" s="9"/>
      <c r="O639" s="9"/>
      <c r="P639" s="9"/>
      <c r="Q639" s="9"/>
      <c r="R639" s="9"/>
      <c r="S639" s="9"/>
      <c r="T639" s="9"/>
      <c r="U639" s="9"/>
      <c r="V639" s="9"/>
      <c r="W639" s="9"/>
      <c r="X639" s="9"/>
      <c r="Y639" s="9"/>
      <c r="Z639" s="9"/>
      <c r="AA639" s="9"/>
      <c r="AB639" s="9"/>
      <c r="AC639" s="9"/>
      <c r="AD639" s="9"/>
      <c r="AE639" s="9"/>
      <c r="AF639" s="9"/>
    </row>
    <row r="640">
      <c r="A640" s="9"/>
      <c r="B640" s="9"/>
      <c r="C640" s="9"/>
      <c r="D640" s="9"/>
      <c r="E640" s="9"/>
      <c r="F640" s="9"/>
      <c r="G640" s="9"/>
      <c r="H640" s="9"/>
      <c r="I640" s="9"/>
      <c r="J640" s="9"/>
      <c r="K640" s="9"/>
      <c r="L640" s="9"/>
      <c r="M640" s="9"/>
      <c r="N640" s="9"/>
      <c r="O640" s="9"/>
      <c r="P640" s="9"/>
      <c r="Q640" s="9"/>
      <c r="R640" s="9"/>
      <c r="S640" s="9"/>
      <c r="T640" s="9"/>
      <c r="U640" s="9"/>
      <c r="V640" s="9"/>
      <c r="W640" s="9"/>
      <c r="X640" s="9"/>
      <c r="Y640" s="9"/>
      <c r="Z640" s="9"/>
      <c r="AA640" s="9"/>
      <c r="AB640" s="9"/>
      <c r="AC640" s="9"/>
      <c r="AD640" s="9"/>
      <c r="AE640" s="9"/>
      <c r="AF640" s="9"/>
    </row>
    <row r="641">
      <c r="A641" s="9"/>
      <c r="B641" s="9"/>
      <c r="C641" s="9"/>
      <c r="D641" s="9"/>
      <c r="E641" s="9"/>
      <c r="F641" s="9"/>
      <c r="G641" s="9"/>
      <c r="H641" s="9"/>
      <c r="I641" s="9"/>
      <c r="J641" s="9"/>
      <c r="K641" s="9"/>
      <c r="L641" s="9"/>
      <c r="M641" s="9"/>
      <c r="N641" s="9"/>
      <c r="O641" s="9"/>
      <c r="P641" s="9"/>
      <c r="Q641" s="9"/>
      <c r="R641" s="9"/>
      <c r="S641" s="9"/>
      <c r="T641" s="9"/>
      <c r="U641" s="9"/>
      <c r="V641" s="9"/>
      <c r="W641" s="9"/>
      <c r="X641" s="9"/>
      <c r="Y641" s="9"/>
      <c r="Z641" s="9"/>
      <c r="AA641" s="9"/>
      <c r="AB641" s="9"/>
      <c r="AC641" s="9"/>
      <c r="AD641" s="9"/>
      <c r="AE641" s="9"/>
      <c r="AF641" s="9"/>
    </row>
    <row r="642">
      <c r="A642" s="9"/>
      <c r="B642" s="9"/>
      <c r="C642" s="9"/>
      <c r="D642" s="9"/>
      <c r="E642" s="9"/>
      <c r="F642" s="9"/>
      <c r="G642" s="9"/>
      <c r="H642" s="9"/>
      <c r="I642" s="9"/>
      <c r="J642" s="9"/>
      <c r="K642" s="9"/>
      <c r="L642" s="9"/>
      <c r="M642" s="9"/>
      <c r="N642" s="9"/>
      <c r="O642" s="9"/>
      <c r="P642" s="9"/>
      <c r="Q642" s="9"/>
      <c r="R642" s="9"/>
      <c r="S642" s="9"/>
      <c r="T642" s="9"/>
      <c r="U642" s="9"/>
      <c r="V642" s="9"/>
      <c r="W642" s="9"/>
      <c r="X642" s="9"/>
      <c r="Y642" s="9"/>
      <c r="Z642" s="9"/>
      <c r="AA642" s="9"/>
      <c r="AB642" s="9"/>
      <c r="AC642" s="9"/>
      <c r="AD642" s="9"/>
      <c r="AE642" s="9"/>
      <c r="AF642" s="9"/>
    </row>
    <row r="643">
      <c r="A643" s="9"/>
      <c r="B643" s="9"/>
      <c r="C643" s="9"/>
      <c r="D643" s="9"/>
      <c r="E643" s="9"/>
      <c r="F643" s="9"/>
      <c r="G643" s="9"/>
      <c r="H643" s="9"/>
      <c r="I643" s="9"/>
      <c r="J643" s="9"/>
      <c r="K643" s="9"/>
      <c r="L643" s="9"/>
      <c r="M643" s="9"/>
      <c r="N643" s="9"/>
      <c r="O643" s="9"/>
      <c r="P643" s="9"/>
      <c r="Q643" s="9"/>
      <c r="R643" s="9"/>
      <c r="S643" s="9"/>
      <c r="T643" s="9"/>
      <c r="U643" s="9"/>
      <c r="V643" s="9"/>
      <c r="W643" s="9"/>
      <c r="X643" s="9"/>
      <c r="Y643" s="9"/>
      <c r="Z643" s="9"/>
      <c r="AA643" s="9"/>
      <c r="AB643" s="9"/>
      <c r="AC643" s="9"/>
      <c r="AD643" s="9"/>
      <c r="AE643" s="9"/>
      <c r="AF643" s="9"/>
    </row>
    <row r="644">
      <c r="A644" s="9"/>
      <c r="B644" s="9"/>
      <c r="C644" s="9"/>
      <c r="D644" s="9"/>
      <c r="E644" s="9"/>
      <c r="F644" s="9"/>
      <c r="G644" s="9"/>
      <c r="H644" s="9"/>
      <c r="I644" s="9"/>
      <c r="J644" s="9"/>
      <c r="K644" s="9"/>
      <c r="L644" s="9"/>
      <c r="M644" s="9"/>
      <c r="N644" s="9"/>
      <c r="O644" s="9"/>
      <c r="P644" s="9"/>
      <c r="Q644" s="9"/>
      <c r="R644" s="9"/>
      <c r="S644" s="9"/>
      <c r="T644" s="9"/>
      <c r="U644" s="9"/>
      <c r="V644" s="9"/>
      <c r="W644" s="9"/>
      <c r="X644" s="9"/>
      <c r="Y644" s="9"/>
      <c r="Z644" s="9"/>
      <c r="AA644" s="9"/>
      <c r="AB644" s="9"/>
      <c r="AC644" s="9"/>
      <c r="AD644" s="9"/>
      <c r="AE644" s="9"/>
      <c r="AF644" s="9"/>
    </row>
    <row r="645">
      <c r="A645" s="9"/>
      <c r="B645" s="9"/>
      <c r="C645" s="9"/>
      <c r="D645" s="9"/>
      <c r="E645" s="9"/>
      <c r="F645" s="9"/>
      <c r="G645" s="9"/>
      <c r="H645" s="9"/>
      <c r="I645" s="9"/>
      <c r="J645" s="9"/>
      <c r="K645" s="9"/>
      <c r="L645" s="9"/>
      <c r="M645" s="9"/>
      <c r="N645" s="9"/>
      <c r="O645" s="9"/>
      <c r="P645" s="9"/>
      <c r="Q645" s="9"/>
      <c r="R645" s="9"/>
      <c r="S645" s="9"/>
      <c r="T645" s="9"/>
      <c r="U645" s="9"/>
      <c r="V645" s="9"/>
      <c r="W645" s="9"/>
      <c r="X645" s="9"/>
      <c r="Y645" s="9"/>
      <c r="Z645" s="9"/>
      <c r="AA645" s="9"/>
      <c r="AB645" s="9"/>
      <c r="AC645" s="9"/>
      <c r="AD645" s="9"/>
      <c r="AE645" s="9"/>
      <c r="AF645" s="9"/>
    </row>
    <row r="646">
      <c r="A646" s="9"/>
      <c r="B646" s="9"/>
      <c r="C646" s="9"/>
      <c r="D646" s="9"/>
      <c r="E646" s="9"/>
      <c r="F646" s="9"/>
      <c r="G646" s="9"/>
      <c r="H646" s="9"/>
      <c r="I646" s="9"/>
      <c r="J646" s="9"/>
      <c r="K646" s="9"/>
      <c r="L646" s="9"/>
      <c r="M646" s="9"/>
      <c r="N646" s="9"/>
      <c r="O646" s="9"/>
      <c r="P646" s="9"/>
      <c r="Q646" s="9"/>
      <c r="R646" s="9"/>
      <c r="S646" s="9"/>
      <c r="T646" s="9"/>
      <c r="U646" s="9"/>
      <c r="V646" s="9"/>
      <c r="W646" s="9"/>
      <c r="X646" s="9"/>
      <c r="Y646" s="9"/>
      <c r="Z646" s="9"/>
      <c r="AA646" s="9"/>
      <c r="AB646" s="9"/>
      <c r="AC646" s="9"/>
      <c r="AD646" s="9"/>
      <c r="AE646" s="9"/>
      <c r="AF646" s="9"/>
    </row>
    <row r="647">
      <c r="A647" s="9"/>
      <c r="B647" s="9"/>
      <c r="C647" s="9"/>
      <c r="D647" s="9"/>
      <c r="E647" s="9"/>
      <c r="F647" s="9"/>
      <c r="G647" s="9"/>
      <c r="H647" s="9"/>
      <c r="I647" s="9"/>
      <c r="J647" s="9"/>
      <c r="K647" s="9"/>
      <c r="L647" s="9"/>
      <c r="M647" s="9"/>
      <c r="N647" s="9"/>
      <c r="O647" s="9"/>
      <c r="P647" s="9"/>
      <c r="Q647" s="9"/>
      <c r="R647" s="9"/>
      <c r="S647" s="9"/>
      <c r="T647" s="9"/>
      <c r="U647" s="9"/>
      <c r="V647" s="9"/>
      <c r="W647" s="9"/>
      <c r="X647" s="9"/>
      <c r="Y647" s="9"/>
      <c r="Z647" s="9"/>
      <c r="AA647" s="9"/>
      <c r="AB647" s="9"/>
      <c r="AC647" s="9"/>
      <c r="AD647" s="9"/>
      <c r="AE647" s="9"/>
      <c r="AF647" s="9"/>
    </row>
    <row r="648">
      <c r="A648" s="9"/>
      <c r="B648" s="9"/>
      <c r="C648" s="9"/>
      <c r="D648" s="9"/>
      <c r="E648" s="9"/>
      <c r="F648" s="9"/>
      <c r="G648" s="9"/>
      <c r="H648" s="9"/>
      <c r="I648" s="9"/>
      <c r="J648" s="9"/>
      <c r="K648" s="9"/>
      <c r="L648" s="9"/>
      <c r="M648" s="9"/>
      <c r="N648" s="9"/>
      <c r="O648" s="9"/>
      <c r="P648" s="9"/>
      <c r="Q648" s="9"/>
      <c r="R648" s="9"/>
      <c r="S648" s="9"/>
      <c r="T648" s="9"/>
      <c r="U648" s="9"/>
      <c r="V648" s="9"/>
      <c r="W648" s="9"/>
      <c r="X648" s="9"/>
      <c r="Y648" s="9"/>
      <c r="Z648" s="9"/>
      <c r="AA648" s="9"/>
      <c r="AB648" s="9"/>
      <c r="AC648" s="9"/>
      <c r="AD648" s="9"/>
      <c r="AE648" s="9"/>
      <c r="AF648" s="9"/>
    </row>
    <row r="649">
      <c r="A649" s="9"/>
      <c r="B649" s="9"/>
      <c r="C649" s="9"/>
      <c r="D649" s="9"/>
      <c r="E649" s="9"/>
      <c r="F649" s="9"/>
      <c r="G649" s="9"/>
      <c r="H649" s="9"/>
      <c r="I649" s="9"/>
      <c r="J649" s="9"/>
      <c r="K649" s="9"/>
      <c r="L649" s="9"/>
      <c r="M649" s="9"/>
      <c r="N649" s="9"/>
      <c r="O649" s="9"/>
      <c r="P649" s="9"/>
      <c r="Q649" s="9"/>
      <c r="R649" s="9"/>
      <c r="S649" s="9"/>
      <c r="T649" s="9"/>
      <c r="U649" s="9"/>
      <c r="V649" s="9"/>
      <c r="W649" s="9"/>
      <c r="X649" s="9"/>
      <c r="Y649" s="9"/>
      <c r="Z649" s="9"/>
      <c r="AA649" s="9"/>
      <c r="AB649" s="9"/>
      <c r="AC649" s="9"/>
      <c r="AD649" s="9"/>
      <c r="AE649" s="9"/>
      <c r="AF649" s="9"/>
    </row>
    <row r="650">
      <c r="A650" s="9"/>
      <c r="B650" s="9"/>
      <c r="C650" s="9"/>
      <c r="D650" s="9"/>
      <c r="E650" s="9"/>
      <c r="F650" s="9"/>
      <c r="G650" s="9"/>
      <c r="H650" s="9"/>
      <c r="I650" s="9"/>
      <c r="J650" s="9"/>
      <c r="K650" s="9"/>
      <c r="L650" s="9"/>
      <c r="M650" s="9"/>
      <c r="N650" s="9"/>
      <c r="O650" s="9"/>
      <c r="P650" s="9"/>
      <c r="Q650" s="9"/>
      <c r="R650" s="9"/>
      <c r="S650" s="9"/>
      <c r="T650" s="9"/>
      <c r="U650" s="9"/>
      <c r="V650" s="9"/>
      <c r="W650" s="9"/>
      <c r="X650" s="9"/>
      <c r="Y650" s="9"/>
      <c r="Z650" s="9"/>
      <c r="AA650" s="9"/>
      <c r="AB650" s="9"/>
      <c r="AC650" s="9"/>
      <c r="AD650" s="9"/>
      <c r="AE650" s="9"/>
      <c r="AF650" s="9"/>
    </row>
    <row r="651">
      <c r="A651" s="9"/>
      <c r="B651" s="9"/>
      <c r="C651" s="9"/>
      <c r="D651" s="9"/>
      <c r="E651" s="9"/>
      <c r="F651" s="9"/>
      <c r="G651" s="9"/>
      <c r="H651" s="9"/>
      <c r="I651" s="9"/>
      <c r="J651" s="9"/>
      <c r="K651" s="9"/>
      <c r="L651" s="9"/>
      <c r="M651" s="9"/>
      <c r="N651" s="9"/>
      <c r="O651" s="9"/>
      <c r="P651" s="9"/>
      <c r="Q651" s="9"/>
      <c r="R651" s="9"/>
      <c r="S651" s="9"/>
      <c r="T651" s="9"/>
      <c r="U651" s="9"/>
      <c r="V651" s="9"/>
      <c r="W651" s="9"/>
      <c r="X651" s="9"/>
      <c r="Y651" s="9"/>
      <c r="Z651" s="9"/>
      <c r="AA651" s="9"/>
      <c r="AB651" s="9"/>
      <c r="AC651" s="9"/>
      <c r="AD651" s="9"/>
      <c r="AE651" s="9"/>
      <c r="AF651" s="9"/>
    </row>
    <row r="652">
      <c r="A652" s="9"/>
      <c r="B652" s="9"/>
      <c r="C652" s="9"/>
      <c r="D652" s="9"/>
      <c r="E652" s="9"/>
      <c r="F652" s="9"/>
      <c r="G652" s="9"/>
      <c r="H652" s="9"/>
      <c r="I652" s="9"/>
      <c r="J652" s="9"/>
      <c r="K652" s="9"/>
      <c r="L652" s="9"/>
      <c r="M652" s="9"/>
      <c r="N652" s="9"/>
      <c r="O652" s="9"/>
      <c r="P652" s="9"/>
      <c r="Q652" s="9"/>
      <c r="R652" s="9"/>
      <c r="S652" s="9"/>
      <c r="T652" s="9"/>
      <c r="U652" s="9"/>
      <c r="V652" s="9"/>
      <c r="W652" s="9"/>
      <c r="X652" s="9"/>
      <c r="Y652" s="9"/>
      <c r="Z652" s="9"/>
      <c r="AA652" s="9"/>
      <c r="AB652" s="9"/>
      <c r="AC652" s="9"/>
      <c r="AD652" s="9"/>
      <c r="AE652" s="9"/>
      <c r="AF652" s="9"/>
    </row>
    <row r="653">
      <c r="A653" s="9"/>
      <c r="B653" s="9"/>
      <c r="C653" s="9"/>
      <c r="D653" s="9"/>
      <c r="E653" s="9"/>
      <c r="F653" s="9"/>
      <c r="G653" s="9"/>
      <c r="H653" s="9"/>
      <c r="I653" s="9"/>
      <c r="J653" s="9"/>
      <c r="K653" s="9"/>
      <c r="L653" s="9"/>
      <c r="M653" s="9"/>
      <c r="N653" s="9"/>
      <c r="O653" s="9"/>
      <c r="P653" s="9"/>
      <c r="Q653" s="9"/>
      <c r="R653" s="9"/>
      <c r="S653" s="9"/>
      <c r="T653" s="9"/>
      <c r="U653" s="9"/>
      <c r="V653" s="9"/>
      <c r="W653" s="9"/>
      <c r="X653" s="9"/>
      <c r="Y653" s="9"/>
      <c r="Z653" s="9"/>
      <c r="AA653" s="9"/>
      <c r="AB653" s="9"/>
      <c r="AC653" s="9"/>
      <c r="AD653" s="9"/>
      <c r="AE653" s="9"/>
      <c r="AF653" s="9"/>
    </row>
    <row r="654">
      <c r="A654" s="9"/>
      <c r="B654" s="9"/>
      <c r="C654" s="9"/>
      <c r="D654" s="9"/>
      <c r="E654" s="9"/>
      <c r="F654" s="9"/>
      <c r="G654" s="9"/>
      <c r="H654" s="9"/>
      <c r="I654" s="9"/>
      <c r="J654" s="9"/>
      <c r="K654" s="9"/>
      <c r="L654" s="9"/>
      <c r="M654" s="9"/>
      <c r="N654" s="9"/>
      <c r="O654" s="9"/>
      <c r="P654" s="9"/>
      <c r="Q654" s="9"/>
      <c r="R654" s="9"/>
      <c r="S654" s="9"/>
      <c r="T654" s="9"/>
      <c r="U654" s="9"/>
      <c r="V654" s="9"/>
      <c r="W654" s="9"/>
      <c r="X654" s="9"/>
      <c r="Y654" s="9"/>
      <c r="Z654" s="9"/>
      <c r="AA654" s="9"/>
      <c r="AB654" s="9"/>
      <c r="AC654" s="9"/>
      <c r="AD654" s="9"/>
      <c r="AE654" s="9"/>
      <c r="AF654" s="9"/>
    </row>
    <row r="655">
      <c r="A655" s="9"/>
      <c r="B655" s="9"/>
      <c r="C655" s="9"/>
      <c r="D655" s="9"/>
      <c r="E655" s="9"/>
      <c r="F655" s="9"/>
      <c r="G655" s="9"/>
      <c r="H655" s="9"/>
      <c r="I655" s="9"/>
      <c r="J655" s="9"/>
      <c r="K655" s="9"/>
      <c r="L655" s="9"/>
      <c r="M655" s="9"/>
      <c r="N655" s="9"/>
      <c r="O655" s="9"/>
      <c r="P655" s="9"/>
      <c r="Q655" s="9"/>
      <c r="R655" s="9"/>
      <c r="S655" s="9"/>
      <c r="T655" s="9"/>
      <c r="U655" s="9"/>
      <c r="V655" s="9"/>
      <c r="W655" s="9"/>
      <c r="X655" s="9"/>
      <c r="Y655" s="9"/>
      <c r="Z655" s="9"/>
      <c r="AA655" s="9"/>
      <c r="AB655" s="9"/>
      <c r="AC655" s="9"/>
      <c r="AD655" s="9"/>
      <c r="AE655" s="9"/>
      <c r="AF655" s="9"/>
    </row>
    <row r="656">
      <c r="A656" s="9"/>
      <c r="B656" s="9"/>
      <c r="C656" s="9"/>
      <c r="D656" s="9"/>
      <c r="E656" s="9"/>
      <c r="F656" s="9"/>
      <c r="G656" s="9"/>
      <c r="H656" s="9"/>
      <c r="I656" s="9"/>
      <c r="J656" s="9"/>
      <c r="K656" s="9"/>
      <c r="L656" s="9"/>
      <c r="M656" s="9"/>
      <c r="N656" s="9"/>
      <c r="O656" s="9"/>
      <c r="P656" s="9"/>
      <c r="Q656" s="9"/>
      <c r="R656" s="9"/>
      <c r="S656" s="9"/>
      <c r="T656" s="9"/>
      <c r="U656" s="9"/>
      <c r="V656" s="9"/>
      <c r="W656" s="9"/>
      <c r="X656" s="9"/>
      <c r="Y656" s="9"/>
      <c r="Z656" s="9"/>
      <c r="AA656" s="9"/>
      <c r="AB656" s="9"/>
      <c r="AC656" s="9"/>
      <c r="AD656" s="9"/>
      <c r="AE656" s="9"/>
      <c r="AF656" s="9"/>
    </row>
    <row r="657">
      <c r="A657" s="9"/>
      <c r="B657" s="9"/>
      <c r="C657" s="9"/>
      <c r="D657" s="9"/>
      <c r="E657" s="9"/>
      <c r="F657" s="9"/>
      <c r="G657" s="9"/>
      <c r="H657" s="9"/>
      <c r="I657" s="9"/>
      <c r="J657" s="9"/>
      <c r="K657" s="9"/>
      <c r="L657" s="9"/>
      <c r="M657" s="9"/>
      <c r="N657" s="9"/>
      <c r="O657" s="9"/>
      <c r="P657" s="9"/>
      <c r="Q657" s="9"/>
      <c r="R657" s="9"/>
      <c r="S657" s="9"/>
      <c r="T657" s="9"/>
      <c r="U657" s="9"/>
      <c r="V657" s="9"/>
      <c r="W657" s="9"/>
      <c r="X657" s="9"/>
      <c r="Y657" s="9"/>
      <c r="Z657" s="9"/>
      <c r="AA657" s="9"/>
      <c r="AB657" s="9"/>
      <c r="AC657" s="9"/>
      <c r="AD657" s="9"/>
      <c r="AE657" s="9"/>
      <c r="AF657" s="9"/>
    </row>
    <row r="658">
      <c r="A658" s="9"/>
      <c r="B658" s="9"/>
      <c r="C658" s="9"/>
      <c r="D658" s="9"/>
      <c r="E658" s="9"/>
      <c r="F658" s="9"/>
      <c r="G658" s="9"/>
      <c r="H658" s="9"/>
      <c r="I658" s="9"/>
      <c r="J658" s="9"/>
      <c r="K658" s="9"/>
      <c r="L658" s="9"/>
      <c r="M658" s="9"/>
      <c r="N658" s="9"/>
      <c r="O658" s="9"/>
      <c r="P658" s="9"/>
      <c r="Q658" s="9"/>
      <c r="R658" s="9"/>
      <c r="S658" s="9"/>
      <c r="T658" s="9"/>
      <c r="U658" s="9"/>
      <c r="V658" s="9"/>
      <c r="W658" s="9"/>
      <c r="X658" s="9"/>
      <c r="Y658" s="9"/>
      <c r="Z658" s="9"/>
      <c r="AA658" s="9"/>
      <c r="AB658" s="9"/>
      <c r="AC658" s="9"/>
      <c r="AD658" s="9"/>
      <c r="AE658" s="9"/>
      <c r="AF658" s="9"/>
    </row>
    <row r="659">
      <c r="A659" s="9"/>
      <c r="B659" s="9"/>
      <c r="C659" s="9"/>
      <c r="D659" s="9"/>
      <c r="E659" s="9"/>
      <c r="F659" s="9"/>
      <c r="G659" s="9"/>
      <c r="H659" s="9"/>
      <c r="I659" s="9"/>
      <c r="J659" s="9"/>
      <c r="K659" s="9"/>
      <c r="L659" s="9"/>
      <c r="M659" s="9"/>
      <c r="N659" s="9"/>
      <c r="O659" s="9"/>
      <c r="P659" s="9"/>
      <c r="Q659" s="9"/>
      <c r="R659" s="9"/>
      <c r="S659" s="9"/>
      <c r="T659" s="9"/>
      <c r="U659" s="9"/>
      <c r="V659" s="9"/>
      <c r="W659" s="9"/>
      <c r="X659" s="9"/>
      <c r="Y659" s="9"/>
      <c r="Z659" s="9"/>
      <c r="AA659" s="9"/>
      <c r="AB659" s="9"/>
      <c r="AC659" s="9"/>
      <c r="AD659" s="9"/>
      <c r="AE659" s="9"/>
      <c r="AF659" s="9"/>
    </row>
    <row r="660">
      <c r="A660" s="9"/>
      <c r="B660" s="9"/>
      <c r="C660" s="9"/>
      <c r="D660" s="9"/>
      <c r="E660" s="9"/>
      <c r="F660" s="9"/>
      <c r="G660" s="9"/>
      <c r="H660" s="9"/>
      <c r="I660" s="9"/>
      <c r="J660" s="9"/>
      <c r="K660" s="9"/>
      <c r="L660" s="9"/>
      <c r="M660" s="9"/>
      <c r="N660" s="9"/>
      <c r="O660" s="9"/>
      <c r="P660" s="9"/>
      <c r="Q660" s="9"/>
      <c r="R660" s="9"/>
      <c r="S660" s="9"/>
      <c r="T660" s="9"/>
      <c r="U660" s="9"/>
      <c r="V660" s="9"/>
      <c r="W660" s="9"/>
      <c r="X660" s="9"/>
      <c r="Y660" s="9"/>
      <c r="Z660" s="9"/>
      <c r="AA660" s="9"/>
      <c r="AB660" s="9"/>
      <c r="AC660" s="9"/>
      <c r="AD660" s="9"/>
      <c r="AE660" s="9"/>
      <c r="AF660" s="9"/>
    </row>
    <row r="661">
      <c r="A661" s="9"/>
      <c r="B661" s="9"/>
      <c r="C661" s="9"/>
      <c r="D661" s="9"/>
      <c r="E661" s="9"/>
      <c r="F661" s="9"/>
      <c r="G661" s="9"/>
      <c r="H661" s="9"/>
      <c r="I661" s="9"/>
      <c r="J661" s="9"/>
      <c r="K661" s="9"/>
      <c r="L661" s="9"/>
      <c r="M661" s="9"/>
      <c r="N661" s="9"/>
      <c r="O661" s="9"/>
      <c r="P661" s="9"/>
      <c r="Q661" s="9"/>
      <c r="R661" s="9"/>
      <c r="S661" s="9"/>
      <c r="T661" s="9"/>
      <c r="U661" s="9"/>
      <c r="V661" s="9"/>
      <c r="W661" s="9"/>
      <c r="X661" s="9"/>
      <c r="Y661" s="9"/>
      <c r="Z661" s="9"/>
      <c r="AA661" s="9"/>
      <c r="AB661" s="9"/>
      <c r="AC661" s="9"/>
      <c r="AD661" s="9"/>
      <c r="AE661" s="9"/>
      <c r="AF661" s="9"/>
    </row>
    <row r="662">
      <c r="A662" s="9"/>
      <c r="B662" s="9"/>
      <c r="C662" s="9"/>
      <c r="D662" s="9"/>
      <c r="E662" s="9"/>
      <c r="F662" s="9"/>
      <c r="G662" s="9"/>
      <c r="H662" s="9"/>
      <c r="I662" s="9"/>
      <c r="J662" s="9"/>
      <c r="K662" s="9"/>
      <c r="L662" s="9"/>
      <c r="M662" s="9"/>
      <c r="N662" s="9"/>
      <c r="O662" s="9"/>
      <c r="P662" s="9"/>
      <c r="Q662" s="9"/>
      <c r="R662" s="9"/>
      <c r="S662" s="9"/>
      <c r="T662" s="9"/>
      <c r="U662" s="9"/>
      <c r="V662" s="9"/>
      <c r="W662" s="9"/>
      <c r="X662" s="9"/>
      <c r="Y662" s="9"/>
      <c r="Z662" s="9"/>
      <c r="AA662" s="9"/>
      <c r="AB662" s="9"/>
      <c r="AC662" s="9"/>
      <c r="AD662" s="9"/>
      <c r="AE662" s="9"/>
      <c r="AF662" s="9"/>
    </row>
    <row r="663">
      <c r="A663" s="9"/>
      <c r="B663" s="9"/>
      <c r="C663" s="9"/>
      <c r="D663" s="9"/>
      <c r="E663" s="9"/>
      <c r="F663" s="9"/>
      <c r="G663" s="9"/>
      <c r="H663" s="9"/>
      <c r="I663" s="9"/>
      <c r="J663" s="9"/>
      <c r="K663" s="9"/>
      <c r="L663" s="9"/>
      <c r="M663" s="9"/>
      <c r="N663" s="9"/>
      <c r="O663" s="9"/>
      <c r="P663" s="9"/>
      <c r="Q663" s="9"/>
      <c r="R663" s="9"/>
      <c r="S663" s="9"/>
      <c r="T663" s="9"/>
      <c r="U663" s="9"/>
      <c r="V663" s="9"/>
      <c r="W663" s="9"/>
      <c r="X663" s="9"/>
      <c r="Y663" s="9"/>
      <c r="Z663" s="9"/>
      <c r="AA663" s="9"/>
      <c r="AB663" s="9"/>
      <c r="AC663" s="9"/>
      <c r="AD663" s="9"/>
      <c r="AE663" s="9"/>
      <c r="AF663" s="9"/>
    </row>
    <row r="664">
      <c r="A664" s="9"/>
      <c r="B664" s="9"/>
      <c r="C664" s="9"/>
      <c r="D664" s="9"/>
      <c r="E664" s="9"/>
      <c r="F664" s="9"/>
      <c r="G664" s="9"/>
      <c r="H664" s="9"/>
      <c r="I664" s="9"/>
      <c r="J664" s="9"/>
      <c r="K664" s="9"/>
      <c r="L664" s="9"/>
      <c r="M664" s="9"/>
      <c r="N664" s="9"/>
      <c r="O664" s="9"/>
      <c r="P664" s="9"/>
      <c r="Q664" s="9"/>
      <c r="R664" s="9"/>
      <c r="S664" s="9"/>
      <c r="T664" s="9"/>
      <c r="U664" s="9"/>
      <c r="V664" s="9"/>
      <c r="W664" s="9"/>
      <c r="X664" s="9"/>
      <c r="Y664" s="9"/>
      <c r="Z664" s="9"/>
      <c r="AA664" s="9"/>
      <c r="AB664" s="9"/>
      <c r="AC664" s="9"/>
      <c r="AD664" s="9"/>
      <c r="AE664" s="9"/>
      <c r="AF664" s="9"/>
    </row>
    <row r="665">
      <c r="A665" s="9"/>
      <c r="B665" s="9"/>
      <c r="C665" s="9"/>
      <c r="D665" s="9"/>
      <c r="E665" s="9"/>
      <c r="F665" s="9"/>
      <c r="G665" s="9"/>
      <c r="H665" s="9"/>
      <c r="I665" s="9"/>
      <c r="J665" s="9"/>
      <c r="K665" s="9"/>
      <c r="L665" s="9"/>
      <c r="M665" s="9"/>
      <c r="N665" s="9"/>
      <c r="O665" s="9"/>
      <c r="P665" s="9"/>
      <c r="Q665" s="9"/>
      <c r="R665" s="9"/>
      <c r="S665" s="9"/>
      <c r="T665" s="9"/>
      <c r="U665" s="9"/>
      <c r="V665" s="9"/>
      <c r="W665" s="9"/>
      <c r="X665" s="9"/>
      <c r="Y665" s="9"/>
      <c r="Z665" s="9"/>
      <c r="AA665" s="9"/>
      <c r="AB665" s="9"/>
      <c r="AC665" s="9"/>
      <c r="AD665" s="9"/>
      <c r="AE665" s="9"/>
      <c r="AF665" s="9"/>
    </row>
    <row r="666">
      <c r="A666" s="9"/>
      <c r="B666" s="9"/>
      <c r="C666" s="9"/>
      <c r="D666" s="9"/>
      <c r="E666" s="9"/>
      <c r="F666" s="9"/>
      <c r="G666" s="9"/>
      <c r="H666" s="9"/>
      <c r="I666" s="9"/>
      <c r="J666" s="9"/>
      <c r="K666" s="9"/>
      <c r="L666" s="9"/>
      <c r="M666" s="9"/>
      <c r="N666" s="9"/>
      <c r="O666" s="9"/>
      <c r="P666" s="9"/>
      <c r="Q666" s="9"/>
      <c r="R666" s="9"/>
      <c r="S666" s="9"/>
      <c r="T666" s="9"/>
      <c r="U666" s="9"/>
      <c r="V666" s="9"/>
      <c r="W666" s="9"/>
      <c r="X666" s="9"/>
      <c r="Y666" s="9"/>
      <c r="Z666" s="9"/>
      <c r="AA666" s="9"/>
      <c r="AB666" s="9"/>
      <c r="AC666" s="9"/>
      <c r="AD666" s="9"/>
      <c r="AE666" s="9"/>
      <c r="AF666" s="9"/>
    </row>
    <row r="667">
      <c r="A667" s="9"/>
      <c r="B667" s="9"/>
      <c r="C667" s="9"/>
      <c r="D667" s="9"/>
      <c r="E667" s="9"/>
      <c r="F667" s="9"/>
      <c r="G667" s="9"/>
      <c r="H667" s="9"/>
      <c r="I667" s="9"/>
      <c r="J667" s="9"/>
      <c r="K667" s="9"/>
      <c r="L667" s="9"/>
      <c r="M667" s="9"/>
      <c r="N667" s="9"/>
      <c r="O667" s="9"/>
      <c r="P667" s="9"/>
      <c r="Q667" s="9"/>
      <c r="R667" s="9"/>
      <c r="S667" s="9"/>
      <c r="T667" s="9"/>
      <c r="U667" s="9"/>
      <c r="V667" s="9"/>
      <c r="W667" s="9"/>
      <c r="X667" s="9"/>
      <c r="Y667" s="9"/>
      <c r="Z667" s="9"/>
      <c r="AA667" s="9"/>
      <c r="AB667" s="9"/>
      <c r="AC667" s="9"/>
      <c r="AD667" s="9"/>
      <c r="AE667" s="9"/>
      <c r="AF667" s="9"/>
    </row>
    <row r="668">
      <c r="A668" s="9"/>
      <c r="B668" s="9"/>
      <c r="C668" s="9"/>
      <c r="D668" s="9"/>
      <c r="E668" s="9"/>
      <c r="F668" s="9"/>
      <c r="G668" s="9"/>
      <c r="H668" s="9"/>
      <c r="I668" s="9"/>
      <c r="J668" s="9"/>
      <c r="K668" s="9"/>
      <c r="L668" s="9"/>
      <c r="M668" s="9"/>
      <c r="N668" s="9"/>
      <c r="O668" s="9"/>
      <c r="P668" s="9"/>
      <c r="Q668" s="9"/>
      <c r="R668" s="9"/>
      <c r="S668" s="9"/>
      <c r="T668" s="9"/>
      <c r="U668" s="9"/>
      <c r="V668" s="9"/>
      <c r="W668" s="9"/>
      <c r="X668" s="9"/>
      <c r="Y668" s="9"/>
      <c r="Z668" s="9"/>
      <c r="AA668" s="9"/>
      <c r="AB668" s="9"/>
      <c r="AC668" s="9"/>
      <c r="AD668" s="9"/>
      <c r="AE668" s="9"/>
      <c r="AF668" s="9"/>
    </row>
    <row r="669">
      <c r="A669" s="9"/>
      <c r="B669" s="9"/>
      <c r="C669" s="9"/>
      <c r="D669" s="9"/>
      <c r="E669" s="9"/>
      <c r="F669" s="9"/>
      <c r="G669" s="9"/>
      <c r="H669" s="9"/>
      <c r="I669" s="9"/>
      <c r="J669" s="9"/>
      <c r="K669" s="9"/>
      <c r="L669" s="9"/>
      <c r="M669" s="9"/>
      <c r="N669" s="9"/>
      <c r="O669" s="9"/>
      <c r="P669" s="9"/>
      <c r="Q669" s="9"/>
      <c r="R669" s="9"/>
      <c r="S669" s="9"/>
      <c r="T669" s="9"/>
      <c r="U669" s="9"/>
      <c r="V669" s="9"/>
      <c r="W669" s="9"/>
      <c r="X669" s="9"/>
      <c r="Y669" s="9"/>
      <c r="Z669" s="9"/>
      <c r="AA669" s="9"/>
      <c r="AB669" s="9"/>
      <c r="AC669" s="9"/>
      <c r="AD669" s="9"/>
      <c r="AE669" s="9"/>
      <c r="AF669" s="9"/>
    </row>
    <row r="670">
      <c r="A670" s="9"/>
      <c r="B670" s="9"/>
      <c r="C670" s="9"/>
      <c r="D670" s="9"/>
      <c r="E670" s="9"/>
      <c r="F670" s="9"/>
      <c r="G670" s="9"/>
      <c r="H670" s="9"/>
      <c r="I670" s="9"/>
      <c r="J670" s="9"/>
      <c r="K670" s="9"/>
      <c r="L670" s="9"/>
      <c r="M670" s="9"/>
      <c r="N670" s="9"/>
      <c r="O670" s="9"/>
      <c r="P670" s="9"/>
      <c r="Q670" s="9"/>
      <c r="R670" s="9"/>
      <c r="S670" s="9"/>
      <c r="T670" s="9"/>
      <c r="U670" s="9"/>
      <c r="V670" s="9"/>
      <c r="W670" s="9"/>
      <c r="X670" s="9"/>
      <c r="Y670" s="9"/>
      <c r="Z670" s="9"/>
      <c r="AA670" s="9"/>
      <c r="AB670" s="9"/>
      <c r="AC670" s="9"/>
      <c r="AD670" s="9"/>
      <c r="AE670" s="9"/>
      <c r="AF670" s="9"/>
    </row>
    <row r="671">
      <c r="A671" s="9"/>
      <c r="B671" s="9"/>
      <c r="C671" s="9"/>
      <c r="D671" s="9"/>
      <c r="E671" s="9"/>
      <c r="F671" s="9"/>
      <c r="G671" s="9"/>
      <c r="H671" s="9"/>
      <c r="I671" s="9"/>
      <c r="J671" s="9"/>
      <c r="K671" s="9"/>
      <c r="L671" s="9"/>
      <c r="M671" s="9"/>
      <c r="N671" s="9"/>
      <c r="O671" s="9"/>
      <c r="P671" s="9"/>
      <c r="Q671" s="9"/>
      <c r="R671" s="9"/>
      <c r="S671" s="9"/>
      <c r="T671" s="9"/>
      <c r="U671" s="9"/>
      <c r="V671" s="9"/>
      <c r="W671" s="9"/>
      <c r="X671" s="9"/>
      <c r="Y671" s="9"/>
      <c r="Z671" s="9"/>
      <c r="AA671" s="9"/>
      <c r="AB671" s="9"/>
      <c r="AC671" s="9"/>
      <c r="AD671" s="9"/>
      <c r="AE671" s="9"/>
      <c r="AF671" s="9"/>
    </row>
    <row r="672">
      <c r="A672" s="9"/>
      <c r="B672" s="9"/>
      <c r="C672" s="9"/>
      <c r="D672" s="9"/>
      <c r="E672" s="9"/>
      <c r="F672" s="9"/>
      <c r="G672" s="9"/>
      <c r="H672" s="9"/>
      <c r="I672" s="9"/>
      <c r="J672" s="9"/>
      <c r="K672" s="9"/>
      <c r="L672" s="9"/>
      <c r="M672" s="9"/>
      <c r="N672" s="9"/>
      <c r="O672" s="9"/>
      <c r="P672" s="9"/>
      <c r="Q672" s="9"/>
      <c r="R672" s="9"/>
      <c r="S672" s="9"/>
      <c r="T672" s="9"/>
      <c r="U672" s="9"/>
      <c r="V672" s="9"/>
      <c r="W672" s="9"/>
      <c r="X672" s="9"/>
      <c r="Y672" s="9"/>
      <c r="Z672" s="9"/>
      <c r="AA672" s="9"/>
      <c r="AB672" s="9"/>
      <c r="AC672" s="9"/>
      <c r="AD672" s="9"/>
      <c r="AE672" s="9"/>
      <c r="AF672" s="9"/>
    </row>
    <row r="673">
      <c r="A673" s="9"/>
      <c r="B673" s="9"/>
      <c r="C673" s="9"/>
      <c r="D673" s="9"/>
      <c r="E673" s="9"/>
      <c r="F673" s="9"/>
      <c r="G673" s="9"/>
      <c r="H673" s="9"/>
      <c r="I673" s="9"/>
      <c r="J673" s="9"/>
      <c r="K673" s="9"/>
      <c r="L673" s="9"/>
      <c r="M673" s="9"/>
      <c r="N673" s="9"/>
      <c r="O673" s="9"/>
      <c r="P673" s="9"/>
      <c r="Q673" s="9"/>
      <c r="R673" s="9"/>
      <c r="S673" s="9"/>
      <c r="T673" s="9"/>
      <c r="U673" s="9"/>
      <c r="V673" s="9"/>
      <c r="W673" s="9"/>
      <c r="X673" s="9"/>
      <c r="Y673" s="9"/>
      <c r="Z673" s="9"/>
      <c r="AA673" s="9"/>
      <c r="AB673" s="9"/>
      <c r="AC673" s="9"/>
      <c r="AD673" s="9"/>
      <c r="AE673" s="9"/>
      <c r="AF673" s="9"/>
    </row>
    <row r="674">
      <c r="A674" s="9"/>
      <c r="B674" s="9"/>
      <c r="C674" s="9"/>
      <c r="D674" s="9"/>
      <c r="E674" s="9"/>
      <c r="F674" s="9"/>
      <c r="G674" s="9"/>
      <c r="H674" s="9"/>
      <c r="I674" s="9"/>
      <c r="J674" s="9"/>
      <c r="K674" s="9"/>
      <c r="L674" s="9"/>
      <c r="M674" s="9"/>
      <c r="N674" s="9"/>
      <c r="O674" s="9"/>
      <c r="P674" s="9"/>
      <c r="Q674" s="9"/>
      <c r="R674" s="9"/>
      <c r="S674" s="9"/>
      <c r="T674" s="9"/>
      <c r="U674" s="9"/>
      <c r="V674" s="9"/>
      <c r="W674" s="9"/>
      <c r="X674" s="9"/>
      <c r="Y674" s="9"/>
      <c r="Z674" s="9"/>
      <c r="AA674" s="9"/>
      <c r="AB674" s="9"/>
      <c r="AC674" s="9"/>
      <c r="AD674" s="9"/>
      <c r="AE674" s="9"/>
      <c r="AF674" s="9"/>
    </row>
    <row r="675">
      <c r="A675" s="9"/>
      <c r="B675" s="9"/>
      <c r="C675" s="9"/>
      <c r="D675" s="9"/>
      <c r="E675" s="9"/>
      <c r="F675" s="9"/>
      <c r="G675" s="9"/>
      <c r="H675" s="9"/>
      <c r="I675" s="9"/>
      <c r="J675" s="9"/>
      <c r="K675" s="9"/>
      <c r="L675" s="9"/>
      <c r="M675" s="9"/>
      <c r="N675" s="9"/>
      <c r="O675" s="9"/>
      <c r="P675" s="9"/>
      <c r="Q675" s="9"/>
      <c r="R675" s="9"/>
      <c r="S675" s="9"/>
      <c r="T675" s="9"/>
      <c r="U675" s="9"/>
      <c r="V675" s="9"/>
      <c r="W675" s="9"/>
      <c r="X675" s="9"/>
      <c r="Y675" s="9"/>
      <c r="Z675" s="9"/>
      <c r="AA675" s="9"/>
      <c r="AB675" s="9"/>
      <c r="AC675" s="9"/>
      <c r="AD675" s="9"/>
      <c r="AE675" s="9"/>
      <c r="AF675" s="9"/>
    </row>
    <row r="676">
      <c r="A676" s="9"/>
      <c r="B676" s="9"/>
      <c r="C676" s="9"/>
      <c r="D676" s="9"/>
      <c r="E676" s="9"/>
      <c r="F676" s="9"/>
      <c r="G676" s="9"/>
      <c r="H676" s="9"/>
      <c r="I676" s="9"/>
      <c r="J676" s="9"/>
      <c r="K676" s="9"/>
      <c r="L676" s="9"/>
      <c r="M676" s="9"/>
      <c r="N676" s="9"/>
      <c r="O676" s="9"/>
      <c r="P676" s="9"/>
      <c r="Q676" s="9"/>
      <c r="R676" s="9"/>
      <c r="S676" s="9"/>
      <c r="T676" s="9"/>
      <c r="U676" s="9"/>
      <c r="V676" s="9"/>
      <c r="W676" s="9"/>
      <c r="X676" s="9"/>
      <c r="Y676" s="9"/>
      <c r="Z676" s="9"/>
      <c r="AA676" s="9"/>
      <c r="AB676" s="9"/>
      <c r="AC676" s="9"/>
      <c r="AD676" s="9"/>
      <c r="AE676" s="9"/>
      <c r="AF676" s="9"/>
    </row>
    <row r="677">
      <c r="A677" s="9"/>
      <c r="B677" s="9"/>
      <c r="C677" s="9"/>
      <c r="D677" s="9"/>
      <c r="E677" s="9"/>
      <c r="F677" s="9"/>
      <c r="G677" s="9"/>
      <c r="H677" s="9"/>
      <c r="I677" s="9"/>
      <c r="J677" s="9"/>
      <c r="K677" s="9"/>
      <c r="L677" s="9"/>
      <c r="M677" s="9"/>
      <c r="N677" s="9"/>
      <c r="O677" s="9"/>
      <c r="P677" s="9"/>
      <c r="Q677" s="9"/>
      <c r="R677" s="9"/>
      <c r="S677" s="9"/>
      <c r="T677" s="9"/>
      <c r="U677" s="9"/>
      <c r="V677" s="9"/>
      <c r="W677" s="9"/>
      <c r="X677" s="9"/>
      <c r="Y677" s="9"/>
      <c r="Z677" s="9"/>
      <c r="AA677" s="9"/>
      <c r="AB677" s="9"/>
      <c r="AC677" s="9"/>
      <c r="AD677" s="9"/>
      <c r="AE677" s="9"/>
      <c r="AF677" s="9"/>
    </row>
    <row r="678">
      <c r="A678" s="9"/>
      <c r="B678" s="9"/>
      <c r="C678" s="9"/>
      <c r="D678" s="9"/>
      <c r="E678" s="9"/>
      <c r="F678" s="9"/>
      <c r="G678" s="9"/>
      <c r="H678" s="9"/>
      <c r="I678" s="9"/>
      <c r="J678" s="9"/>
      <c r="K678" s="9"/>
      <c r="L678" s="9"/>
      <c r="M678" s="9"/>
      <c r="N678" s="9"/>
      <c r="O678" s="9"/>
      <c r="P678" s="9"/>
      <c r="Q678" s="9"/>
      <c r="R678" s="9"/>
      <c r="S678" s="9"/>
      <c r="T678" s="9"/>
      <c r="U678" s="9"/>
      <c r="V678" s="9"/>
      <c r="W678" s="9"/>
      <c r="X678" s="9"/>
      <c r="Y678" s="9"/>
      <c r="Z678" s="9"/>
      <c r="AA678" s="9"/>
      <c r="AB678" s="9"/>
      <c r="AC678" s="9"/>
      <c r="AD678" s="9"/>
      <c r="AE678" s="9"/>
      <c r="AF678" s="9"/>
    </row>
    <row r="679">
      <c r="A679" s="9"/>
      <c r="B679" s="9"/>
      <c r="C679" s="9"/>
      <c r="D679" s="9"/>
      <c r="E679" s="9"/>
      <c r="F679" s="9"/>
      <c r="G679" s="9"/>
      <c r="H679" s="9"/>
      <c r="I679" s="9"/>
      <c r="J679" s="9"/>
      <c r="K679" s="9"/>
      <c r="L679" s="9"/>
      <c r="M679" s="9"/>
      <c r="N679" s="9"/>
      <c r="O679" s="9"/>
      <c r="P679" s="9"/>
      <c r="Q679" s="9"/>
      <c r="R679" s="9"/>
      <c r="S679" s="9"/>
      <c r="T679" s="9"/>
      <c r="U679" s="9"/>
      <c r="V679" s="9"/>
      <c r="W679" s="9"/>
      <c r="X679" s="9"/>
      <c r="Y679" s="9"/>
      <c r="Z679" s="9"/>
      <c r="AA679" s="9"/>
      <c r="AB679" s="9"/>
      <c r="AC679" s="9"/>
      <c r="AD679" s="9"/>
      <c r="AE679" s="9"/>
      <c r="AF679" s="9"/>
    </row>
    <row r="680">
      <c r="A680" s="9"/>
      <c r="B680" s="9"/>
      <c r="C680" s="9"/>
      <c r="D680" s="9"/>
      <c r="E680" s="9"/>
      <c r="F680" s="9"/>
      <c r="G680" s="9"/>
      <c r="H680" s="9"/>
      <c r="I680" s="9"/>
      <c r="J680" s="9"/>
      <c r="K680" s="9"/>
      <c r="L680" s="9"/>
      <c r="M680" s="9"/>
      <c r="N680" s="9"/>
      <c r="O680" s="9"/>
      <c r="P680" s="9"/>
      <c r="Q680" s="9"/>
      <c r="R680" s="9"/>
      <c r="S680" s="9"/>
      <c r="T680" s="9"/>
      <c r="U680" s="9"/>
      <c r="V680" s="9"/>
      <c r="W680" s="9"/>
      <c r="X680" s="9"/>
      <c r="Y680" s="9"/>
      <c r="Z680" s="9"/>
      <c r="AA680" s="9"/>
      <c r="AB680" s="9"/>
      <c r="AC680" s="9"/>
      <c r="AD680" s="9"/>
      <c r="AE680" s="9"/>
      <c r="AF680" s="9"/>
    </row>
    <row r="681">
      <c r="A681" s="9"/>
      <c r="B681" s="9"/>
      <c r="C681" s="9"/>
      <c r="D681" s="9"/>
      <c r="E681" s="9"/>
      <c r="F681" s="9"/>
      <c r="G681" s="9"/>
      <c r="H681" s="9"/>
      <c r="I681" s="9"/>
      <c r="J681" s="9"/>
      <c r="K681" s="9"/>
      <c r="L681" s="9"/>
      <c r="M681" s="9"/>
      <c r="N681" s="9"/>
      <c r="O681" s="9"/>
      <c r="P681" s="9"/>
      <c r="Q681" s="9"/>
      <c r="R681" s="9"/>
      <c r="S681" s="9"/>
      <c r="T681" s="9"/>
      <c r="U681" s="9"/>
      <c r="V681" s="9"/>
      <c r="W681" s="9"/>
      <c r="X681" s="9"/>
      <c r="Y681" s="9"/>
      <c r="Z681" s="9"/>
      <c r="AA681" s="9"/>
      <c r="AB681" s="9"/>
      <c r="AC681" s="9"/>
      <c r="AD681" s="9"/>
      <c r="AE681" s="9"/>
      <c r="AF681" s="9"/>
    </row>
    <row r="682">
      <c r="A682" s="9"/>
      <c r="B682" s="9"/>
      <c r="C682" s="9"/>
      <c r="D682" s="9"/>
      <c r="E682" s="9"/>
      <c r="F682" s="9"/>
      <c r="G682" s="9"/>
      <c r="H682" s="9"/>
      <c r="I682" s="9"/>
      <c r="J682" s="9"/>
      <c r="K682" s="9"/>
      <c r="L682" s="9"/>
      <c r="M682" s="9"/>
      <c r="N682" s="9"/>
      <c r="O682" s="9"/>
      <c r="P682" s="9"/>
      <c r="Q682" s="9"/>
      <c r="R682" s="9"/>
      <c r="S682" s="9"/>
      <c r="T682" s="9"/>
      <c r="U682" s="9"/>
      <c r="V682" s="9"/>
      <c r="W682" s="9"/>
      <c r="X682" s="9"/>
      <c r="Y682" s="9"/>
      <c r="Z682" s="9"/>
      <c r="AA682" s="9"/>
      <c r="AB682" s="9"/>
      <c r="AC682" s="9"/>
      <c r="AD682" s="9"/>
      <c r="AE682" s="9"/>
      <c r="AF682" s="9"/>
    </row>
    <row r="683">
      <c r="A683" s="9"/>
      <c r="B683" s="9"/>
      <c r="C683" s="9"/>
      <c r="D683" s="9"/>
      <c r="E683" s="9"/>
      <c r="F683" s="9"/>
      <c r="G683" s="9"/>
      <c r="H683" s="9"/>
      <c r="I683" s="9"/>
      <c r="J683" s="9"/>
      <c r="K683" s="9"/>
      <c r="L683" s="9"/>
      <c r="M683" s="9"/>
      <c r="N683" s="9"/>
      <c r="O683" s="9"/>
      <c r="P683" s="9"/>
      <c r="Q683" s="9"/>
      <c r="R683" s="9"/>
      <c r="S683" s="9"/>
      <c r="T683" s="9"/>
      <c r="U683" s="9"/>
      <c r="V683" s="9"/>
      <c r="W683" s="9"/>
      <c r="X683" s="9"/>
      <c r="Y683" s="9"/>
      <c r="Z683" s="9"/>
      <c r="AA683" s="9"/>
      <c r="AB683" s="9"/>
      <c r="AC683" s="9"/>
      <c r="AD683" s="9"/>
      <c r="AE683" s="9"/>
      <c r="AF683" s="9"/>
    </row>
    <row r="684">
      <c r="A684" s="9"/>
      <c r="B684" s="9"/>
      <c r="C684" s="9"/>
      <c r="D684" s="9"/>
      <c r="E684" s="9"/>
      <c r="F684" s="9"/>
      <c r="G684" s="9"/>
      <c r="H684" s="9"/>
      <c r="I684" s="9"/>
      <c r="J684" s="9"/>
      <c r="K684" s="9"/>
      <c r="L684" s="9"/>
      <c r="M684" s="9"/>
      <c r="N684" s="9"/>
      <c r="O684" s="9"/>
      <c r="P684" s="9"/>
      <c r="Q684" s="9"/>
      <c r="R684" s="9"/>
      <c r="S684" s="9"/>
      <c r="T684" s="9"/>
      <c r="U684" s="9"/>
      <c r="V684" s="9"/>
      <c r="W684" s="9"/>
      <c r="X684" s="9"/>
      <c r="Y684" s="9"/>
      <c r="Z684" s="9"/>
      <c r="AA684" s="9"/>
      <c r="AB684" s="9"/>
      <c r="AC684" s="9"/>
      <c r="AD684" s="9"/>
      <c r="AE684" s="9"/>
      <c r="AF684" s="9"/>
    </row>
    <row r="685">
      <c r="A685" s="9"/>
      <c r="B685" s="9"/>
      <c r="C685" s="9"/>
      <c r="D685" s="9"/>
      <c r="E685" s="9"/>
      <c r="F685" s="9"/>
      <c r="G685" s="9"/>
      <c r="H685" s="9"/>
      <c r="I685" s="9"/>
      <c r="J685" s="9"/>
      <c r="K685" s="9"/>
      <c r="L685" s="9"/>
      <c r="M685" s="9"/>
      <c r="N685" s="9"/>
      <c r="O685" s="9"/>
      <c r="P685" s="9"/>
      <c r="Q685" s="9"/>
      <c r="R685" s="9"/>
      <c r="S685" s="9"/>
      <c r="T685" s="9"/>
      <c r="U685" s="9"/>
      <c r="V685" s="9"/>
      <c r="W685" s="9"/>
      <c r="X685" s="9"/>
      <c r="Y685" s="9"/>
      <c r="Z685" s="9"/>
      <c r="AA685" s="9"/>
      <c r="AB685" s="9"/>
      <c r="AC685" s="9"/>
      <c r="AD685" s="9"/>
      <c r="AE685" s="9"/>
      <c r="AF685" s="9"/>
    </row>
    <row r="686">
      <c r="A686" s="9"/>
      <c r="B686" s="9"/>
      <c r="C686" s="9"/>
      <c r="D686" s="9"/>
      <c r="E686" s="9"/>
      <c r="F686" s="9"/>
      <c r="G686" s="9"/>
      <c r="H686" s="9"/>
      <c r="I686" s="9"/>
      <c r="J686" s="9"/>
      <c r="K686" s="9"/>
      <c r="L686" s="9"/>
      <c r="M686" s="9"/>
      <c r="N686" s="9"/>
      <c r="O686" s="9"/>
      <c r="P686" s="9"/>
      <c r="Q686" s="9"/>
      <c r="R686" s="9"/>
      <c r="S686" s="9"/>
      <c r="T686" s="9"/>
      <c r="U686" s="9"/>
      <c r="V686" s="9"/>
      <c r="W686" s="9"/>
      <c r="X686" s="9"/>
      <c r="Y686" s="9"/>
      <c r="Z686" s="9"/>
      <c r="AA686" s="9"/>
      <c r="AB686" s="9"/>
      <c r="AC686" s="9"/>
      <c r="AD686" s="9"/>
      <c r="AE686" s="9"/>
      <c r="AF686" s="9"/>
    </row>
    <row r="687">
      <c r="A687" s="9"/>
      <c r="B687" s="9"/>
      <c r="C687" s="9"/>
      <c r="D687" s="9"/>
      <c r="E687" s="9"/>
      <c r="F687" s="9"/>
      <c r="G687" s="9"/>
      <c r="H687" s="9"/>
      <c r="I687" s="9"/>
      <c r="J687" s="9"/>
      <c r="K687" s="9"/>
      <c r="L687" s="9"/>
      <c r="M687" s="9"/>
      <c r="N687" s="9"/>
      <c r="O687" s="9"/>
      <c r="P687" s="9"/>
      <c r="Q687" s="9"/>
      <c r="R687" s="9"/>
      <c r="S687" s="9"/>
      <c r="T687" s="9"/>
      <c r="U687" s="9"/>
      <c r="V687" s="9"/>
      <c r="W687" s="9"/>
      <c r="X687" s="9"/>
      <c r="Y687" s="9"/>
      <c r="Z687" s="9"/>
      <c r="AA687" s="9"/>
      <c r="AB687" s="9"/>
      <c r="AC687" s="9"/>
      <c r="AD687" s="9"/>
      <c r="AE687" s="9"/>
      <c r="AF687" s="9"/>
    </row>
    <row r="688">
      <c r="A688" s="9"/>
      <c r="B688" s="9"/>
      <c r="C688" s="9"/>
      <c r="D688" s="9"/>
      <c r="E688" s="9"/>
      <c r="F688" s="9"/>
      <c r="G688" s="9"/>
      <c r="H688" s="9"/>
      <c r="I688" s="9"/>
      <c r="J688" s="9"/>
      <c r="K688" s="9"/>
      <c r="L688" s="9"/>
      <c r="M688" s="9"/>
      <c r="N688" s="9"/>
      <c r="O688" s="9"/>
      <c r="P688" s="9"/>
      <c r="Q688" s="9"/>
      <c r="R688" s="9"/>
      <c r="S688" s="9"/>
      <c r="T688" s="9"/>
      <c r="U688" s="9"/>
      <c r="V688" s="9"/>
      <c r="W688" s="9"/>
      <c r="X688" s="9"/>
      <c r="Y688" s="9"/>
      <c r="Z688" s="9"/>
      <c r="AA688" s="9"/>
      <c r="AB688" s="9"/>
      <c r="AC688" s="9"/>
      <c r="AD688" s="9"/>
      <c r="AE688" s="9"/>
      <c r="AF688" s="9"/>
    </row>
    <row r="689">
      <c r="A689" s="9"/>
      <c r="B689" s="9"/>
      <c r="C689" s="9"/>
      <c r="D689" s="9"/>
      <c r="E689" s="9"/>
      <c r="F689" s="9"/>
      <c r="G689" s="9"/>
      <c r="H689" s="9"/>
      <c r="I689" s="9"/>
      <c r="J689" s="9"/>
      <c r="K689" s="9"/>
      <c r="L689" s="9"/>
      <c r="M689" s="9"/>
      <c r="N689" s="9"/>
      <c r="O689" s="9"/>
      <c r="P689" s="9"/>
      <c r="Q689" s="9"/>
      <c r="R689" s="9"/>
      <c r="S689" s="9"/>
      <c r="T689" s="9"/>
      <c r="U689" s="9"/>
      <c r="V689" s="9"/>
      <c r="W689" s="9"/>
      <c r="X689" s="9"/>
      <c r="Y689" s="9"/>
      <c r="Z689" s="9"/>
      <c r="AA689" s="9"/>
      <c r="AB689" s="9"/>
      <c r="AC689" s="9"/>
      <c r="AD689" s="9"/>
      <c r="AE689" s="9"/>
      <c r="AF689" s="9"/>
    </row>
    <row r="690">
      <c r="A690" s="9"/>
      <c r="B690" s="9"/>
      <c r="C690" s="9"/>
      <c r="D690" s="9"/>
      <c r="E690" s="9"/>
      <c r="F690" s="9"/>
      <c r="G690" s="9"/>
      <c r="H690" s="9"/>
      <c r="I690" s="9"/>
      <c r="J690" s="9"/>
      <c r="K690" s="9"/>
      <c r="L690" s="9"/>
      <c r="M690" s="9"/>
      <c r="N690" s="9"/>
      <c r="O690" s="9"/>
      <c r="P690" s="9"/>
      <c r="Q690" s="9"/>
      <c r="R690" s="9"/>
      <c r="S690" s="9"/>
      <c r="T690" s="9"/>
      <c r="U690" s="9"/>
      <c r="V690" s="9"/>
      <c r="W690" s="9"/>
      <c r="X690" s="9"/>
      <c r="Y690" s="9"/>
      <c r="Z690" s="9"/>
      <c r="AA690" s="9"/>
      <c r="AB690" s="9"/>
      <c r="AC690" s="9"/>
      <c r="AD690" s="9"/>
      <c r="AE690" s="9"/>
      <c r="AF690" s="9"/>
    </row>
    <row r="691">
      <c r="A691" s="9"/>
      <c r="B691" s="9"/>
      <c r="C691" s="9"/>
      <c r="D691" s="9"/>
      <c r="E691" s="9"/>
      <c r="F691" s="9"/>
      <c r="G691" s="9"/>
      <c r="H691" s="9"/>
      <c r="I691" s="9"/>
      <c r="J691" s="9"/>
      <c r="K691" s="9"/>
      <c r="L691" s="9"/>
      <c r="M691" s="9"/>
      <c r="N691" s="9"/>
      <c r="O691" s="9"/>
      <c r="P691" s="9"/>
      <c r="Q691" s="9"/>
      <c r="R691" s="9"/>
      <c r="S691" s="9"/>
      <c r="T691" s="9"/>
      <c r="U691" s="9"/>
      <c r="V691" s="9"/>
      <c r="W691" s="9"/>
      <c r="X691" s="9"/>
      <c r="Y691" s="9"/>
      <c r="Z691" s="9"/>
      <c r="AA691" s="9"/>
      <c r="AB691" s="9"/>
      <c r="AC691" s="9"/>
      <c r="AD691" s="9"/>
      <c r="AE691" s="9"/>
      <c r="AF691" s="9"/>
    </row>
    <row r="692">
      <c r="A692" s="9"/>
      <c r="B692" s="9"/>
      <c r="C692" s="9"/>
      <c r="D692" s="9"/>
      <c r="E692" s="9"/>
      <c r="F692" s="9"/>
      <c r="G692" s="9"/>
      <c r="H692" s="9"/>
      <c r="I692" s="9"/>
      <c r="J692" s="9"/>
      <c r="K692" s="9"/>
      <c r="L692" s="9"/>
      <c r="M692" s="9"/>
      <c r="N692" s="9"/>
      <c r="O692" s="9"/>
      <c r="P692" s="9"/>
      <c r="Q692" s="9"/>
      <c r="R692" s="9"/>
      <c r="S692" s="9"/>
      <c r="T692" s="9"/>
      <c r="U692" s="9"/>
      <c r="V692" s="9"/>
      <c r="W692" s="9"/>
      <c r="X692" s="9"/>
      <c r="Y692" s="9"/>
      <c r="Z692" s="9"/>
      <c r="AA692" s="9"/>
      <c r="AB692" s="9"/>
      <c r="AC692" s="9"/>
      <c r="AD692" s="9"/>
      <c r="AE692" s="9"/>
      <c r="AF692" s="9"/>
    </row>
    <row r="693">
      <c r="A693" s="9"/>
      <c r="B693" s="9"/>
      <c r="C693" s="9"/>
      <c r="D693" s="9"/>
      <c r="E693" s="9"/>
      <c r="F693" s="9"/>
      <c r="G693" s="9"/>
      <c r="H693" s="9"/>
      <c r="I693" s="9"/>
      <c r="J693" s="9"/>
      <c r="K693" s="9"/>
      <c r="L693" s="9"/>
      <c r="M693" s="9"/>
      <c r="N693" s="9"/>
      <c r="O693" s="9"/>
      <c r="P693" s="9"/>
      <c r="Q693" s="9"/>
      <c r="R693" s="9"/>
      <c r="S693" s="9"/>
      <c r="T693" s="9"/>
      <c r="U693" s="9"/>
      <c r="V693" s="9"/>
      <c r="W693" s="9"/>
      <c r="X693" s="9"/>
      <c r="Y693" s="9"/>
      <c r="Z693" s="9"/>
      <c r="AA693" s="9"/>
      <c r="AB693" s="9"/>
      <c r="AC693" s="9"/>
      <c r="AD693" s="9"/>
      <c r="AE693" s="9"/>
      <c r="AF693" s="9"/>
    </row>
    <row r="694">
      <c r="A694" s="9"/>
      <c r="B694" s="9"/>
      <c r="C694" s="9"/>
      <c r="D694" s="9"/>
      <c r="E694" s="9"/>
      <c r="F694" s="9"/>
      <c r="G694" s="9"/>
      <c r="H694" s="9"/>
      <c r="I694" s="9"/>
      <c r="J694" s="9"/>
      <c r="K694" s="9"/>
      <c r="L694" s="9"/>
      <c r="M694" s="9"/>
      <c r="N694" s="9"/>
      <c r="O694" s="9"/>
      <c r="P694" s="9"/>
      <c r="Q694" s="9"/>
      <c r="R694" s="9"/>
      <c r="S694" s="9"/>
      <c r="T694" s="9"/>
      <c r="U694" s="9"/>
      <c r="V694" s="9"/>
      <c r="W694" s="9"/>
      <c r="X694" s="9"/>
      <c r="Y694" s="9"/>
      <c r="Z694" s="9"/>
      <c r="AA694" s="9"/>
      <c r="AB694" s="9"/>
      <c r="AC694" s="9"/>
      <c r="AD694" s="9"/>
      <c r="AE694" s="9"/>
      <c r="AF694" s="9"/>
    </row>
    <row r="695">
      <c r="A695" s="9"/>
      <c r="B695" s="9"/>
      <c r="C695" s="9"/>
      <c r="D695" s="9"/>
      <c r="E695" s="9"/>
      <c r="F695" s="9"/>
      <c r="G695" s="9"/>
      <c r="H695" s="9"/>
      <c r="I695" s="9"/>
      <c r="J695" s="9"/>
      <c r="K695" s="9"/>
      <c r="L695" s="9"/>
      <c r="M695" s="9"/>
      <c r="N695" s="9"/>
      <c r="O695" s="9"/>
      <c r="P695" s="9"/>
      <c r="Q695" s="9"/>
      <c r="R695" s="9"/>
      <c r="S695" s="9"/>
      <c r="T695" s="9"/>
      <c r="U695" s="9"/>
      <c r="V695" s="9"/>
      <c r="W695" s="9"/>
      <c r="X695" s="9"/>
      <c r="Y695" s="9"/>
      <c r="Z695" s="9"/>
      <c r="AA695" s="9"/>
      <c r="AB695" s="9"/>
      <c r="AC695" s="9"/>
      <c r="AD695" s="9"/>
      <c r="AE695" s="9"/>
      <c r="AF695" s="9"/>
    </row>
    <row r="696">
      <c r="A696" s="9"/>
      <c r="B696" s="9"/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</row>
    <row r="697">
      <c r="A697" s="9"/>
      <c r="B697" s="9"/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</row>
    <row r="698">
      <c r="A698" s="9"/>
      <c r="B698" s="9"/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</row>
    <row r="699">
      <c r="A699" s="9"/>
      <c r="B699" s="9"/>
      <c r="C699" s="9"/>
      <c r="D699" s="9"/>
      <c r="E699" s="9"/>
      <c r="F699" s="9"/>
      <c r="G699" s="9"/>
      <c r="H699" s="9"/>
      <c r="I699" s="9"/>
      <c r="J699" s="9"/>
      <c r="K699" s="9"/>
      <c r="L699" s="9"/>
      <c r="M699" s="9"/>
      <c r="N699" s="9"/>
      <c r="O699" s="9"/>
      <c r="P699" s="9"/>
      <c r="Q699" s="9"/>
      <c r="R699" s="9"/>
      <c r="S699" s="9"/>
      <c r="T699" s="9"/>
      <c r="U699" s="9"/>
      <c r="V699" s="9"/>
      <c r="W699" s="9"/>
      <c r="X699" s="9"/>
      <c r="Y699" s="9"/>
      <c r="Z699" s="9"/>
      <c r="AA699" s="9"/>
      <c r="AB699" s="9"/>
      <c r="AC699" s="9"/>
      <c r="AD699" s="9"/>
      <c r="AE699" s="9"/>
      <c r="AF699" s="9"/>
    </row>
    <row r="700">
      <c r="A700" s="9"/>
      <c r="B700" s="9"/>
      <c r="C700" s="9"/>
      <c r="D700" s="9"/>
      <c r="E700" s="9"/>
      <c r="F700" s="9"/>
      <c r="G700" s="9"/>
      <c r="H700" s="9"/>
      <c r="I700" s="9"/>
      <c r="J700" s="9"/>
      <c r="K700" s="9"/>
      <c r="L700" s="9"/>
      <c r="M700" s="9"/>
      <c r="N700" s="9"/>
      <c r="O700" s="9"/>
      <c r="P700" s="9"/>
      <c r="Q700" s="9"/>
      <c r="R700" s="9"/>
      <c r="S700" s="9"/>
      <c r="T700" s="9"/>
      <c r="U700" s="9"/>
      <c r="V700" s="9"/>
      <c r="W700" s="9"/>
      <c r="X700" s="9"/>
      <c r="Y700" s="9"/>
      <c r="Z700" s="9"/>
      <c r="AA700" s="9"/>
      <c r="AB700" s="9"/>
      <c r="AC700" s="9"/>
      <c r="AD700" s="9"/>
      <c r="AE700" s="9"/>
      <c r="AF700" s="9"/>
    </row>
    <row r="701">
      <c r="A701" s="9"/>
      <c r="B701" s="9"/>
      <c r="C701" s="9"/>
      <c r="D701" s="9"/>
      <c r="E701" s="9"/>
      <c r="F701" s="9"/>
      <c r="G701" s="9"/>
      <c r="H701" s="9"/>
      <c r="I701" s="9"/>
      <c r="J701" s="9"/>
      <c r="K701" s="9"/>
      <c r="L701" s="9"/>
      <c r="M701" s="9"/>
      <c r="N701" s="9"/>
      <c r="O701" s="9"/>
      <c r="P701" s="9"/>
      <c r="Q701" s="9"/>
      <c r="R701" s="9"/>
      <c r="S701" s="9"/>
      <c r="T701" s="9"/>
      <c r="U701" s="9"/>
      <c r="V701" s="9"/>
      <c r="W701" s="9"/>
      <c r="X701" s="9"/>
      <c r="Y701" s="9"/>
      <c r="Z701" s="9"/>
      <c r="AA701" s="9"/>
      <c r="AB701" s="9"/>
      <c r="AC701" s="9"/>
      <c r="AD701" s="9"/>
      <c r="AE701" s="9"/>
      <c r="AF701" s="9"/>
    </row>
    <row r="702">
      <c r="A702" s="9"/>
      <c r="B702" s="9"/>
      <c r="C702" s="9"/>
      <c r="D702" s="9"/>
      <c r="E702" s="9"/>
      <c r="F702" s="9"/>
      <c r="G702" s="9"/>
      <c r="H702" s="9"/>
      <c r="I702" s="9"/>
      <c r="J702" s="9"/>
      <c r="K702" s="9"/>
      <c r="L702" s="9"/>
      <c r="M702" s="9"/>
      <c r="N702" s="9"/>
      <c r="O702" s="9"/>
      <c r="P702" s="9"/>
      <c r="Q702" s="9"/>
      <c r="R702" s="9"/>
      <c r="S702" s="9"/>
      <c r="T702" s="9"/>
      <c r="U702" s="9"/>
      <c r="V702" s="9"/>
      <c r="W702" s="9"/>
      <c r="X702" s="9"/>
      <c r="Y702" s="9"/>
      <c r="Z702" s="9"/>
      <c r="AA702" s="9"/>
      <c r="AB702" s="9"/>
      <c r="AC702" s="9"/>
      <c r="AD702" s="9"/>
      <c r="AE702" s="9"/>
      <c r="AF702" s="9"/>
    </row>
    <row r="703">
      <c r="A703" s="9"/>
      <c r="B703" s="9"/>
      <c r="C703" s="9"/>
      <c r="D703" s="9"/>
      <c r="E703" s="9"/>
      <c r="F703" s="9"/>
      <c r="G703" s="9"/>
      <c r="H703" s="9"/>
      <c r="I703" s="9"/>
      <c r="J703" s="9"/>
      <c r="K703" s="9"/>
      <c r="L703" s="9"/>
      <c r="M703" s="9"/>
      <c r="N703" s="9"/>
      <c r="O703" s="9"/>
      <c r="P703" s="9"/>
      <c r="Q703" s="9"/>
      <c r="R703" s="9"/>
      <c r="S703" s="9"/>
      <c r="T703" s="9"/>
      <c r="U703" s="9"/>
      <c r="V703" s="9"/>
      <c r="W703" s="9"/>
      <c r="X703" s="9"/>
      <c r="Y703" s="9"/>
      <c r="Z703" s="9"/>
      <c r="AA703" s="9"/>
      <c r="AB703" s="9"/>
      <c r="AC703" s="9"/>
      <c r="AD703" s="9"/>
      <c r="AE703" s="9"/>
      <c r="AF703" s="9"/>
    </row>
    <row r="704">
      <c r="A704" s="9"/>
      <c r="B704" s="9"/>
      <c r="C704" s="9"/>
      <c r="D704" s="9"/>
      <c r="E704" s="9"/>
      <c r="F704" s="9"/>
      <c r="G704" s="9"/>
      <c r="H704" s="9"/>
      <c r="I704" s="9"/>
      <c r="J704" s="9"/>
      <c r="K704" s="9"/>
      <c r="L704" s="9"/>
      <c r="M704" s="9"/>
      <c r="N704" s="9"/>
      <c r="O704" s="9"/>
      <c r="P704" s="9"/>
      <c r="Q704" s="9"/>
      <c r="R704" s="9"/>
      <c r="S704" s="9"/>
      <c r="T704" s="9"/>
      <c r="U704" s="9"/>
      <c r="V704" s="9"/>
      <c r="W704" s="9"/>
      <c r="X704" s="9"/>
      <c r="Y704" s="9"/>
      <c r="Z704" s="9"/>
      <c r="AA704" s="9"/>
      <c r="AB704" s="9"/>
      <c r="AC704" s="9"/>
      <c r="AD704" s="9"/>
      <c r="AE704" s="9"/>
      <c r="AF704" s="9"/>
    </row>
    <row r="705">
      <c r="A705" s="9"/>
      <c r="B705" s="9"/>
      <c r="C705" s="9"/>
      <c r="D705" s="9"/>
      <c r="E705" s="9"/>
      <c r="F705" s="9"/>
      <c r="G705" s="9"/>
      <c r="H705" s="9"/>
      <c r="I705" s="9"/>
      <c r="J705" s="9"/>
      <c r="K705" s="9"/>
      <c r="L705" s="9"/>
      <c r="M705" s="9"/>
      <c r="N705" s="9"/>
      <c r="O705" s="9"/>
      <c r="P705" s="9"/>
      <c r="Q705" s="9"/>
      <c r="R705" s="9"/>
      <c r="S705" s="9"/>
      <c r="T705" s="9"/>
      <c r="U705" s="9"/>
      <c r="V705" s="9"/>
      <c r="W705" s="9"/>
      <c r="X705" s="9"/>
      <c r="Y705" s="9"/>
      <c r="Z705" s="9"/>
      <c r="AA705" s="9"/>
      <c r="AB705" s="9"/>
      <c r="AC705" s="9"/>
      <c r="AD705" s="9"/>
      <c r="AE705" s="9"/>
      <c r="AF705" s="9"/>
    </row>
    <row r="706">
      <c r="A706" s="9"/>
      <c r="B706" s="9"/>
      <c r="C706" s="9"/>
      <c r="D706" s="9"/>
      <c r="E706" s="9"/>
      <c r="F706" s="9"/>
      <c r="G706" s="9"/>
      <c r="H706" s="9"/>
      <c r="I706" s="9"/>
      <c r="J706" s="9"/>
      <c r="K706" s="9"/>
      <c r="L706" s="9"/>
      <c r="M706" s="9"/>
      <c r="N706" s="9"/>
      <c r="O706" s="9"/>
      <c r="P706" s="9"/>
      <c r="Q706" s="9"/>
      <c r="R706" s="9"/>
      <c r="S706" s="9"/>
      <c r="T706" s="9"/>
      <c r="U706" s="9"/>
      <c r="V706" s="9"/>
      <c r="W706" s="9"/>
      <c r="X706" s="9"/>
      <c r="Y706" s="9"/>
      <c r="Z706" s="9"/>
      <c r="AA706" s="9"/>
      <c r="AB706" s="9"/>
      <c r="AC706" s="9"/>
      <c r="AD706" s="9"/>
      <c r="AE706" s="9"/>
      <c r="AF706" s="9"/>
    </row>
    <row r="707">
      <c r="A707" s="9"/>
      <c r="B707" s="9"/>
      <c r="C707" s="9"/>
      <c r="D707" s="9"/>
      <c r="E707" s="9"/>
      <c r="F707" s="9"/>
      <c r="G707" s="9"/>
      <c r="H707" s="9"/>
      <c r="I707" s="9"/>
      <c r="J707" s="9"/>
      <c r="K707" s="9"/>
      <c r="L707" s="9"/>
      <c r="M707" s="9"/>
      <c r="N707" s="9"/>
      <c r="O707" s="9"/>
      <c r="P707" s="9"/>
      <c r="Q707" s="9"/>
      <c r="R707" s="9"/>
      <c r="S707" s="9"/>
      <c r="T707" s="9"/>
      <c r="U707" s="9"/>
      <c r="V707" s="9"/>
      <c r="W707" s="9"/>
      <c r="X707" s="9"/>
      <c r="Y707" s="9"/>
      <c r="Z707" s="9"/>
      <c r="AA707" s="9"/>
      <c r="AB707" s="9"/>
      <c r="AC707" s="9"/>
      <c r="AD707" s="9"/>
      <c r="AE707" s="9"/>
      <c r="AF707" s="9"/>
    </row>
    <row r="708">
      <c r="A708" s="9"/>
      <c r="B708" s="9"/>
      <c r="C708" s="9"/>
      <c r="D708" s="9"/>
      <c r="E708" s="9"/>
      <c r="F708" s="9"/>
      <c r="G708" s="9"/>
      <c r="H708" s="9"/>
      <c r="I708" s="9"/>
      <c r="J708" s="9"/>
      <c r="K708" s="9"/>
      <c r="L708" s="9"/>
      <c r="M708" s="9"/>
      <c r="N708" s="9"/>
      <c r="O708" s="9"/>
      <c r="P708" s="9"/>
      <c r="Q708" s="9"/>
      <c r="R708" s="9"/>
      <c r="S708" s="9"/>
      <c r="T708" s="9"/>
      <c r="U708" s="9"/>
      <c r="V708" s="9"/>
      <c r="W708" s="9"/>
      <c r="X708" s="9"/>
      <c r="Y708" s="9"/>
      <c r="Z708" s="9"/>
      <c r="AA708" s="9"/>
      <c r="AB708" s="9"/>
      <c r="AC708" s="9"/>
      <c r="AD708" s="9"/>
      <c r="AE708" s="9"/>
      <c r="AF708" s="9"/>
    </row>
    <row r="709">
      <c r="A709" s="9"/>
      <c r="B709" s="9"/>
      <c r="C709" s="9"/>
      <c r="D709" s="9"/>
      <c r="E709" s="9"/>
      <c r="F709" s="9"/>
      <c r="G709" s="9"/>
      <c r="H709" s="9"/>
      <c r="I709" s="9"/>
      <c r="J709" s="9"/>
      <c r="K709" s="9"/>
      <c r="L709" s="9"/>
      <c r="M709" s="9"/>
      <c r="N709" s="9"/>
      <c r="O709" s="9"/>
      <c r="P709" s="9"/>
      <c r="Q709" s="9"/>
      <c r="R709" s="9"/>
      <c r="S709" s="9"/>
      <c r="T709" s="9"/>
      <c r="U709" s="9"/>
      <c r="V709" s="9"/>
      <c r="W709" s="9"/>
      <c r="X709" s="9"/>
      <c r="Y709" s="9"/>
      <c r="Z709" s="9"/>
      <c r="AA709" s="9"/>
      <c r="AB709" s="9"/>
      <c r="AC709" s="9"/>
      <c r="AD709" s="9"/>
      <c r="AE709" s="9"/>
      <c r="AF709" s="9"/>
    </row>
    <row r="710">
      <c r="A710" s="9"/>
      <c r="B710" s="9"/>
      <c r="C710" s="9"/>
      <c r="D710" s="9"/>
      <c r="E710" s="9"/>
      <c r="F710" s="9"/>
      <c r="G710" s="9"/>
      <c r="H710" s="9"/>
      <c r="I710" s="9"/>
      <c r="J710" s="9"/>
      <c r="K710" s="9"/>
      <c r="L710" s="9"/>
      <c r="M710" s="9"/>
      <c r="N710" s="9"/>
      <c r="O710" s="9"/>
      <c r="P710" s="9"/>
      <c r="Q710" s="9"/>
      <c r="R710" s="9"/>
      <c r="S710" s="9"/>
      <c r="T710" s="9"/>
      <c r="U710" s="9"/>
      <c r="V710" s="9"/>
      <c r="W710" s="9"/>
      <c r="X710" s="9"/>
      <c r="Y710" s="9"/>
      <c r="Z710" s="9"/>
      <c r="AA710" s="9"/>
      <c r="AB710" s="9"/>
      <c r="AC710" s="9"/>
      <c r="AD710" s="9"/>
      <c r="AE710" s="9"/>
      <c r="AF710" s="9"/>
    </row>
    <row r="711">
      <c r="A711" s="9"/>
      <c r="B711" s="9"/>
      <c r="C711" s="9"/>
      <c r="D711" s="9"/>
      <c r="E711" s="9"/>
      <c r="F711" s="9"/>
      <c r="G711" s="9"/>
      <c r="H711" s="9"/>
      <c r="I711" s="9"/>
      <c r="J711" s="9"/>
      <c r="K711" s="9"/>
      <c r="L711" s="9"/>
      <c r="M711" s="9"/>
      <c r="N711" s="9"/>
      <c r="O711" s="9"/>
      <c r="P711" s="9"/>
      <c r="Q711" s="9"/>
      <c r="R711" s="9"/>
      <c r="S711" s="9"/>
      <c r="T711" s="9"/>
      <c r="U711" s="9"/>
      <c r="V711" s="9"/>
      <c r="W711" s="9"/>
      <c r="X711" s="9"/>
      <c r="Y711" s="9"/>
      <c r="Z711" s="9"/>
      <c r="AA711" s="9"/>
      <c r="AB711" s="9"/>
      <c r="AC711" s="9"/>
      <c r="AD711" s="9"/>
      <c r="AE711" s="9"/>
      <c r="AF711" s="9"/>
    </row>
    <row r="712">
      <c r="A712" s="9"/>
      <c r="B712" s="9"/>
      <c r="C712" s="9"/>
      <c r="D712" s="9"/>
      <c r="E712" s="9"/>
      <c r="F712" s="9"/>
      <c r="G712" s="9"/>
      <c r="H712" s="9"/>
      <c r="I712" s="9"/>
      <c r="J712" s="9"/>
      <c r="K712" s="9"/>
      <c r="L712" s="9"/>
      <c r="M712" s="9"/>
      <c r="N712" s="9"/>
      <c r="O712" s="9"/>
      <c r="P712" s="9"/>
      <c r="Q712" s="9"/>
      <c r="R712" s="9"/>
      <c r="S712" s="9"/>
      <c r="T712" s="9"/>
      <c r="U712" s="9"/>
      <c r="V712" s="9"/>
      <c r="W712" s="9"/>
      <c r="X712" s="9"/>
      <c r="Y712" s="9"/>
      <c r="Z712" s="9"/>
      <c r="AA712" s="9"/>
      <c r="AB712" s="9"/>
      <c r="AC712" s="9"/>
      <c r="AD712" s="9"/>
      <c r="AE712" s="9"/>
      <c r="AF712" s="9"/>
    </row>
    <row r="713">
      <c r="A713" s="9"/>
      <c r="B713" s="9"/>
      <c r="C713" s="9"/>
      <c r="D713" s="9"/>
      <c r="E713" s="9"/>
      <c r="F713" s="9"/>
      <c r="G713" s="9"/>
      <c r="H713" s="9"/>
      <c r="I713" s="9"/>
      <c r="J713" s="9"/>
      <c r="K713" s="9"/>
      <c r="L713" s="9"/>
      <c r="M713" s="9"/>
      <c r="N713" s="9"/>
      <c r="O713" s="9"/>
      <c r="P713" s="9"/>
      <c r="Q713" s="9"/>
      <c r="R713" s="9"/>
      <c r="S713" s="9"/>
      <c r="T713" s="9"/>
      <c r="U713" s="9"/>
      <c r="V713" s="9"/>
      <c r="W713" s="9"/>
      <c r="X713" s="9"/>
      <c r="Y713" s="9"/>
      <c r="Z713" s="9"/>
      <c r="AA713" s="9"/>
      <c r="AB713" s="9"/>
      <c r="AC713" s="9"/>
      <c r="AD713" s="9"/>
      <c r="AE713" s="9"/>
      <c r="AF713" s="9"/>
    </row>
    <row r="714">
      <c r="A714" s="9"/>
      <c r="B714" s="9"/>
      <c r="C714" s="9"/>
      <c r="D714" s="9"/>
      <c r="E714" s="9"/>
      <c r="F714" s="9"/>
      <c r="G714" s="9"/>
      <c r="H714" s="9"/>
      <c r="I714" s="9"/>
      <c r="J714" s="9"/>
      <c r="K714" s="9"/>
      <c r="L714" s="9"/>
      <c r="M714" s="9"/>
      <c r="N714" s="9"/>
      <c r="O714" s="9"/>
      <c r="P714" s="9"/>
      <c r="Q714" s="9"/>
      <c r="R714" s="9"/>
      <c r="S714" s="9"/>
      <c r="T714" s="9"/>
      <c r="U714" s="9"/>
      <c r="V714" s="9"/>
      <c r="W714" s="9"/>
      <c r="X714" s="9"/>
      <c r="Y714" s="9"/>
      <c r="Z714" s="9"/>
      <c r="AA714" s="9"/>
      <c r="AB714" s="9"/>
      <c r="AC714" s="9"/>
      <c r="AD714" s="9"/>
      <c r="AE714" s="9"/>
      <c r="AF714" s="9"/>
    </row>
    <row r="715">
      <c r="A715" s="9"/>
      <c r="B715" s="9"/>
      <c r="C715" s="9"/>
      <c r="D715" s="9"/>
      <c r="E715" s="9"/>
      <c r="F715" s="9"/>
      <c r="G715" s="9"/>
      <c r="H715" s="9"/>
      <c r="I715" s="9"/>
      <c r="J715" s="9"/>
      <c r="K715" s="9"/>
      <c r="L715" s="9"/>
      <c r="M715" s="9"/>
      <c r="N715" s="9"/>
      <c r="O715" s="9"/>
      <c r="P715" s="9"/>
      <c r="Q715" s="9"/>
      <c r="R715" s="9"/>
      <c r="S715" s="9"/>
      <c r="T715" s="9"/>
      <c r="U715" s="9"/>
      <c r="V715" s="9"/>
      <c r="W715" s="9"/>
      <c r="X715" s="9"/>
      <c r="Y715" s="9"/>
      <c r="Z715" s="9"/>
      <c r="AA715" s="9"/>
      <c r="AB715" s="9"/>
      <c r="AC715" s="9"/>
      <c r="AD715" s="9"/>
      <c r="AE715" s="9"/>
      <c r="AF715" s="9"/>
    </row>
    <row r="716">
      <c r="A716" s="9"/>
      <c r="B716" s="9"/>
      <c r="C716" s="9"/>
      <c r="D716" s="9"/>
      <c r="E716" s="9"/>
      <c r="F716" s="9"/>
      <c r="G716" s="9"/>
      <c r="H716" s="9"/>
      <c r="I716" s="9"/>
      <c r="J716" s="9"/>
      <c r="K716" s="9"/>
      <c r="L716" s="9"/>
      <c r="M716" s="9"/>
      <c r="N716" s="9"/>
      <c r="O716" s="9"/>
      <c r="P716" s="9"/>
      <c r="Q716" s="9"/>
      <c r="R716" s="9"/>
      <c r="S716" s="9"/>
      <c r="T716" s="9"/>
      <c r="U716" s="9"/>
      <c r="V716" s="9"/>
      <c r="W716" s="9"/>
      <c r="X716" s="9"/>
      <c r="Y716" s="9"/>
      <c r="Z716" s="9"/>
      <c r="AA716" s="9"/>
      <c r="AB716" s="9"/>
      <c r="AC716" s="9"/>
      <c r="AD716" s="9"/>
      <c r="AE716" s="9"/>
      <c r="AF716" s="9"/>
    </row>
    <row r="717">
      <c r="A717" s="9"/>
      <c r="B717" s="9"/>
      <c r="C717" s="9"/>
      <c r="D717" s="9"/>
      <c r="E717" s="9"/>
      <c r="F717" s="9"/>
      <c r="G717" s="9"/>
      <c r="H717" s="9"/>
      <c r="I717" s="9"/>
      <c r="J717" s="9"/>
      <c r="K717" s="9"/>
      <c r="L717" s="9"/>
      <c r="M717" s="9"/>
      <c r="N717" s="9"/>
      <c r="O717" s="9"/>
      <c r="P717" s="9"/>
      <c r="Q717" s="9"/>
      <c r="R717" s="9"/>
      <c r="S717" s="9"/>
      <c r="T717" s="9"/>
      <c r="U717" s="9"/>
      <c r="V717" s="9"/>
      <c r="W717" s="9"/>
      <c r="X717" s="9"/>
      <c r="Y717" s="9"/>
      <c r="Z717" s="9"/>
      <c r="AA717" s="9"/>
      <c r="AB717" s="9"/>
      <c r="AC717" s="9"/>
      <c r="AD717" s="9"/>
      <c r="AE717" s="9"/>
      <c r="AF717" s="9"/>
    </row>
    <row r="718">
      <c r="A718" s="9"/>
      <c r="B718" s="9"/>
      <c r="C718" s="9"/>
      <c r="D718" s="9"/>
      <c r="E718" s="9"/>
      <c r="F718" s="9"/>
      <c r="G718" s="9"/>
      <c r="H718" s="9"/>
      <c r="I718" s="9"/>
      <c r="J718" s="9"/>
      <c r="K718" s="9"/>
      <c r="L718" s="9"/>
      <c r="M718" s="9"/>
      <c r="N718" s="9"/>
      <c r="O718" s="9"/>
      <c r="P718" s="9"/>
      <c r="Q718" s="9"/>
      <c r="R718" s="9"/>
      <c r="S718" s="9"/>
      <c r="T718" s="9"/>
      <c r="U718" s="9"/>
      <c r="V718" s="9"/>
      <c r="W718" s="9"/>
      <c r="X718" s="9"/>
      <c r="Y718" s="9"/>
      <c r="Z718" s="9"/>
      <c r="AA718" s="9"/>
      <c r="AB718" s="9"/>
      <c r="AC718" s="9"/>
      <c r="AD718" s="9"/>
      <c r="AE718" s="9"/>
      <c r="AF718" s="9"/>
    </row>
    <row r="719">
      <c r="A719" s="9"/>
      <c r="B719" s="9"/>
      <c r="C719" s="9"/>
      <c r="D719" s="9"/>
      <c r="E719" s="9"/>
      <c r="F719" s="9"/>
      <c r="G719" s="9"/>
      <c r="H719" s="9"/>
      <c r="I719" s="9"/>
      <c r="J719" s="9"/>
      <c r="K719" s="9"/>
      <c r="L719" s="9"/>
      <c r="M719" s="9"/>
      <c r="N719" s="9"/>
      <c r="O719" s="9"/>
      <c r="P719" s="9"/>
      <c r="Q719" s="9"/>
      <c r="R719" s="9"/>
      <c r="S719" s="9"/>
      <c r="T719" s="9"/>
      <c r="U719" s="9"/>
      <c r="V719" s="9"/>
      <c r="W719" s="9"/>
      <c r="X719" s="9"/>
      <c r="Y719" s="9"/>
      <c r="Z719" s="9"/>
      <c r="AA719" s="9"/>
      <c r="AB719" s="9"/>
      <c r="AC719" s="9"/>
      <c r="AD719" s="9"/>
      <c r="AE719" s="9"/>
      <c r="AF719" s="9"/>
    </row>
    <row r="720">
      <c r="A720" s="9"/>
      <c r="B720" s="9"/>
      <c r="C720" s="9"/>
      <c r="D720" s="9"/>
      <c r="E720" s="9"/>
      <c r="F720" s="9"/>
      <c r="G720" s="9"/>
      <c r="H720" s="9"/>
      <c r="I720" s="9"/>
      <c r="J720" s="9"/>
      <c r="K720" s="9"/>
      <c r="L720" s="9"/>
      <c r="M720" s="9"/>
      <c r="N720" s="9"/>
      <c r="O720" s="9"/>
      <c r="P720" s="9"/>
      <c r="Q720" s="9"/>
      <c r="R720" s="9"/>
      <c r="S720" s="9"/>
      <c r="T720" s="9"/>
      <c r="U720" s="9"/>
      <c r="V720" s="9"/>
      <c r="W720" s="9"/>
      <c r="X720" s="9"/>
      <c r="Y720" s="9"/>
      <c r="Z720" s="9"/>
      <c r="AA720" s="9"/>
      <c r="AB720" s="9"/>
      <c r="AC720" s="9"/>
      <c r="AD720" s="9"/>
      <c r="AE720" s="9"/>
      <c r="AF720" s="9"/>
    </row>
    <row r="721">
      <c r="A721" s="9"/>
      <c r="B721" s="9"/>
      <c r="C721" s="9"/>
      <c r="D721" s="9"/>
      <c r="E721" s="9"/>
      <c r="F721" s="9"/>
      <c r="G721" s="9"/>
      <c r="H721" s="9"/>
      <c r="I721" s="9"/>
      <c r="J721" s="9"/>
      <c r="K721" s="9"/>
      <c r="L721" s="9"/>
      <c r="M721" s="9"/>
      <c r="N721" s="9"/>
      <c r="O721" s="9"/>
      <c r="P721" s="9"/>
      <c r="Q721" s="9"/>
      <c r="R721" s="9"/>
      <c r="S721" s="9"/>
      <c r="T721" s="9"/>
      <c r="U721" s="9"/>
      <c r="V721" s="9"/>
      <c r="W721" s="9"/>
      <c r="X721" s="9"/>
      <c r="Y721" s="9"/>
      <c r="Z721" s="9"/>
      <c r="AA721" s="9"/>
      <c r="AB721" s="9"/>
      <c r="AC721" s="9"/>
      <c r="AD721" s="9"/>
      <c r="AE721" s="9"/>
      <c r="AF721" s="9"/>
    </row>
    <row r="722">
      <c r="A722" s="9"/>
      <c r="B722" s="9"/>
      <c r="C722" s="9"/>
      <c r="D722" s="9"/>
      <c r="E722" s="9"/>
      <c r="F722" s="9"/>
      <c r="G722" s="9"/>
      <c r="H722" s="9"/>
      <c r="I722" s="9"/>
      <c r="J722" s="9"/>
      <c r="K722" s="9"/>
      <c r="L722" s="9"/>
      <c r="M722" s="9"/>
      <c r="N722" s="9"/>
      <c r="O722" s="9"/>
      <c r="P722" s="9"/>
      <c r="Q722" s="9"/>
      <c r="R722" s="9"/>
      <c r="S722" s="9"/>
      <c r="T722" s="9"/>
      <c r="U722" s="9"/>
      <c r="V722" s="9"/>
      <c r="W722" s="9"/>
      <c r="X722" s="9"/>
      <c r="Y722" s="9"/>
      <c r="Z722" s="9"/>
      <c r="AA722" s="9"/>
      <c r="AB722" s="9"/>
      <c r="AC722" s="9"/>
      <c r="AD722" s="9"/>
      <c r="AE722" s="9"/>
      <c r="AF722" s="9"/>
    </row>
    <row r="723">
      <c r="A723" s="9"/>
      <c r="B723" s="9"/>
      <c r="C723" s="9"/>
      <c r="D723" s="9"/>
      <c r="E723" s="9"/>
      <c r="F723" s="9"/>
      <c r="G723" s="9"/>
      <c r="H723" s="9"/>
      <c r="I723" s="9"/>
      <c r="J723" s="9"/>
      <c r="K723" s="9"/>
      <c r="L723" s="9"/>
      <c r="M723" s="9"/>
      <c r="N723" s="9"/>
      <c r="O723" s="9"/>
      <c r="P723" s="9"/>
      <c r="Q723" s="9"/>
      <c r="R723" s="9"/>
      <c r="S723" s="9"/>
      <c r="T723" s="9"/>
      <c r="U723" s="9"/>
      <c r="V723" s="9"/>
      <c r="W723" s="9"/>
      <c r="X723" s="9"/>
      <c r="Y723" s="9"/>
      <c r="Z723" s="9"/>
      <c r="AA723" s="9"/>
      <c r="AB723" s="9"/>
      <c r="AC723" s="9"/>
      <c r="AD723" s="9"/>
      <c r="AE723" s="9"/>
      <c r="AF723" s="9"/>
    </row>
    <row r="724">
      <c r="A724" s="9"/>
      <c r="B724" s="9"/>
      <c r="C724" s="9"/>
      <c r="D724" s="9"/>
      <c r="E724" s="9"/>
      <c r="F724" s="9"/>
      <c r="G724" s="9"/>
      <c r="H724" s="9"/>
      <c r="I724" s="9"/>
      <c r="J724" s="9"/>
      <c r="K724" s="9"/>
      <c r="L724" s="9"/>
      <c r="M724" s="9"/>
      <c r="N724" s="9"/>
      <c r="O724" s="9"/>
      <c r="P724" s="9"/>
      <c r="Q724" s="9"/>
      <c r="R724" s="9"/>
      <c r="S724" s="9"/>
      <c r="T724" s="9"/>
      <c r="U724" s="9"/>
      <c r="V724" s="9"/>
      <c r="W724" s="9"/>
      <c r="X724" s="9"/>
      <c r="Y724" s="9"/>
      <c r="Z724" s="9"/>
      <c r="AA724" s="9"/>
      <c r="AB724" s="9"/>
      <c r="AC724" s="9"/>
      <c r="AD724" s="9"/>
      <c r="AE724" s="9"/>
      <c r="AF724" s="9"/>
    </row>
    <row r="725">
      <c r="A725" s="9"/>
      <c r="B725" s="9"/>
      <c r="C725" s="9"/>
      <c r="D725" s="9"/>
      <c r="E725" s="9"/>
      <c r="F725" s="9"/>
      <c r="G725" s="9"/>
      <c r="H725" s="9"/>
      <c r="I725" s="9"/>
      <c r="J725" s="9"/>
      <c r="K725" s="9"/>
      <c r="L725" s="9"/>
      <c r="M725" s="9"/>
      <c r="N725" s="9"/>
      <c r="O725" s="9"/>
      <c r="P725" s="9"/>
      <c r="Q725" s="9"/>
      <c r="R725" s="9"/>
      <c r="S725" s="9"/>
      <c r="T725" s="9"/>
      <c r="U725" s="9"/>
      <c r="V725" s="9"/>
      <c r="W725" s="9"/>
      <c r="X725" s="9"/>
      <c r="Y725" s="9"/>
      <c r="Z725" s="9"/>
      <c r="AA725" s="9"/>
      <c r="AB725" s="9"/>
      <c r="AC725" s="9"/>
      <c r="AD725" s="9"/>
      <c r="AE725" s="9"/>
      <c r="AF725" s="9"/>
    </row>
    <row r="726">
      <c r="A726" s="9"/>
      <c r="B726" s="9"/>
      <c r="C726" s="9"/>
      <c r="D726" s="9"/>
      <c r="E726" s="9"/>
      <c r="F726" s="9"/>
      <c r="G726" s="9"/>
      <c r="H726" s="9"/>
      <c r="I726" s="9"/>
      <c r="J726" s="9"/>
      <c r="K726" s="9"/>
      <c r="L726" s="9"/>
      <c r="M726" s="9"/>
      <c r="N726" s="9"/>
      <c r="O726" s="9"/>
      <c r="P726" s="9"/>
      <c r="Q726" s="9"/>
      <c r="R726" s="9"/>
      <c r="S726" s="9"/>
      <c r="T726" s="9"/>
      <c r="U726" s="9"/>
      <c r="V726" s="9"/>
      <c r="W726" s="9"/>
      <c r="X726" s="9"/>
      <c r="Y726" s="9"/>
      <c r="Z726" s="9"/>
      <c r="AA726" s="9"/>
      <c r="AB726" s="9"/>
      <c r="AC726" s="9"/>
      <c r="AD726" s="9"/>
      <c r="AE726" s="9"/>
      <c r="AF726" s="9"/>
    </row>
    <row r="727">
      <c r="A727" s="9"/>
      <c r="B727" s="9"/>
      <c r="C727" s="9"/>
      <c r="D727" s="9"/>
      <c r="E727" s="9"/>
      <c r="F727" s="9"/>
      <c r="G727" s="9"/>
      <c r="H727" s="9"/>
      <c r="I727" s="9"/>
      <c r="J727" s="9"/>
      <c r="K727" s="9"/>
      <c r="L727" s="9"/>
      <c r="M727" s="9"/>
      <c r="N727" s="9"/>
      <c r="O727" s="9"/>
      <c r="P727" s="9"/>
      <c r="Q727" s="9"/>
      <c r="R727" s="9"/>
      <c r="S727" s="9"/>
      <c r="T727" s="9"/>
      <c r="U727" s="9"/>
      <c r="V727" s="9"/>
      <c r="W727" s="9"/>
      <c r="X727" s="9"/>
      <c r="Y727" s="9"/>
      <c r="Z727" s="9"/>
      <c r="AA727" s="9"/>
      <c r="AB727" s="9"/>
      <c r="AC727" s="9"/>
      <c r="AD727" s="9"/>
      <c r="AE727" s="9"/>
      <c r="AF727" s="9"/>
    </row>
    <row r="728">
      <c r="A728" s="9"/>
      <c r="B728" s="9"/>
      <c r="C728" s="9"/>
      <c r="D728" s="9"/>
      <c r="E728" s="9"/>
      <c r="F728" s="9"/>
      <c r="G728" s="9"/>
      <c r="H728" s="9"/>
      <c r="I728" s="9"/>
      <c r="J728" s="9"/>
      <c r="K728" s="9"/>
      <c r="L728" s="9"/>
      <c r="M728" s="9"/>
      <c r="N728" s="9"/>
      <c r="O728" s="9"/>
      <c r="P728" s="9"/>
      <c r="Q728" s="9"/>
      <c r="R728" s="9"/>
      <c r="S728" s="9"/>
      <c r="T728" s="9"/>
      <c r="U728" s="9"/>
      <c r="V728" s="9"/>
      <c r="W728" s="9"/>
      <c r="X728" s="9"/>
      <c r="Y728" s="9"/>
      <c r="Z728" s="9"/>
      <c r="AA728" s="9"/>
      <c r="AB728" s="9"/>
      <c r="AC728" s="9"/>
      <c r="AD728" s="9"/>
      <c r="AE728" s="9"/>
      <c r="AF728" s="9"/>
    </row>
    <row r="729">
      <c r="A729" s="9"/>
      <c r="B729" s="9"/>
      <c r="C729" s="9"/>
      <c r="D729" s="9"/>
      <c r="E729" s="9"/>
      <c r="F729" s="9"/>
      <c r="G729" s="9"/>
      <c r="H729" s="9"/>
      <c r="I729" s="9"/>
      <c r="J729" s="9"/>
      <c r="K729" s="9"/>
      <c r="L729" s="9"/>
      <c r="M729" s="9"/>
      <c r="N729" s="9"/>
      <c r="O729" s="9"/>
      <c r="P729" s="9"/>
      <c r="Q729" s="9"/>
      <c r="R729" s="9"/>
      <c r="S729" s="9"/>
      <c r="T729" s="9"/>
      <c r="U729" s="9"/>
      <c r="V729" s="9"/>
      <c r="W729" s="9"/>
      <c r="X729" s="9"/>
      <c r="Y729" s="9"/>
      <c r="Z729" s="9"/>
      <c r="AA729" s="9"/>
      <c r="AB729" s="9"/>
      <c r="AC729" s="9"/>
      <c r="AD729" s="9"/>
      <c r="AE729" s="9"/>
      <c r="AF729" s="9"/>
    </row>
    <row r="730">
      <c r="A730" s="9"/>
      <c r="B730" s="9"/>
      <c r="C730" s="9"/>
      <c r="D730" s="9"/>
      <c r="E730" s="9"/>
      <c r="F730" s="9"/>
      <c r="G730" s="9"/>
      <c r="H730" s="9"/>
      <c r="I730" s="9"/>
      <c r="J730" s="9"/>
      <c r="K730" s="9"/>
      <c r="L730" s="9"/>
      <c r="M730" s="9"/>
      <c r="N730" s="9"/>
      <c r="O730" s="9"/>
      <c r="P730" s="9"/>
      <c r="Q730" s="9"/>
      <c r="R730" s="9"/>
      <c r="S730" s="9"/>
      <c r="T730" s="9"/>
      <c r="U730" s="9"/>
      <c r="V730" s="9"/>
      <c r="W730" s="9"/>
      <c r="X730" s="9"/>
      <c r="Y730" s="9"/>
      <c r="Z730" s="9"/>
      <c r="AA730" s="9"/>
      <c r="AB730" s="9"/>
      <c r="AC730" s="9"/>
      <c r="AD730" s="9"/>
      <c r="AE730" s="9"/>
      <c r="AF730" s="9"/>
    </row>
    <row r="731">
      <c r="A731" s="9"/>
      <c r="B731" s="9"/>
      <c r="C731" s="9"/>
      <c r="D731" s="9"/>
      <c r="E731" s="9"/>
      <c r="F731" s="9"/>
      <c r="G731" s="9"/>
      <c r="H731" s="9"/>
      <c r="I731" s="9"/>
      <c r="J731" s="9"/>
      <c r="K731" s="9"/>
      <c r="L731" s="9"/>
      <c r="M731" s="9"/>
      <c r="N731" s="9"/>
      <c r="O731" s="9"/>
      <c r="P731" s="9"/>
      <c r="Q731" s="9"/>
      <c r="R731" s="9"/>
      <c r="S731" s="9"/>
      <c r="T731" s="9"/>
      <c r="U731" s="9"/>
      <c r="V731" s="9"/>
      <c r="W731" s="9"/>
      <c r="X731" s="9"/>
      <c r="Y731" s="9"/>
      <c r="Z731" s="9"/>
      <c r="AA731" s="9"/>
      <c r="AB731" s="9"/>
      <c r="AC731" s="9"/>
      <c r="AD731" s="9"/>
      <c r="AE731" s="9"/>
      <c r="AF731" s="9"/>
    </row>
    <row r="732">
      <c r="A732" s="9"/>
      <c r="B732" s="9"/>
      <c r="C732" s="9"/>
      <c r="D732" s="9"/>
      <c r="E732" s="9"/>
      <c r="F732" s="9"/>
      <c r="G732" s="9"/>
      <c r="H732" s="9"/>
      <c r="I732" s="9"/>
      <c r="J732" s="9"/>
      <c r="K732" s="9"/>
      <c r="L732" s="9"/>
      <c r="M732" s="9"/>
      <c r="N732" s="9"/>
      <c r="O732" s="9"/>
      <c r="P732" s="9"/>
      <c r="Q732" s="9"/>
      <c r="R732" s="9"/>
      <c r="S732" s="9"/>
      <c r="T732" s="9"/>
      <c r="U732" s="9"/>
      <c r="V732" s="9"/>
      <c r="W732" s="9"/>
      <c r="X732" s="9"/>
      <c r="Y732" s="9"/>
      <c r="Z732" s="9"/>
      <c r="AA732" s="9"/>
      <c r="AB732" s="9"/>
      <c r="AC732" s="9"/>
      <c r="AD732" s="9"/>
      <c r="AE732" s="9"/>
      <c r="AF732" s="9"/>
    </row>
    <row r="733">
      <c r="A733" s="9"/>
      <c r="B733" s="9"/>
      <c r="C733" s="9"/>
      <c r="D733" s="9"/>
      <c r="E733" s="9"/>
      <c r="F733" s="9"/>
      <c r="G733" s="9"/>
      <c r="H733" s="9"/>
      <c r="I733" s="9"/>
      <c r="J733" s="9"/>
      <c r="K733" s="9"/>
      <c r="L733" s="9"/>
      <c r="M733" s="9"/>
      <c r="N733" s="9"/>
      <c r="O733" s="9"/>
      <c r="P733" s="9"/>
      <c r="Q733" s="9"/>
      <c r="R733" s="9"/>
      <c r="S733" s="9"/>
      <c r="T733" s="9"/>
      <c r="U733" s="9"/>
      <c r="V733" s="9"/>
      <c r="W733" s="9"/>
      <c r="X733" s="9"/>
      <c r="Y733" s="9"/>
      <c r="Z733" s="9"/>
      <c r="AA733" s="9"/>
      <c r="AB733" s="9"/>
      <c r="AC733" s="9"/>
      <c r="AD733" s="9"/>
      <c r="AE733" s="9"/>
      <c r="AF733" s="9"/>
    </row>
    <row r="734">
      <c r="A734" s="9"/>
      <c r="B734" s="9"/>
      <c r="C734" s="9"/>
      <c r="D734" s="9"/>
      <c r="E734" s="9"/>
      <c r="F734" s="9"/>
      <c r="G734" s="9"/>
      <c r="H734" s="9"/>
      <c r="I734" s="9"/>
      <c r="J734" s="9"/>
      <c r="K734" s="9"/>
      <c r="L734" s="9"/>
      <c r="M734" s="9"/>
      <c r="N734" s="9"/>
      <c r="O734" s="9"/>
      <c r="P734" s="9"/>
      <c r="Q734" s="9"/>
      <c r="R734" s="9"/>
      <c r="S734" s="9"/>
      <c r="T734" s="9"/>
      <c r="U734" s="9"/>
      <c r="V734" s="9"/>
      <c r="W734" s="9"/>
      <c r="X734" s="9"/>
      <c r="Y734" s="9"/>
      <c r="Z734" s="9"/>
      <c r="AA734" s="9"/>
      <c r="AB734" s="9"/>
      <c r="AC734" s="9"/>
      <c r="AD734" s="9"/>
      <c r="AE734" s="9"/>
      <c r="AF734" s="9"/>
    </row>
    <row r="735">
      <c r="A735" s="9"/>
      <c r="B735" s="9"/>
      <c r="C735" s="9"/>
      <c r="D735" s="9"/>
      <c r="E735" s="9"/>
      <c r="F735" s="9"/>
      <c r="G735" s="9"/>
      <c r="H735" s="9"/>
      <c r="I735" s="9"/>
      <c r="J735" s="9"/>
      <c r="K735" s="9"/>
      <c r="L735" s="9"/>
      <c r="M735" s="9"/>
      <c r="N735" s="9"/>
      <c r="O735" s="9"/>
      <c r="P735" s="9"/>
      <c r="Q735" s="9"/>
      <c r="R735" s="9"/>
      <c r="S735" s="9"/>
      <c r="T735" s="9"/>
      <c r="U735" s="9"/>
      <c r="V735" s="9"/>
      <c r="W735" s="9"/>
      <c r="X735" s="9"/>
      <c r="Y735" s="9"/>
      <c r="Z735" s="9"/>
      <c r="AA735" s="9"/>
      <c r="AB735" s="9"/>
      <c r="AC735" s="9"/>
      <c r="AD735" s="9"/>
      <c r="AE735" s="9"/>
      <c r="AF735" s="9"/>
    </row>
    <row r="736">
      <c r="A736" s="9"/>
      <c r="B736" s="9"/>
      <c r="C736" s="9"/>
      <c r="D736" s="9"/>
      <c r="E736" s="9"/>
      <c r="F736" s="9"/>
      <c r="G736" s="9"/>
      <c r="H736" s="9"/>
      <c r="I736" s="9"/>
      <c r="J736" s="9"/>
      <c r="K736" s="9"/>
      <c r="L736" s="9"/>
      <c r="M736" s="9"/>
      <c r="N736" s="9"/>
      <c r="O736" s="9"/>
      <c r="P736" s="9"/>
      <c r="Q736" s="9"/>
      <c r="R736" s="9"/>
      <c r="S736" s="9"/>
      <c r="T736" s="9"/>
      <c r="U736" s="9"/>
      <c r="V736" s="9"/>
      <c r="W736" s="9"/>
      <c r="X736" s="9"/>
      <c r="Y736" s="9"/>
      <c r="Z736" s="9"/>
      <c r="AA736" s="9"/>
      <c r="AB736" s="9"/>
      <c r="AC736" s="9"/>
      <c r="AD736" s="9"/>
      <c r="AE736" s="9"/>
      <c r="AF736" s="9"/>
    </row>
    <row r="737">
      <c r="A737" s="9"/>
      <c r="B737" s="9"/>
      <c r="C737" s="9"/>
      <c r="D737" s="9"/>
      <c r="E737" s="9"/>
      <c r="F737" s="9"/>
      <c r="G737" s="9"/>
      <c r="H737" s="9"/>
      <c r="I737" s="9"/>
      <c r="J737" s="9"/>
      <c r="K737" s="9"/>
      <c r="L737" s="9"/>
      <c r="M737" s="9"/>
      <c r="N737" s="9"/>
      <c r="O737" s="9"/>
      <c r="P737" s="9"/>
      <c r="Q737" s="9"/>
      <c r="R737" s="9"/>
      <c r="S737" s="9"/>
      <c r="T737" s="9"/>
      <c r="U737" s="9"/>
      <c r="V737" s="9"/>
      <c r="W737" s="9"/>
      <c r="X737" s="9"/>
      <c r="Y737" s="9"/>
      <c r="Z737" s="9"/>
      <c r="AA737" s="9"/>
      <c r="AB737" s="9"/>
      <c r="AC737" s="9"/>
      <c r="AD737" s="9"/>
      <c r="AE737" s="9"/>
      <c r="AF737" s="9"/>
    </row>
    <row r="738">
      <c r="A738" s="9"/>
      <c r="B738" s="9"/>
      <c r="C738" s="9"/>
      <c r="D738" s="9"/>
      <c r="E738" s="9"/>
      <c r="F738" s="9"/>
      <c r="G738" s="9"/>
      <c r="H738" s="9"/>
      <c r="I738" s="9"/>
      <c r="J738" s="9"/>
      <c r="K738" s="9"/>
      <c r="L738" s="9"/>
      <c r="M738" s="9"/>
      <c r="N738" s="9"/>
      <c r="O738" s="9"/>
      <c r="P738" s="9"/>
      <c r="Q738" s="9"/>
      <c r="R738" s="9"/>
      <c r="S738" s="9"/>
      <c r="T738" s="9"/>
      <c r="U738" s="9"/>
      <c r="V738" s="9"/>
      <c r="W738" s="9"/>
      <c r="X738" s="9"/>
      <c r="Y738" s="9"/>
      <c r="Z738" s="9"/>
      <c r="AA738" s="9"/>
      <c r="AB738" s="9"/>
      <c r="AC738" s="9"/>
      <c r="AD738" s="9"/>
      <c r="AE738" s="9"/>
      <c r="AF738" s="9"/>
    </row>
    <row r="739">
      <c r="A739" s="9"/>
      <c r="B739" s="9"/>
      <c r="C739" s="9"/>
      <c r="D739" s="9"/>
      <c r="E739" s="9"/>
      <c r="F739" s="9"/>
      <c r="G739" s="9"/>
      <c r="H739" s="9"/>
      <c r="I739" s="9"/>
      <c r="J739" s="9"/>
      <c r="K739" s="9"/>
      <c r="L739" s="9"/>
      <c r="M739" s="9"/>
      <c r="N739" s="9"/>
      <c r="O739" s="9"/>
      <c r="P739" s="9"/>
      <c r="Q739" s="9"/>
      <c r="R739" s="9"/>
      <c r="S739" s="9"/>
      <c r="T739" s="9"/>
      <c r="U739" s="9"/>
      <c r="V739" s="9"/>
      <c r="W739" s="9"/>
      <c r="X739" s="9"/>
      <c r="Y739" s="9"/>
      <c r="Z739" s="9"/>
      <c r="AA739" s="9"/>
      <c r="AB739" s="9"/>
      <c r="AC739" s="9"/>
      <c r="AD739" s="9"/>
      <c r="AE739" s="9"/>
      <c r="AF739" s="9"/>
    </row>
    <row r="740">
      <c r="A740" s="9"/>
      <c r="B740" s="9"/>
      <c r="C740" s="9"/>
      <c r="D740" s="9"/>
      <c r="E740" s="9"/>
      <c r="F740" s="9"/>
      <c r="G740" s="9"/>
      <c r="H740" s="9"/>
      <c r="I740" s="9"/>
      <c r="J740" s="9"/>
      <c r="K740" s="9"/>
      <c r="L740" s="9"/>
      <c r="M740" s="9"/>
      <c r="N740" s="9"/>
      <c r="O740" s="9"/>
      <c r="P740" s="9"/>
      <c r="Q740" s="9"/>
      <c r="R740" s="9"/>
      <c r="S740" s="9"/>
      <c r="T740" s="9"/>
      <c r="U740" s="9"/>
      <c r="V740" s="9"/>
      <c r="W740" s="9"/>
      <c r="X740" s="9"/>
      <c r="Y740" s="9"/>
      <c r="Z740" s="9"/>
      <c r="AA740" s="9"/>
      <c r="AB740" s="9"/>
      <c r="AC740" s="9"/>
      <c r="AD740" s="9"/>
      <c r="AE740" s="9"/>
      <c r="AF740" s="9"/>
    </row>
    <row r="741">
      <c r="A741" s="9"/>
      <c r="B741" s="9"/>
      <c r="C741" s="9"/>
      <c r="D741" s="9"/>
      <c r="E741" s="9"/>
      <c r="F741" s="9"/>
      <c r="G741" s="9"/>
      <c r="H741" s="9"/>
      <c r="I741" s="9"/>
      <c r="J741" s="9"/>
      <c r="K741" s="9"/>
      <c r="L741" s="9"/>
      <c r="M741" s="9"/>
      <c r="N741" s="9"/>
      <c r="O741" s="9"/>
      <c r="P741" s="9"/>
      <c r="Q741" s="9"/>
      <c r="R741" s="9"/>
      <c r="S741" s="9"/>
      <c r="T741" s="9"/>
      <c r="U741" s="9"/>
      <c r="V741" s="9"/>
      <c r="W741" s="9"/>
      <c r="X741" s="9"/>
      <c r="Y741" s="9"/>
      <c r="Z741" s="9"/>
      <c r="AA741" s="9"/>
      <c r="AB741" s="9"/>
      <c r="AC741" s="9"/>
      <c r="AD741" s="9"/>
      <c r="AE741" s="9"/>
      <c r="AF741" s="9"/>
    </row>
    <row r="742">
      <c r="A742" s="9"/>
      <c r="B742" s="9"/>
      <c r="C742" s="9"/>
      <c r="D742" s="9"/>
      <c r="E742" s="9"/>
      <c r="F742" s="9"/>
      <c r="G742" s="9"/>
      <c r="H742" s="9"/>
      <c r="I742" s="9"/>
      <c r="J742" s="9"/>
      <c r="K742" s="9"/>
      <c r="L742" s="9"/>
      <c r="M742" s="9"/>
      <c r="N742" s="9"/>
      <c r="O742" s="9"/>
      <c r="P742" s="9"/>
      <c r="Q742" s="9"/>
      <c r="R742" s="9"/>
      <c r="S742" s="9"/>
      <c r="T742" s="9"/>
      <c r="U742" s="9"/>
      <c r="V742" s="9"/>
      <c r="W742" s="9"/>
      <c r="X742" s="9"/>
      <c r="Y742" s="9"/>
      <c r="Z742" s="9"/>
      <c r="AA742" s="9"/>
      <c r="AB742" s="9"/>
      <c r="AC742" s="9"/>
      <c r="AD742" s="9"/>
      <c r="AE742" s="9"/>
      <c r="AF742" s="9"/>
    </row>
    <row r="743">
      <c r="A743" s="9"/>
      <c r="B743" s="9"/>
      <c r="C743" s="9"/>
      <c r="D743" s="9"/>
      <c r="E743" s="9"/>
      <c r="F743" s="9"/>
      <c r="G743" s="9"/>
      <c r="H743" s="9"/>
      <c r="I743" s="9"/>
      <c r="J743" s="9"/>
      <c r="K743" s="9"/>
      <c r="L743" s="9"/>
      <c r="M743" s="9"/>
      <c r="N743" s="9"/>
      <c r="O743" s="9"/>
      <c r="P743" s="9"/>
      <c r="Q743" s="9"/>
      <c r="R743" s="9"/>
      <c r="S743" s="9"/>
      <c r="T743" s="9"/>
      <c r="U743" s="9"/>
      <c r="V743" s="9"/>
      <c r="W743" s="9"/>
      <c r="X743" s="9"/>
      <c r="Y743" s="9"/>
      <c r="Z743" s="9"/>
      <c r="AA743" s="9"/>
      <c r="AB743" s="9"/>
      <c r="AC743" s="9"/>
      <c r="AD743" s="9"/>
      <c r="AE743" s="9"/>
      <c r="AF743" s="9"/>
    </row>
    <row r="744">
      <c r="A744" s="9"/>
      <c r="B744" s="9"/>
      <c r="C744" s="9"/>
      <c r="D744" s="9"/>
      <c r="E744" s="9"/>
      <c r="F744" s="9"/>
      <c r="G744" s="9"/>
      <c r="H744" s="9"/>
      <c r="I744" s="9"/>
      <c r="J744" s="9"/>
      <c r="K744" s="9"/>
      <c r="L744" s="9"/>
      <c r="M744" s="9"/>
      <c r="N744" s="9"/>
      <c r="O744" s="9"/>
      <c r="P744" s="9"/>
      <c r="Q744" s="9"/>
      <c r="R744" s="9"/>
      <c r="S744" s="9"/>
      <c r="T744" s="9"/>
      <c r="U744" s="9"/>
      <c r="V744" s="9"/>
      <c r="W744" s="9"/>
      <c r="X744" s="9"/>
      <c r="Y744" s="9"/>
      <c r="Z744" s="9"/>
      <c r="AA744" s="9"/>
      <c r="AB744" s="9"/>
      <c r="AC744" s="9"/>
      <c r="AD744" s="9"/>
      <c r="AE744" s="9"/>
      <c r="AF744" s="9"/>
    </row>
    <row r="745">
      <c r="A745" s="9"/>
      <c r="B745" s="9"/>
      <c r="C745" s="9"/>
      <c r="D745" s="9"/>
      <c r="E745" s="9"/>
      <c r="F745" s="9"/>
      <c r="G745" s="9"/>
      <c r="H745" s="9"/>
      <c r="I745" s="9"/>
      <c r="J745" s="9"/>
      <c r="K745" s="9"/>
      <c r="L745" s="9"/>
      <c r="M745" s="9"/>
      <c r="N745" s="9"/>
      <c r="O745" s="9"/>
      <c r="P745" s="9"/>
      <c r="Q745" s="9"/>
      <c r="R745" s="9"/>
      <c r="S745" s="9"/>
      <c r="T745" s="9"/>
      <c r="U745" s="9"/>
      <c r="V745" s="9"/>
      <c r="W745" s="9"/>
      <c r="X745" s="9"/>
      <c r="Y745" s="9"/>
      <c r="Z745" s="9"/>
      <c r="AA745" s="9"/>
      <c r="AB745" s="9"/>
      <c r="AC745" s="9"/>
      <c r="AD745" s="9"/>
      <c r="AE745" s="9"/>
      <c r="AF745" s="9"/>
    </row>
    <row r="746">
      <c r="A746" s="9"/>
      <c r="B746" s="9"/>
      <c r="C746" s="9"/>
      <c r="D746" s="9"/>
      <c r="E746" s="9"/>
      <c r="F746" s="9"/>
      <c r="G746" s="9"/>
      <c r="H746" s="9"/>
      <c r="I746" s="9"/>
      <c r="J746" s="9"/>
      <c r="K746" s="9"/>
      <c r="L746" s="9"/>
      <c r="M746" s="9"/>
      <c r="N746" s="9"/>
      <c r="O746" s="9"/>
      <c r="P746" s="9"/>
      <c r="Q746" s="9"/>
      <c r="R746" s="9"/>
      <c r="S746" s="9"/>
      <c r="T746" s="9"/>
      <c r="U746" s="9"/>
      <c r="V746" s="9"/>
      <c r="W746" s="9"/>
      <c r="X746" s="9"/>
      <c r="Y746" s="9"/>
      <c r="Z746" s="9"/>
      <c r="AA746" s="9"/>
      <c r="AB746" s="9"/>
      <c r="AC746" s="9"/>
      <c r="AD746" s="9"/>
      <c r="AE746" s="9"/>
      <c r="AF746" s="9"/>
    </row>
    <row r="747">
      <c r="A747" s="9"/>
      <c r="B747" s="9"/>
      <c r="C747" s="9"/>
      <c r="D747" s="9"/>
      <c r="E747" s="9"/>
      <c r="F747" s="9"/>
      <c r="G747" s="9"/>
      <c r="H747" s="9"/>
      <c r="I747" s="9"/>
      <c r="J747" s="9"/>
      <c r="K747" s="9"/>
      <c r="L747" s="9"/>
      <c r="M747" s="9"/>
      <c r="N747" s="9"/>
      <c r="O747" s="9"/>
      <c r="P747" s="9"/>
      <c r="Q747" s="9"/>
      <c r="R747" s="9"/>
      <c r="S747" s="9"/>
      <c r="T747" s="9"/>
      <c r="U747" s="9"/>
      <c r="V747" s="9"/>
      <c r="W747" s="9"/>
      <c r="X747" s="9"/>
      <c r="Y747" s="9"/>
      <c r="Z747" s="9"/>
      <c r="AA747" s="9"/>
      <c r="AB747" s="9"/>
      <c r="AC747" s="9"/>
      <c r="AD747" s="9"/>
      <c r="AE747" s="9"/>
      <c r="AF747" s="9"/>
    </row>
    <row r="748">
      <c r="A748" s="9"/>
      <c r="B748" s="9"/>
      <c r="C748" s="9"/>
      <c r="D748" s="9"/>
      <c r="E748" s="9"/>
      <c r="F748" s="9"/>
      <c r="G748" s="9"/>
      <c r="H748" s="9"/>
      <c r="I748" s="9"/>
      <c r="J748" s="9"/>
      <c r="K748" s="9"/>
      <c r="L748" s="9"/>
      <c r="M748" s="9"/>
      <c r="N748" s="9"/>
      <c r="O748" s="9"/>
      <c r="P748" s="9"/>
      <c r="Q748" s="9"/>
      <c r="R748" s="9"/>
      <c r="S748" s="9"/>
      <c r="T748" s="9"/>
      <c r="U748" s="9"/>
      <c r="V748" s="9"/>
      <c r="W748" s="9"/>
      <c r="X748" s="9"/>
      <c r="Y748" s="9"/>
      <c r="Z748" s="9"/>
      <c r="AA748" s="9"/>
      <c r="AB748" s="9"/>
      <c r="AC748" s="9"/>
      <c r="AD748" s="9"/>
      <c r="AE748" s="9"/>
      <c r="AF748" s="9"/>
    </row>
    <row r="749">
      <c r="A749" s="9"/>
      <c r="B749" s="9"/>
      <c r="C749" s="9"/>
      <c r="D749" s="9"/>
      <c r="E749" s="9"/>
      <c r="F749" s="9"/>
      <c r="G749" s="9"/>
      <c r="H749" s="9"/>
      <c r="I749" s="9"/>
      <c r="J749" s="9"/>
      <c r="K749" s="9"/>
      <c r="L749" s="9"/>
      <c r="M749" s="9"/>
      <c r="N749" s="9"/>
      <c r="O749" s="9"/>
      <c r="P749" s="9"/>
      <c r="Q749" s="9"/>
      <c r="R749" s="9"/>
      <c r="S749" s="9"/>
      <c r="T749" s="9"/>
      <c r="U749" s="9"/>
      <c r="V749" s="9"/>
      <c r="W749" s="9"/>
      <c r="X749" s="9"/>
      <c r="Y749" s="9"/>
      <c r="Z749" s="9"/>
      <c r="AA749" s="9"/>
      <c r="AB749" s="9"/>
      <c r="AC749" s="9"/>
      <c r="AD749" s="9"/>
      <c r="AE749" s="9"/>
      <c r="AF749" s="9"/>
    </row>
    <row r="750">
      <c r="A750" s="9"/>
      <c r="B750" s="9"/>
      <c r="C750" s="9"/>
      <c r="D750" s="9"/>
      <c r="E750" s="9"/>
      <c r="F750" s="9"/>
      <c r="G750" s="9"/>
      <c r="H750" s="9"/>
      <c r="I750" s="9"/>
      <c r="J750" s="9"/>
      <c r="K750" s="9"/>
      <c r="L750" s="9"/>
      <c r="M750" s="9"/>
      <c r="N750" s="9"/>
      <c r="O750" s="9"/>
      <c r="P750" s="9"/>
      <c r="Q750" s="9"/>
      <c r="R750" s="9"/>
      <c r="S750" s="9"/>
      <c r="T750" s="9"/>
      <c r="U750" s="9"/>
      <c r="V750" s="9"/>
      <c r="W750" s="9"/>
      <c r="X750" s="9"/>
      <c r="Y750" s="9"/>
      <c r="Z750" s="9"/>
      <c r="AA750" s="9"/>
      <c r="AB750" s="9"/>
      <c r="AC750" s="9"/>
      <c r="AD750" s="9"/>
      <c r="AE750" s="9"/>
      <c r="AF750" s="9"/>
    </row>
    <row r="751">
      <c r="A751" s="9"/>
      <c r="B751" s="9"/>
      <c r="C751" s="9"/>
      <c r="D751" s="9"/>
      <c r="E751" s="9"/>
      <c r="F751" s="9"/>
      <c r="G751" s="9"/>
      <c r="H751" s="9"/>
      <c r="I751" s="9"/>
      <c r="J751" s="9"/>
      <c r="K751" s="9"/>
      <c r="L751" s="9"/>
      <c r="M751" s="9"/>
      <c r="N751" s="9"/>
      <c r="O751" s="9"/>
      <c r="P751" s="9"/>
      <c r="Q751" s="9"/>
      <c r="R751" s="9"/>
      <c r="S751" s="9"/>
      <c r="T751" s="9"/>
      <c r="U751" s="9"/>
      <c r="V751" s="9"/>
      <c r="W751" s="9"/>
      <c r="X751" s="9"/>
      <c r="Y751" s="9"/>
      <c r="Z751" s="9"/>
      <c r="AA751" s="9"/>
      <c r="AB751" s="9"/>
      <c r="AC751" s="9"/>
      <c r="AD751" s="9"/>
      <c r="AE751" s="9"/>
      <c r="AF751" s="9"/>
    </row>
    <row r="752">
      <c r="A752" s="9"/>
      <c r="B752" s="9"/>
      <c r="C752" s="9"/>
      <c r="D752" s="9"/>
      <c r="E752" s="9"/>
      <c r="F752" s="9"/>
      <c r="G752" s="9"/>
      <c r="H752" s="9"/>
      <c r="I752" s="9"/>
      <c r="J752" s="9"/>
      <c r="K752" s="9"/>
      <c r="L752" s="9"/>
      <c r="M752" s="9"/>
      <c r="N752" s="9"/>
      <c r="O752" s="9"/>
      <c r="P752" s="9"/>
      <c r="Q752" s="9"/>
      <c r="R752" s="9"/>
      <c r="S752" s="9"/>
      <c r="T752" s="9"/>
      <c r="U752" s="9"/>
      <c r="V752" s="9"/>
      <c r="W752" s="9"/>
      <c r="X752" s="9"/>
      <c r="Y752" s="9"/>
      <c r="Z752" s="9"/>
      <c r="AA752" s="9"/>
      <c r="AB752" s="9"/>
      <c r="AC752" s="9"/>
      <c r="AD752" s="9"/>
      <c r="AE752" s="9"/>
      <c r="AF752" s="9"/>
    </row>
    <row r="753">
      <c r="A753" s="9"/>
      <c r="B753" s="9"/>
      <c r="C753" s="9"/>
      <c r="D753" s="9"/>
      <c r="E753" s="9"/>
      <c r="F753" s="9"/>
      <c r="G753" s="9"/>
      <c r="H753" s="9"/>
      <c r="I753" s="9"/>
      <c r="J753" s="9"/>
      <c r="K753" s="9"/>
      <c r="L753" s="9"/>
      <c r="M753" s="9"/>
      <c r="N753" s="9"/>
      <c r="O753" s="9"/>
      <c r="P753" s="9"/>
      <c r="Q753" s="9"/>
      <c r="R753" s="9"/>
      <c r="S753" s="9"/>
      <c r="T753" s="9"/>
      <c r="U753" s="9"/>
      <c r="V753" s="9"/>
      <c r="W753" s="9"/>
      <c r="X753" s="9"/>
      <c r="Y753" s="9"/>
      <c r="Z753" s="9"/>
      <c r="AA753" s="9"/>
      <c r="AB753" s="9"/>
      <c r="AC753" s="9"/>
      <c r="AD753" s="9"/>
      <c r="AE753" s="9"/>
      <c r="AF753" s="9"/>
    </row>
    <row r="754">
      <c r="A754" s="9"/>
      <c r="B754" s="9"/>
      <c r="C754" s="9"/>
      <c r="D754" s="9"/>
      <c r="E754" s="9"/>
      <c r="F754" s="9"/>
      <c r="G754" s="9"/>
      <c r="H754" s="9"/>
      <c r="I754" s="9"/>
      <c r="J754" s="9"/>
      <c r="K754" s="9"/>
      <c r="L754" s="9"/>
      <c r="M754" s="9"/>
      <c r="N754" s="9"/>
      <c r="O754" s="9"/>
      <c r="P754" s="9"/>
      <c r="Q754" s="9"/>
      <c r="R754" s="9"/>
      <c r="S754" s="9"/>
      <c r="T754" s="9"/>
      <c r="U754" s="9"/>
      <c r="V754" s="9"/>
      <c r="W754" s="9"/>
      <c r="X754" s="9"/>
      <c r="Y754" s="9"/>
      <c r="Z754" s="9"/>
      <c r="AA754" s="9"/>
      <c r="AB754" s="9"/>
      <c r="AC754" s="9"/>
      <c r="AD754" s="9"/>
      <c r="AE754" s="9"/>
      <c r="AF754" s="9"/>
    </row>
    <row r="755">
      <c r="A755" s="9"/>
      <c r="B755" s="9"/>
      <c r="C755" s="9"/>
      <c r="D755" s="9"/>
      <c r="E755" s="9"/>
      <c r="F755" s="9"/>
      <c r="G755" s="9"/>
      <c r="H755" s="9"/>
      <c r="I755" s="9"/>
      <c r="J755" s="9"/>
      <c r="K755" s="9"/>
      <c r="L755" s="9"/>
      <c r="M755" s="9"/>
      <c r="N755" s="9"/>
      <c r="O755" s="9"/>
      <c r="P755" s="9"/>
      <c r="Q755" s="9"/>
      <c r="R755" s="9"/>
      <c r="S755" s="9"/>
      <c r="T755" s="9"/>
      <c r="U755" s="9"/>
      <c r="V755" s="9"/>
      <c r="W755" s="9"/>
      <c r="X755" s="9"/>
      <c r="Y755" s="9"/>
      <c r="Z755" s="9"/>
      <c r="AA755" s="9"/>
      <c r="AB755" s="9"/>
      <c r="AC755" s="9"/>
      <c r="AD755" s="9"/>
      <c r="AE755" s="9"/>
      <c r="AF755" s="9"/>
    </row>
    <row r="756">
      <c r="A756" s="9"/>
      <c r="B756" s="9"/>
      <c r="C756" s="9"/>
      <c r="D756" s="9"/>
      <c r="E756" s="9"/>
      <c r="F756" s="9"/>
      <c r="G756" s="9"/>
      <c r="H756" s="9"/>
      <c r="I756" s="9"/>
      <c r="J756" s="9"/>
      <c r="K756" s="9"/>
      <c r="L756" s="9"/>
      <c r="M756" s="9"/>
      <c r="N756" s="9"/>
      <c r="O756" s="9"/>
      <c r="P756" s="9"/>
      <c r="Q756" s="9"/>
      <c r="R756" s="9"/>
      <c r="S756" s="9"/>
      <c r="T756" s="9"/>
      <c r="U756" s="9"/>
      <c r="V756" s="9"/>
      <c r="W756" s="9"/>
      <c r="X756" s="9"/>
      <c r="Y756" s="9"/>
      <c r="Z756" s="9"/>
      <c r="AA756" s="9"/>
      <c r="AB756" s="9"/>
      <c r="AC756" s="9"/>
      <c r="AD756" s="9"/>
      <c r="AE756" s="9"/>
      <c r="AF756" s="9"/>
    </row>
    <row r="757">
      <c r="A757" s="9"/>
      <c r="B757" s="9"/>
      <c r="C757" s="9"/>
      <c r="D757" s="9"/>
      <c r="E757" s="9"/>
      <c r="F757" s="9"/>
      <c r="G757" s="9"/>
      <c r="H757" s="9"/>
      <c r="I757" s="9"/>
      <c r="J757" s="9"/>
      <c r="K757" s="9"/>
      <c r="L757" s="9"/>
      <c r="M757" s="9"/>
      <c r="N757" s="9"/>
      <c r="O757" s="9"/>
      <c r="P757" s="9"/>
      <c r="Q757" s="9"/>
      <c r="R757" s="9"/>
      <c r="S757" s="9"/>
      <c r="T757" s="9"/>
      <c r="U757" s="9"/>
      <c r="V757" s="9"/>
      <c r="W757" s="9"/>
      <c r="X757" s="9"/>
      <c r="Y757" s="9"/>
      <c r="Z757" s="9"/>
      <c r="AA757" s="9"/>
      <c r="AB757" s="9"/>
      <c r="AC757" s="9"/>
      <c r="AD757" s="9"/>
      <c r="AE757" s="9"/>
      <c r="AF757" s="9"/>
    </row>
    <row r="758">
      <c r="A758" s="9"/>
      <c r="B758" s="9"/>
      <c r="C758" s="9"/>
      <c r="D758" s="9"/>
      <c r="E758" s="9"/>
      <c r="F758" s="9"/>
      <c r="G758" s="9"/>
      <c r="H758" s="9"/>
      <c r="I758" s="9"/>
      <c r="J758" s="9"/>
      <c r="K758" s="9"/>
      <c r="L758" s="9"/>
      <c r="M758" s="9"/>
      <c r="N758" s="9"/>
      <c r="O758" s="9"/>
      <c r="P758" s="9"/>
      <c r="Q758" s="9"/>
      <c r="R758" s="9"/>
      <c r="S758" s="9"/>
      <c r="T758" s="9"/>
      <c r="U758" s="9"/>
      <c r="V758" s="9"/>
      <c r="W758" s="9"/>
      <c r="X758" s="9"/>
      <c r="Y758" s="9"/>
      <c r="Z758" s="9"/>
      <c r="AA758" s="9"/>
      <c r="AB758" s="9"/>
      <c r="AC758" s="9"/>
      <c r="AD758" s="9"/>
      <c r="AE758" s="9"/>
      <c r="AF758" s="9"/>
    </row>
    <row r="759">
      <c r="A759" s="9"/>
      <c r="B759" s="9"/>
      <c r="C759" s="9"/>
      <c r="D759" s="9"/>
      <c r="E759" s="9"/>
      <c r="F759" s="9"/>
      <c r="G759" s="9"/>
      <c r="H759" s="9"/>
      <c r="I759" s="9"/>
      <c r="J759" s="9"/>
      <c r="K759" s="9"/>
      <c r="L759" s="9"/>
      <c r="M759" s="9"/>
      <c r="N759" s="9"/>
      <c r="O759" s="9"/>
      <c r="P759" s="9"/>
      <c r="Q759" s="9"/>
      <c r="R759" s="9"/>
      <c r="S759" s="9"/>
      <c r="T759" s="9"/>
      <c r="U759" s="9"/>
      <c r="V759" s="9"/>
      <c r="W759" s="9"/>
      <c r="X759" s="9"/>
      <c r="Y759" s="9"/>
      <c r="Z759" s="9"/>
      <c r="AA759" s="9"/>
      <c r="AB759" s="9"/>
      <c r="AC759" s="9"/>
      <c r="AD759" s="9"/>
      <c r="AE759" s="9"/>
      <c r="AF759" s="9"/>
    </row>
    <row r="760">
      <c r="A760" s="9"/>
      <c r="B760" s="9"/>
      <c r="C760" s="9"/>
      <c r="D760" s="9"/>
      <c r="E760" s="9"/>
      <c r="F760" s="9"/>
      <c r="G760" s="9"/>
      <c r="H760" s="9"/>
      <c r="I760" s="9"/>
      <c r="J760" s="9"/>
      <c r="K760" s="9"/>
      <c r="L760" s="9"/>
      <c r="M760" s="9"/>
      <c r="N760" s="9"/>
      <c r="O760" s="9"/>
      <c r="P760" s="9"/>
      <c r="Q760" s="9"/>
      <c r="R760" s="9"/>
      <c r="S760" s="9"/>
      <c r="T760" s="9"/>
      <c r="U760" s="9"/>
      <c r="V760" s="9"/>
      <c r="W760" s="9"/>
      <c r="X760" s="9"/>
      <c r="Y760" s="9"/>
      <c r="Z760" s="9"/>
      <c r="AA760" s="9"/>
      <c r="AB760" s="9"/>
      <c r="AC760" s="9"/>
      <c r="AD760" s="9"/>
      <c r="AE760" s="9"/>
      <c r="AF760" s="9"/>
    </row>
    <row r="761">
      <c r="A761" s="9"/>
      <c r="B761" s="9"/>
      <c r="C761" s="9"/>
      <c r="D761" s="9"/>
      <c r="E761" s="9"/>
      <c r="F761" s="9"/>
      <c r="G761" s="9"/>
      <c r="H761" s="9"/>
      <c r="I761" s="9"/>
      <c r="J761" s="9"/>
      <c r="K761" s="9"/>
      <c r="L761" s="9"/>
      <c r="M761" s="9"/>
      <c r="N761" s="9"/>
      <c r="O761" s="9"/>
      <c r="P761" s="9"/>
      <c r="Q761" s="9"/>
      <c r="R761" s="9"/>
      <c r="S761" s="9"/>
      <c r="T761" s="9"/>
      <c r="U761" s="9"/>
      <c r="V761" s="9"/>
      <c r="W761" s="9"/>
      <c r="X761" s="9"/>
      <c r="Y761" s="9"/>
      <c r="Z761" s="9"/>
      <c r="AA761" s="9"/>
      <c r="AB761" s="9"/>
      <c r="AC761" s="9"/>
      <c r="AD761" s="9"/>
      <c r="AE761" s="9"/>
      <c r="AF761" s="9"/>
    </row>
    <row r="762">
      <c r="A762" s="9"/>
      <c r="B762" s="9"/>
      <c r="C762" s="9"/>
      <c r="D762" s="9"/>
      <c r="E762" s="9"/>
      <c r="F762" s="9"/>
      <c r="G762" s="9"/>
      <c r="H762" s="9"/>
      <c r="I762" s="9"/>
      <c r="J762" s="9"/>
      <c r="K762" s="9"/>
      <c r="L762" s="9"/>
      <c r="M762" s="9"/>
      <c r="N762" s="9"/>
      <c r="O762" s="9"/>
      <c r="P762" s="9"/>
      <c r="Q762" s="9"/>
      <c r="R762" s="9"/>
      <c r="S762" s="9"/>
      <c r="T762" s="9"/>
      <c r="U762" s="9"/>
      <c r="V762" s="9"/>
      <c r="W762" s="9"/>
      <c r="X762" s="9"/>
      <c r="Y762" s="9"/>
      <c r="Z762" s="9"/>
      <c r="AA762" s="9"/>
      <c r="AB762" s="9"/>
      <c r="AC762" s="9"/>
      <c r="AD762" s="9"/>
      <c r="AE762" s="9"/>
      <c r="AF762" s="9"/>
    </row>
    <row r="763">
      <c r="A763" s="9"/>
      <c r="B763" s="9"/>
      <c r="C763" s="9"/>
      <c r="D763" s="9"/>
      <c r="E763" s="9"/>
      <c r="F763" s="9"/>
      <c r="G763" s="9"/>
      <c r="H763" s="9"/>
      <c r="I763" s="9"/>
      <c r="J763" s="9"/>
      <c r="K763" s="9"/>
      <c r="L763" s="9"/>
      <c r="M763" s="9"/>
      <c r="N763" s="9"/>
      <c r="O763" s="9"/>
      <c r="P763" s="9"/>
      <c r="Q763" s="9"/>
      <c r="R763" s="9"/>
      <c r="S763" s="9"/>
      <c r="T763" s="9"/>
      <c r="U763" s="9"/>
      <c r="V763" s="9"/>
      <c r="W763" s="9"/>
      <c r="X763" s="9"/>
      <c r="Y763" s="9"/>
      <c r="Z763" s="9"/>
      <c r="AA763" s="9"/>
      <c r="AB763" s="9"/>
      <c r="AC763" s="9"/>
      <c r="AD763" s="9"/>
      <c r="AE763" s="9"/>
      <c r="AF763" s="9"/>
    </row>
    <row r="764">
      <c r="A764" s="9"/>
      <c r="B764" s="9"/>
      <c r="C764" s="9"/>
      <c r="D764" s="9"/>
      <c r="E764" s="9"/>
      <c r="F764" s="9"/>
      <c r="G764" s="9"/>
      <c r="H764" s="9"/>
      <c r="I764" s="9"/>
      <c r="J764" s="9"/>
      <c r="K764" s="9"/>
      <c r="L764" s="9"/>
      <c r="M764" s="9"/>
      <c r="N764" s="9"/>
      <c r="O764" s="9"/>
      <c r="P764" s="9"/>
      <c r="Q764" s="9"/>
      <c r="R764" s="9"/>
      <c r="S764" s="9"/>
      <c r="T764" s="9"/>
      <c r="U764" s="9"/>
      <c r="V764" s="9"/>
      <c r="W764" s="9"/>
      <c r="X764" s="9"/>
      <c r="Y764" s="9"/>
      <c r="Z764" s="9"/>
      <c r="AA764" s="9"/>
      <c r="AB764" s="9"/>
      <c r="AC764" s="9"/>
      <c r="AD764" s="9"/>
      <c r="AE764" s="9"/>
      <c r="AF764" s="9"/>
    </row>
    <row r="765">
      <c r="A765" s="9"/>
      <c r="B765" s="9"/>
      <c r="C765" s="9"/>
      <c r="D765" s="9"/>
      <c r="E765" s="9"/>
      <c r="F765" s="9"/>
      <c r="G765" s="9"/>
      <c r="H765" s="9"/>
      <c r="I765" s="9"/>
      <c r="J765" s="9"/>
      <c r="K765" s="9"/>
      <c r="L765" s="9"/>
      <c r="M765" s="9"/>
      <c r="N765" s="9"/>
      <c r="O765" s="9"/>
      <c r="P765" s="9"/>
      <c r="Q765" s="9"/>
      <c r="R765" s="9"/>
      <c r="S765" s="9"/>
      <c r="T765" s="9"/>
      <c r="U765" s="9"/>
      <c r="V765" s="9"/>
      <c r="W765" s="9"/>
      <c r="X765" s="9"/>
      <c r="Y765" s="9"/>
      <c r="Z765" s="9"/>
      <c r="AA765" s="9"/>
      <c r="AB765" s="9"/>
      <c r="AC765" s="9"/>
      <c r="AD765" s="9"/>
      <c r="AE765" s="9"/>
      <c r="AF765" s="9"/>
    </row>
    <row r="766">
      <c r="A766" s="9"/>
      <c r="B766" s="9"/>
      <c r="C766" s="9"/>
      <c r="D766" s="9"/>
      <c r="E766" s="9"/>
      <c r="F766" s="9"/>
      <c r="G766" s="9"/>
      <c r="H766" s="9"/>
      <c r="I766" s="9"/>
      <c r="J766" s="9"/>
      <c r="K766" s="9"/>
      <c r="L766" s="9"/>
      <c r="M766" s="9"/>
      <c r="N766" s="9"/>
      <c r="O766" s="9"/>
      <c r="P766" s="9"/>
      <c r="Q766" s="9"/>
      <c r="R766" s="9"/>
      <c r="S766" s="9"/>
      <c r="T766" s="9"/>
      <c r="U766" s="9"/>
      <c r="V766" s="9"/>
      <c r="W766" s="9"/>
      <c r="X766" s="9"/>
      <c r="Y766" s="9"/>
      <c r="Z766" s="9"/>
      <c r="AA766" s="9"/>
      <c r="AB766" s="9"/>
      <c r="AC766" s="9"/>
      <c r="AD766" s="9"/>
      <c r="AE766" s="9"/>
      <c r="AF766" s="9"/>
    </row>
    <row r="767">
      <c r="A767" s="9"/>
      <c r="B767" s="9"/>
      <c r="C767" s="9"/>
      <c r="D767" s="9"/>
      <c r="E767" s="9"/>
      <c r="F767" s="9"/>
      <c r="G767" s="9"/>
      <c r="H767" s="9"/>
      <c r="I767" s="9"/>
      <c r="J767" s="9"/>
      <c r="K767" s="9"/>
      <c r="L767" s="9"/>
      <c r="M767" s="9"/>
      <c r="N767" s="9"/>
      <c r="O767" s="9"/>
      <c r="P767" s="9"/>
      <c r="Q767" s="9"/>
      <c r="R767" s="9"/>
      <c r="S767" s="9"/>
      <c r="T767" s="9"/>
      <c r="U767" s="9"/>
      <c r="V767" s="9"/>
      <c r="W767" s="9"/>
      <c r="X767" s="9"/>
      <c r="Y767" s="9"/>
      <c r="Z767" s="9"/>
      <c r="AA767" s="9"/>
      <c r="AB767" s="9"/>
      <c r="AC767" s="9"/>
      <c r="AD767" s="9"/>
      <c r="AE767" s="9"/>
      <c r="AF767" s="9"/>
    </row>
    <row r="768">
      <c r="A768" s="9"/>
      <c r="B768" s="9"/>
      <c r="C768" s="9"/>
      <c r="D768" s="9"/>
      <c r="E768" s="9"/>
      <c r="F768" s="9"/>
      <c r="G768" s="9"/>
      <c r="H768" s="9"/>
      <c r="I768" s="9"/>
      <c r="J768" s="9"/>
      <c r="K768" s="9"/>
      <c r="L768" s="9"/>
      <c r="M768" s="9"/>
      <c r="N768" s="9"/>
      <c r="O768" s="9"/>
      <c r="P768" s="9"/>
      <c r="Q768" s="9"/>
      <c r="R768" s="9"/>
      <c r="S768" s="9"/>
      <c r="T768" s="9"/>
      <c r="U768" s="9"/>
      <c r="V768" s="9"/>
      <c r="W768" s="9"/>
      <c r="X768" s="9"/>
      <c r="Y768" s="9"/>
      <c r="Z768" s="9"/>
      <c r="AA768" s="9"/>
      <c r="AB768" s="9"/>
      <c r="AC768" s="9"/>
      <c r="AD768" s="9"/>
      <c r="AE768" s="9"/>
      <c r="AF768" s="9"/>
    </row>
    <row r="769">
      <c r="A769" s="9"/>
      <c r="B769" s="9"/>
      <c r="C769" s="9"/>
      <c r="D769" s="9"/>
      <c r="E769" s="9"/>
      <c r="F769" s="9"/>
      <c r="G769" s="9"/>
      <c r="H769" s="9"/>
      <c r="I769" s="9"/>
      <c r="J769" s="9"/>
      <c r="K769" s="9"/>
      <c r="L769" s="9"/>
      <c r="M769" s="9"/>
      <c r="N769" s="9"/>
      <c r="O769" s="9"/>
      <c r="P769" s="9"/>
      <c r="Q769" s="9"/>
      <c r="R769" s="9"/>
      <c r="S769" s="9"/>
      <c r="T769" s="9"/>
      <c r="U769" s="9"/>
      <c r="V769" s="9"/>
      <c r="W769" s="9"/>
      <c r="X769" s="9"/>
      <c r="Y769" s="9"/>
      <c r="Z769" s="9"/>
      <c r="AA769" s="9"/>
      <c r="AB769" s="9"/>
      <c r="AC769" s="9"/>
      <c r="AD769" s="9"/>
      <c r="AE769" s="9"/>
      <c r="AF769" s="9"/>
    </row>
    <row r="770">
      <c r="A770" s="9"/>
      <c r="B770" s="9"/>
      <c r="C770" s="9"/>
      <c r="D770" s="9"/>
      <c r="E770" s="9"/>
      <c r="F770" s="9"/>
      <c r="G770" s="9"/>
      <c r="H770" s="9"/>
      <c r="I770" s="9"/>
      <c r="J770" s="9"/>
      <c r="K770" s="9"/>
      <c r="L770" s="9"/>
      <c r="M770" s="9"/>
      <c r="N770" s="9"/>
      <c r="O770" s="9"/>
      <c r="P770" s="9"/>
      <c r="Q770" s="9"/>
      <c r="R770" s="9"/>
      <c r="S770" s="9"/>
      <c r="T770" s="9"/>
      <c r="U770" s="9"/>
      <c r="V770" s="9"/>
      <c r="W770" s="9"/>
      <c r="X770" s="9"/>
      <c r="Y770" s="9"/>
      <c r="Z770" s="9"/>
      <c r="AA770" s="9"/>
      <c r="AB770" s="9"/>
      <c r="AC770" s="9"/>
      <c r="AD770" s="9"/>
      <c r="AE770" s="9"/>
      <c r="AF770" s="9"/>
    </row>
    <row r="771">
      <c r="A771" s="9"/>
      <c r="B771" s="9"/>
      <c r="C771" s="9"/>
      <c r="D771" s="9"/>
      <c r="E771" s="9"/>
      <c r="F771" s="9"/>
      <c r="G771" s="9"/>
      <c r="H771" s="9"/>
      <c r="I771" s="9"/>
      <c r="J771" s="9"/>
      <c r="K771" s="9"/>
      <c r="L771" s="9"/>
      <c r="M771" s="9"/>
      <c r="N771" s="9"/>
      <c r="O771" s="9"/>
      <c r="P771" s="9"/>
      <c r="Q771" s="9"/>
      <c r="R771" s="9"/>
      <c r="S771" s="9"/>
      <c r="T771" s="9"/>
      <c r="U771" s="9"/>
      <c r="V771" s="9"/>
      <c r="W771" s="9"/>
      <c r="X771" s="9"/>
      <c r="Y771" s="9"/>
      <c r="Z771" s="9"/>
      <c r="AA771" s="9"/>
      <c r="AB771" s="9"/>
      <c r="AC771" s="9"/>
      <c r="AD771" s="9"/>
      <c r="AE771" s="9"/>
      <c r="AF771" s="9"/>
    </row>
    <row r="772">
      <c r="A772" s="9"/>
      <c r="B772" s="9"/>
      <c r="C772" s="9"/>
      <c r="D772" s="9"/>
      <c r="E772" s="9"/>
      <c r="F772" s="9"/>
      <c r="G772" s="9"/>
      <c r="H772" s="9"/>
      <c r="I772" s="9"/>
      <c r="J772" s="9"/>
      <c r="K772" s="9"/>
      <c r="L772" s="9"/>
      <c r="M772" s="9"/>
      <c r="N772" s="9"/>
      <c r="O772" s="9"/>
      <c r="P772" s="9"/>
      <c r="Q772" s="9"/>
      <c r="R772" s="9"/>
      <c r="S772" s="9"/>
      <c r="T772" s="9"/>
      <c r="U772" s="9"/>
      <c r="V772" s="9"/>
      <c r="W772" s="9"/>
      <c r="X772" s="9"/>
      <c r="Y772" s="9"/>
      <c r="Z772" s="9"/>
      <c r="AA772" s="9"/>
      <c r="AB772" s="9"/>
      <c r="AC772" s="9"/>
      <c r="AD772" s="9"/>
      <c r="AE772" s="9"/>
      <c r="AF772" s="9"/>
    </row>
    <row r="773">
      <c r="A773" s="9"/>
      <c r="B773" s="9"/>
      <c r="C773" s="9"/>
      <c r="D773" s="9"/>
      <c r="E773" s="9"/>
      <c r="F773" s="9"/>
      <c r="G773" s="9"/>
      <c r="H773" s="9"/>
      <c r="I773" s="9"/>
      <c r="J773" s="9"/>
      <c r="K773" s="9"/>
      <c r="L773" s="9"/>
      <c r="M773" s="9"/>
      <c r="N773" s="9"/>
      <c r="O773" s="9"/>
      <c r="P773" s="9"/>
      <c r="Q773" s="9"/>
      <c r="R773" s="9"/>
      <c r="S773" s="9"/>
      <c r="T773" s="9"/>
      <c r="U773" s="9"/>
      <c r="V773" s="9"/>
      <c r="W773" s="9"/>
      <c r="X773" s="9"/>
      <c r="Y773" s="9"/>
      <c r="Z773" s="9"/>
      <c r="AA773" s="9"/>
      <c r="AB773" s="9"/>
      <c r="AC773" s="9"/>
      <c r="AD773" s="9"/>
      <c r="AE773" s="9"/>
      <c r="AF773" s="9"/>
    </row>
    <row r="774">
      <c r="A774" s="9"/>
      <c r="B774" s="9"/>
      <c r="C774" s="9"/>
      <c r="D774" s="9"/>
      <c r="E774" s="9"/>
      <c r="F774" s="9"/>
      <c r="G774" s="9"/>
      <c r="H774" s="9"/>
      <c r="I774" s="9"/>
      <c r="J774" s="9"/>
      <c r="K774" s="9"/>
      <c r="L774" s="9"/>
      <c r="M774" s="9"/>
      <c r="N774" s="9"/>
      <c r="O774" s="9"/>
      <c r="P774" s="9"/>
      <c r="Q774" s="9"/>
      <c r="R774" s="9"/>
      <c r="S774" s="9"/>
      <c r="T774" s="9"/>
      <c r="U774" s="9"/>
      <c r="V774" s="9"/>
      <c r="W774" s="9"/>
      <c r="X774" s="9"/>
      <c r="Y774" s="9"/>
      <c r="Z774" s="9"/>
      <c r="AA774" s="9"/>
      <c r="AB774" s="9"/>
      <c r="AC774" s="9"/>
      <c r="AD774" s="9"/>
      <c r="AE774" s="9"/>
      <c r="AF774" s="9"/>
    </row>
    <row r="775">
      <c r="A775" s="9"/>
      <c r="B775" s="9"/>
      <c r="C775" s="9"/>
      <c r="D775" s="9"/>
      <c r="E775" s="9"/>
      <c r="F775" s="9"/>
      <c r="G775" s="9"/>
      <c r="H775" s="9"/>
      <c r="I775" s="9"/>
      <c r="J775" s="9"/>
      <c r="K775" s="9"/>
      <c r="L775" s="9"/>
      <c r="M775" s="9"/>
      <c r="N775" s="9"/>
      <c r="O775" s="9"/>
      <c r="P775" s="9"/>
      <c r="Q775" s="9"/>
      <c r="R775" s="9"/>
      <c r="S775" s="9"/>
      <c r="T775" s="9"/>
      <c r="U775" s="9"/>
      <c r="V775" s="9"/>
      <c r="W775" s="9"/>
      <c r="X775" s="9"/>
      <c r="Y775" s="9"/>
      <c r="Z775" s="9"/>
      <c r="AA775" s="9"/>
      <c r="AB775" s="9"/>
      <c r="AC775" s="9"/>
      <c r="AD775" s="9"/>
      <c r="AE775" s="9"/>
      <c r="AF775" s="9"/>
    </row>
    <row r="776">
      <c r="A776" s="9"/>
      <c r="B776" s="9"/>
      <c r="C776" s="9"/>
      <c r="D776" s="9"/>
      <c r="E776" s="9"/>
      <c r="F776" s="9"/>
      <c r="G776" s="9"/>
      <c r="H776" s="9"/>
      <c r="I776" s="9"/>
      <c r="J776" s="9"/>
      <c r="K776" s="9"/>
      <c r="L776" s="9"/>
      <c r="M776" s="9"/>
      <c r="N776" s="9"/>
      <c r="O776" s="9"/>
      <c r="P776" s="9"/>
      <c r="Q776" s="9"/>
      <c r="R776" s="9"/>
      <c r="S776" s="9"/>
      <c r="T776" s="9"/>
      <c r="U776" s="9"/>
      <c r="V776" s="9"/>
      <c r="W776" s="9"/>
      <c r="X776" s="9"/>
      <c r="Y776" s="9"/>
      <c r="Z776" s="9"/>
      <c r="AA776" s="9"/>
      <c r="AB776" s="9"/>
      <c r="AC776" s="9"/>
      <c r="AD776" s="9"/>
      <c r="AE776" s="9"/>
      <c r="AF776" s="9"/>
    </row>
    <row r="777">
      <c r="A777" s="9"/>
      <c r="B777" s="9"/>
      <c r="C777" s="9"/>
      <c r="D777" s="9"/>
      <c r="E777" s="9"/>
      <c r="F777" s="9"/>
      <c r="G777" s="9"/>
      <c r="H777" s="9"/>
      <c r="I777" s="9"/>
      <c r="J777" s="9"/>
      <c r="K777" s="9"/>
      <c r="L777" s="9"/>
      <c r="M777" s="9"/>
      <c r="N777" s="9"/>
      <c r="O777" s="9"/>
      <c r="P777" s="9"/>
      <c r="Q777" s="9"/>
      <c r="R777" s="9"/>
      <c r="S777" s="9"/>
      <c r="T777" s="9"/>
      <c r="U777" s="9"/>
      <c r="V777" s="9"/>
      <c r="W777" s="9"/>
      <c r="X777" s="9"/>
      <c r="Y777" s="9"/>
      <c r="Z777" s="9"/>
      <c r="AA777" s="9"/>
      <c r="AB777" s="9"/>
      <c r="AC777" s="9"/>
      <c r="AD777" s="9"/>
      <c r="AE777" s="9"/>
      <c r="AF777" s="9"/>
    </row>
    <row r="778">
      <c r="A778" s="9"/>
      <c r="B778" s="9"/>
      <c r="C778" s="9"/>
      <c r="D778" s="9"/>
      <c r="E778" s="9"/>
      <c r="F778" s="9"/>
      <c r="G778" s="9"/>
      <c r="H778" s="9"/>
      <c r="I778" s="9"/>
      <c r="J778" s="9"/>
      <c r="K778" s="9"/>
      <c r="L778" s="9"/>
      <c r="M778" s="9"/>
      <c r="N778" s="9"/>
      <c r="O778" s="9"/>
      <c r="P778" s="9"/>
      <c r="Q778" s="9"/>
      <c r="R778" s="9"/>
      <c r="S778" s="9"/>
      <c r="T778" s="9"/>
      <c r="U778" s="9"/>
      <c r="V778" s="9"/>
      <c r="W778" s="9"/>
      <c r="X778" s="9"/>
      <c r="Y778" s="9"/>
      <c r="Z778" s="9"/>
      <c r="AA778" s="9"/>
      <c r="AB778" s="9"/>
      <c r="AC778" s="9"/>
      <c r="AD778" s="9"/>
      <c r="AE778" s="9"/>
      <c r="AF778" s="9"/>
    </row>
    <row r="779">
      <c r="A779" s="9"/>
      <c r="B779" s="9"/>
      <c r="C779" s="9"/>
      <c r="D779" s="9"/>
      <c r="E779" s="9"/>
      <c r="F779" s="9"/>
      <c r="G779" s="9"/>
      <c r="H779" s="9"/>
      <c r="I779" s="9"/>
      <c r="J779" s="9"/>
      <c r="K779" s="9"/>
      <c r="L779" s="9"/>
      <c r="M779" s="9"/>
      <c r="N779" s="9"/>
      <c r="O779" s="9"/>
      <c r="P779" s="9"/>
      <c r="Q779" s="9"/>
      <c r="R779" s="9"/>
      <c r="S779" s="9"/>
      <c r="T779" s="9"/>
      <c r="U779" s="9"/>
      <c r="V779" s="9"/>
      <c r="W779" s="9"/>
      <c r="X779" s="9"/>
      <c r="Y779" s="9"/>
      <c r="Z779" s="9"/>
      <c r="AA779" s="9"/>
      <c r="AB779" s="9"/>
      <c r="AC779" s="9"/>
      <c r="AD779" s="9"/>
      <c r="AE779" s="9"/>
      <c r="AF779" s="9"/>
    </row>
    <row r="780">
      <c r="A780" s="9"/>
      <c r="B780" s="9"/>
      <c r="C780" s="9"/>
      <c r="D780" s="9"/>
      <c r="E780" s="9"/>
      <c r="F780" s="9"/>
      <c r="G780" s="9"/>
      <c r="H780" s="9"/>
      <c r="I780" s="9"/>
      <c r="J780" s="9"/>
      <c r="K780" s="9"/>
      <c r="L780" s="9"/>
      <c r="M780" s="9"/>
      <c r="N780" s="9"/>
      <c r="O780" s="9"/>
      <c r="P780" s="9"/>
      <c r="Q780" s="9"/>
      <c r="R780" s="9"/>
      <c r="S780" s="9"/>
      <c r="T780" s="9"/>
      <c r="U780" s="9"/>
      <c r="V780" s="9"/>
      <c r="W780" s="9"/>
      <c r="X780" s="9"/>
      <c r="Y780" s="9"/>
      <c r="Z780" s="9"/>
      <c r="AA780" s="9"/>
      <c r="AB780" s="9"/>
      <c r="AC780" s="9"/>
      <c r="AD780" s="9"/>
      <c r="AE780" s="9"/>
      <c r="AF780" s="9"/>
    </row>
    <row r="781">
      <c r="A781" s="9"/>
      <c r="B781" s="9"/>
      <c r="C781" s="9"/>
      <c r="D781" s="9"/>
      <c r="E781" s="9"/>
      <c r="F781" s="9"/>
      <c r="G781" s="9"/>
      <c r="H781" s="9"/>
      <c r="I781" s="9"/>
      <c r="J781" s="9"/>
      <c r="K781" s="9"/>
      <c r="L781" s="9"/>
      <c r="M781" s="9"/>
      <c r="N781" s="9"/>
      <c r="O781" s="9"/>
      <c r="P781" s="9"/>
      <c r="Q781" s="9"/>
      <c r="R781" s="9"/>
      <c r="S781" s="9"/>
      <c r="T781" s="9"/>
      <c r="U781" s="9"/>
      <c r="V781" s="9"/>
      <c r="W781" s="9"/>
      <c r="X781" s="9"/>
      <c r="Y781" s="9"/>
      <c r="Z781" s="9"/>
      <c r="AA781" s="9"/>
      <c r="AB781" s="9"/>
      <c r="AC781" s="9"/>
      <c r="AD781" s="9"/>
      <c r="AE781" s="9"/>
      <c r="AF781" s="9"/>
    </row>
    <row r="782">
      <c r="A782" s="9"/>
      <c r="B782" s="9"/>
      <c r="C782" s="9"/>
      <c r="D782" s="9"/>
      <c r="E782" s="9"/>
      <c r="F782" s="9"/>
      <c r="G782" s="9"/>
      <c r="H782" s="9"/>
      <c r="I782" s="9"/>
      <c r="J782" s="9"/>
      <c r="K782" s="9"/>
      <c r="L782" s="9"/>
      <c r="M782" s="9"/>
      <c r="N782" s="9"/>
      <c r="O782" s="9"/>
      <c r="P782" s="9"/>
      <c r="Q782" s="9"/>
      <c r="R782" s="9"/>
      <c r="S782" s="9"/>
      <c r="T782" s="9"/>
      <c r="U782" s="9"/>
      <c r="V782" s="9"/>
      <c r="W782" s="9"/>
      <c r="X782" s="9"/>
      <c r="Y782" s="9"/>
      <c r="Z782" s="9"/>
      <c r="AA782" s="9"/>
      <c r="AB782" s="9"/>
      <c r="AC782" s="9"/>
      <c r="AD782" s="9"/>
      <c r="AE782" s="9"/>
      <c r="AF782" s="9"/>
    </row>
    <row r="783">
      <c r="A783" s="9"/>
      <c r="B783" s="9"/>
      <c r="C783" s="9"/>
      <c r="D783" s="9"/>
      <c r="E783" s="9"/>
      <c r="F783" s="9"/>
      <c r="G783" s="9"/>
      <c r="H783" s="9"/>
      <c r="I783" s="9"/>
      <c r="J783" s="9"/>
      <c r="K783" s="9"/>
      <c r="L783" s="9"/>
      <c r="M783" s="9"/>
      <c r="N783" s="9"/>
      <c r="O783" s="9"/>
      <c r="P783" s="9"/>
      <c r="Q783" s="9"/>
      <c r="R783" s="9"/>
      <c r="S783" s="9"/>
      <c r="T783" s="9"/>
      <c r="U783" s="9"/>
      <c r="V783" s="9"/>
      <c r="W783" s="9"/>
      <c r="X783" s="9"/>
      <c r="Y783" s="9"/>
      <c r="Z783" s="9"/>
      <c r="AA783" s="9"/>
      <c r="AB783" s="9"/>
      <c r="AC783" s="9"/>
      <c r="AD783" s="9"/>
      <c r="AE783" s="9"/>
      <c r="AF783" s="9"/>
    </row>
    <row r="784">
      <c r="A784" s="9"/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s="9"/>
      <c r="N784" s="9"/>
      <c r="O784" s="9"/>
      <c r="P784" s="9"/>
      <c r="Q784" s="9"/>
      <c r="R784" s="9"/>
      <c r="S784" s="9"/>
      <c r="T784" s="9"/>
      <c r="U784" s="9"/>
      <c r="V784" s="9"/>
      <c r="W784" s="9"/>
      <c r="X784" s="9"/>
      <c r="Y784" s="9"/>
      <c r="Z784" s="9"/>
      <c r="AA784" s="9"/>
      <c r="AB784" s="9"/>
      <c r="AC784" s="9"/>
      <c r="AD784" s="9"/>
      <c r="AE784" s="9"/>
      <c r="AF784" s="9"/>
    </row>
    <row r="785">
      <c r="A785" s="9"/>
      <c r="B785" s="9"/>
      <c r="C785" s="9"/>
      <c r="D785" s="9"/>
      <c r="E785" s="9"/>
      <c r="F785" s="9"/>
      <c r="G785" s="9"/>
      <c r="H785" s="9"/>
      <c r="I785" s="9"/>
      <c r="J785" s="9"/>
      <c r="K785" s="9"/>
      <c r="L785" s="9"/>
      <c r="M785" s="9"/>
      <c r="N785" s="9"/>
      <c r="O785" s="9"/>
      <c r="P785" s="9"/>
      <c r="Q785" s="9"/>
      <c r="R785" s="9"/>
      <c r="S785" s="9"/>
      <c r="T785" s="9"/>
      <c r="U785" s="9"/>
      <c r="V785" s="9"/>
      <c r="W785" s="9"/>
      <c r="X785" s="9"/>
      <c r="Y785" s="9"/>
      <c r="Z785" s="9"/>
      <c r="AA785" s="9"/>
      <c r="AB785" s="9"/>
      <c r="AC785" s="9"/>
      <c r="AD785" s="9"/>
      <c r="AE785" s="9"/>
      <c r="AF785" s="9"/>
    </row>
    <row r="786">
      <c r="A786" s="9"/>
      <c r="B786" s="9"/>
      <c r="C786" s="9"/>
      <c r="D786" s="9"/>
      <c r="E786" s="9"/>
      <c r="F786" s="9"/>
      <c r="G786" s="9"/>
      <c r="H786" s="9"/>
      <c r="I786" s="9"/>
      <c r="J786" s="9"/>
      <c r="K786" s="9"/>
      <c r="L786" s="9"/>
      <c r="M786" s="9"/>
      <c r="N786" s="9"/>
      <c r="O786" s="9"/>
      <c r="P786" s="9"/>
      <c r="Q786" s="9"/>
      <c r="R786" s="9"/>
      <c r="S786" s="9"/>
      <c r="T786" s="9"/>
      <c r="U786" s="9"/>
      <c r="V786" s="9"/>
      <c r="W786" s="9"/>
      <c r="X786" s="9"/>
      <c r="Y786" s="9"/>
      <c r="Z786" s="9"/>
      <c r="AA786" s="9"/>
      <c r="AB786" s="9"/>
      <c r="AC786" s="9"/>
      <c r="AD786" s="9"/>
      <c r="AE786" s="9"/>
      <c r="AF786" s="9"/>
    </row>
    <row r="787">
      <c r="A787" s="9"/>
      <c r="B787" s="9"/>
      <c r="C787" s="9"/>
      <c r="D787" s="9"/>
      <c r="E787" s="9"/>
      <c r="F787" s="9"/>
      <c r="G787" s="9"/>
      <c r="H787" s="9"/>
      <c r="I787" s="9"/>
      <c r="J787" s="9"/>
      <c r="K787" s="9"/>
      <c r="L787" s="9"/>
      <c r="M787" s="9"/>
      <c r="N787" s="9"/>
      <c r="O787" s="9"/>
      <c r="P787" s="9"/>
      <c r="Q787" s="9"/>
      <c r="R787" s="9"/>
      <c r="S787" s="9"/>
      <c r="T787" s="9"/>
      <c r="U787" s="9"/>
      <c r="V787" s="9"/>
      <c r="W787" s="9"/>
      <c r="X787" s="9"/>
      <c r="Y787" s="9"/>
      <c r="Z787" s="9"/>
      <c r="AA787" s="9"/>
      <c r="AB787" s="9"/>
      <c r="AC787" s="9"/>
      <c r="AD787" s="9"/>
      <c r="AE787" s="9"/>
      <c r="AF787" s="9"/>
    </row>
    <row r="788">
      <c r="A788" s="9"/>
      <c r="B788" s="9"/>
      <c r="C788" s="9"/>
      <c r="D788" s="9"/>
      <c r="E788" s="9"/>
      <c r="F788" s="9"/>
      <c r="G788" s="9"/>
      <c r="H788" s="9"/>
      <c r="I788" s="9"/>
      <c r="J788" s="9"/>
      <c r="K788" s="9"/>
      <c r="L788" s="9"/>
      <c r="M788" s="9"/>
      <c r="N788" s="9"/>
      <c r="O788" s="9"/>
      <c r="P788" s="9"/>
      <c r="Q788" s="9"/>
      <c r="R788" s="9"/>
      <c r="S788" s="9"/>
      <c r="T788" s="9"/>
      <c r="U788" s="9"/>
      <c r="V788" s="9"/>
      <c r="W788" s="9"/>
      <c r="X788" s="9"/>
      <c r="Y788" s="9"/>
      <c r="Z788" s="9"/>
      <c r="AA788" s="9"/>
      <c r="AB788" s="9"/>
      <c r="AC788" s="9"/>
      <c r="AD788" s="9"/>
      <c r="AE788" s="9"/>
      <c r="AF788" s="9"/>
    </row>
    <row r="789">
      <c r="A789" s="9"/>
      <c r="B789" s="9"/>
      <c r="C789" s="9"/>
      <c r="D789" s="9"/>
      <c r="E789" s="9"/>
      <c r="F789" s="9"/>
      <c r="G789" s="9"/>
      <c r="H789" s="9"/>
      <c r="I789" s="9"/>
      <c r="J789" s="9"/>
      <c r="K789" s="9"/>
      <c r="L789" s="9"/>
      <c r="M789" s="9"/>
      <c r="N789" s="9"/>
      <c r="O789" s="9"/>
      <c r="P789" s="9"/>
      <c r="Q789" s="9"/>
      <c r="R789" s="9"/>
      <c r="S789" s="9"/>
      <c r="T789" s="9"/>
      <c r="U789" s="9"/>
      <c r="V789" s="9"/>
      <c r="W789" s="9"/>
      <c r="X789" s="9"/>
      <c r="Y789" s="9"/>
      <c r="Z789" s="9"/>
      <c r="AA789" s="9"/>
      <c r="AB789" s="9"/>
      <c r="AC789" s="9"/>
      <c r="AD789" s="9"/>
      <c r="AE789" s="9"/>
      <c r="AF789" s="9"/>
    </row>
    <row r="790">
      <c r="A790" s="9"/>
      <c r="B790" s="9"/>
      <c r="C790" s="9"/>
      <c r="D790" s="9"/>
      <c r="E790" s="9"/>
      <c r="F790" s="9"/>
      <c r="G790" s="9"/>
      <c r="H790" s="9"/>
      <c r="I790" s="9"/>
      <c r="J790" s="9"/>
      <c r="K790" s="9"/>
      <c r="L790" s="9"/>
      <c r="M790" s="9"/>
      <c r="N790" s="9"/>
      <c r="O790" s="9"/>
      <c r="P790" s="9"/>
      <c r="Q790" s="9"/>
      <c r="R790" s="9"/>
      <c r="S790" s="9"/>
      <c r="T790" s="9"/>
      <c r="U790" s="9"/>
      <c r="V790" s="9"/>
      <c r="W790" s="9"/>
      <c r="X790" s="9"/>
      <c r="Y790" s="9"/>
      <c r="Z790" s="9"/>
      <c r="AA790" s="9"/>
      <c r="AB790" s="9"/>
      <c r="AC790" s="9"/>
      <c r="AD790" s="9"/>
      <c r="AE790" s="9"/>
      <c r="AF790" s="9"/>
    </row>
    <row r="791">
      <c r="A791" s="9"/>
      <c r="B791" s="9"/>
      <c r="C791" s="9"/>
      <c r="D791" s="9"/>
      <c r="E791" s="9"/>
      <c r="F791" s="9"/>
      <c r="G791" s="9"/>
      <c r="H791" s="9"/>
      <c r="I791" s="9"/>
      <c r="J791" s="9"/>
      <c r="K791" s="9"/>
      <c r="L791" s="9"/>
      <c r="M791" s="9"/>
      <c r="N791" s="9"/>
      <c r="O791" s="9"/>
      <c r="P791" s="9"/>
      <c r="Q791" s="9"/>
      <c r="R791" s="9"/>
      <c r="S791" s="9"/>
      <c r="T791" s="9"/>
      <c r="U791" s="9"/>
      <c r="V791" s="9"/>
      <c r="W791" s="9"/>
      <c r="X791" s="9"/>
      <c r="Y791" s="9"/>
      <c r="Z791" s="9"/>
      <c r="AA791" s="9"/>
      <c r="AB791" s="9"/>
      <c r="AC791" s="9"/>
      <c r="AD791" s="9"/>
      <c r="AE791" s="9"/>
      <c r="AF791" s="9"/>
    </row>
    <row r="792">
      <c r="A792" s="9"/>
      <c r="B792" s="9"/>
      <c r="C792" s="9"/>
      <c r="D792" s="9"/>
      <c r="E792" s="9"/>
      <c r="F792" s="9"/>
      <c r="G792" s="9"/>
      <c r="H792" s="9"/>
      <c r="I792" s="9"/>
      <c r="J792" s="9"/>
      <c r="K792" s="9"/>
      <c r="L792" s="9"/>
      <c r="M792" s="9"/>
      <c r="N792" s="9"/>
      <c r="O792" s="9"/>
      <c r="P792" s="9"/>
      <c r="Q792" s="9"/>
      <c r="R792" s="9"/>
      <c r="S792" s="9"/>
      <c r="T792" s="9"/>
      <c r="U792" s="9"/>
      <c r="V792" s="9"/>
      <c r="W792" s="9"/>
      <c r="X792" s="9"/>
      <c r="Y792" s="9"/>
      <c r="Z792" s="9"/>
      <c r="AA792" s="9"/>
      <c r="AB792" s="9"/>
      <c r="AC792" s="9"/>
      <c r="AD792" s="9"/>
      <c r="AE792" s="9"/>
      <c r="AF792" s="9"/>
    </row>
    <row r="793">
      <c r="A793" s="9"/>
      <c r="B793" s="9"/>
      <c r="C793" s="9"/>
      <c r="D793" s="9"/>
      <c r="E793" s="9"/>
      <c r="F793" s="9"/>
      <c r="G793" s="9"/>
      <c r="H793" s="9"/>
      <c r="I793" s="9"/>
      <c r="J793" s="9"/>
      <c r="K793" s="9"/>
      <c r="L793" s="9"/>
      <c r="M793" s="9"/>
      <c r="N793" s="9"/>
      <c r="O793" s="9"/>
      <c r="P793" s="9"/>
      <c r="Q793" s="9"/>
      <c r="R793" s="9"/>
      <c r="S793" s="9"/>
      <c r="T793" s="9"/>
      <c r="U793" s="9"/>
      <c r="V793" s="9"/>
      <c r="W793" s="9"/>
      <c r="X793" s="9"/>
      <c r="Y793" s="9"/>
      <c r="Z793" s="9"/>
      <c r="AA793" s="9"/>
      <c r="AB793" s="9"/>
      <c r="AC793" s="9"/>
      <c r="AD793" s="9"/>
      <c r="AE793" s="9"/>
      <c r="AF793" s="9"/>
    </row>
    <row r="794">
      <c r="A794" s="9"/>
      <c r="B794" s="9"/>
      <c r="C794" s="9"/>
      <c r="D794" s="9"/>
      <c r="E794" s="9"/>
      <c r="F794" s="9"/>
      <c r="G794" s="9"/>
      <c r="H794" s="9"/>
      <c r="I794" s="9"/>
      <c r="J794" s="9"/>
      <c r="K794" s="9"/>
      <c r="L794" s="9"/>
      <c r="M794" s="9"/>
      <c r="N794" s="9"/>
      <c r="O794" s="9"/>
      <c r="P794" s="9"/>
      <c r="Q794" s="9"/>
      <c r="R794" s="9"/>
      <c r="S794" s="9"/>
      <c r="T794" s="9"/>
      <c r="U794" s="9"/>
      <c r="V794" s="9"/>
      <c r="W794" s="9"/>
      <c r="X794" s="9"/>
      <c r="Y794" s="9"/>
      <c r="Z794" s="9"/>
      <c r="AA794" s="9"/>
      <c r="AB794" s="9"/>
      <c r="AC794" s="9"/>
      <c r="AD794" s="9"/>
      <c r="AE794" s="9"/>
      <c r="AF794" s="9"/>
    </row>
    <row r="795">
      <c r="A795" s="9"/>
      <c r="B795" s="9"/>
      <c r="C795" s="9"/>
      <c r="D795" s="9"/>
      <c r="E795" s="9"/>
      <c r="F795" s="9"/>
      <c r="G795" s="9"/>
      <c r="H795" s="9"/>
      <c r="I795" s="9"/>
      <c r="J795" s="9"/>
      <c r="K795" s="9"/>
      <c r="L795" s="9"/>
      <c r="M795" s="9"/>
      <c r="N795" s="9"/>
      <c r="O795" s="9"/>
      <c r="P795" s="9"/>
      <c r="Q795" s="9"/>
      <c r="R795" s="9"/>
      <c r="S795" s="9"/>
      <c r="T795" s="9"/>
      <c r="U795" s="9"/>
      <c r="V795" s="9"/>
      <c r="W795" s="9"/>
      <c r="X795" s="9"/>
      <c r="Y795" s="9"/>
      <c r="Z795" s="9"/>
      <c r="AA795" s="9"/>
      <c r="AB795" s="9"/>
      <c r="AC795" s="9"/>
      <c r="AD795" s="9"/>
      <c r="AE795" s="9"/>
      <c r="AF795" s="9"/>
    </row>
    <row r="796">
      <c r="A796" s="9"/>
      <c r="B796" s="9"/>
      <c r="C796" s="9"/>
      <c r="D796" s="9"/>
      <c r="E796" s="9"/>
      <c r="F796" s="9"/>
      <c r="G796" s="9"/>
      <c r="H796" s="9"/>
      <c r="I796" s="9"/>
      <c r="J796" s="9"/>
      <c r="K796" s="9"/>
      <c r="L796" s="9"/>
      <c r="M796" s="9"/>
      <c r="N796" s="9"/>
      <c r="O796" s="9"/>
      <c r="P796" s="9"/>
      <c r="Q796" s="9"/>
      <c r="R796" s="9"/>
      <c r="S796" s="9"/>
      <c r="T796" s="9"/>
      <c r="U796" s="9"/>
      <c r="V796" s="9"/>
      <c r="W796" s="9"/>
      <c r="X796" s="9"/>
      <c r="Y796" s="9"/>
      <c r="Z796" s="9"/>
      <c r="AA796" s="9"/>
      <c r="AB796" s="9"/>
      <c r="AC796" s="9"/>
      <c r="AD796" s="9"/>
      <c r="AE796" s="9"/>
      <c r="AF796" s="9"/>
    </row>
    <row r="797">
      <c r="A797" s="9"/>
      <c r="B797" s="9"/>
      <c r="C797" s="9"/>
      <c r="D797" s="9"/>
      <c r="E797" s="9"/>
      <c r="F797" s="9"/>
      <c r="G797" s="9"/>
      <c r="H797" s="9"/>
      <c r="I797" s="9"/>
      <c r="J797" s="9"/>
      <c r="K797" s="9"/>
      <c r="L797" s="9"/>
      <c r="M797" s="9"/>
      <c r="N797" s="9"/>
      <c r="O797" s="9"/>
      <c r="P797" s="9"/>
      <c r="Q797" s="9"/>
      <c r="R797" s="9"/>
      <c r="S797" s="9"/>
      <c r="T797" s="9"/>
      <c r="U797" s="9"/>
      <c r="V797" s="9"/>
      <c r="W797" s="9"/>
      <c r="X797" s="9"/>
      <c r="Y797" s="9"/>
      <c r="Z797" s="9"/>
      <c r="AA797" s="9"/>
      <c r="AB797" s="9"/>
      <c r="AC797" s="9"/>
      <c r="AD797" s="9"/>
      <c r="AE797" s="9"/>
      <c r="AF797" s="9"/>
    </row>
    <row r="798">
      <c r="A798" s="9"/>
      <c r="B798" s="9"/>
      <c r="C798" s="9"/>
      <c r="D798" s="9"/>
      <c r="E798" s="9"/>
      <c r="F798" s="9"/>
      <c r="G798" s="9"/>
      <c r="H798" s="9"/>
      <c r="I798" s="9"/>
      <c r="J798" s="9"/>
      <c r="K798" s="9"/>
      <c r="L798" s="9"/>
      <c r="M798" s="9"/>
      <c r="N798" s="9"/>
      <c r="O798" s="9"/>
      <c r="P798" s="9"/>
      <c r="Q798" s="9"/>
      <c r="R798" s="9"/>
      <c r="S798" s="9"/>
      <c r="T798" s="9"/>
      <c r="U798" s="9"/>
      <c r="V798" s="9"/>
      <c r="W798" s="9"/>
      <c r="X798" s="9"/>
      <c r="Y798" s="9"/>
      <c r="Z798" s="9"/>
      <c r="AA798" s="9"/>
      <c r="AB798" s="9"/>
      <c r="AC798" s="9"/>
      <c r="AD798" s="9"/>
      <c r="AE798" s="9"/>
      <c r="AF798" s="9"/>
    </row>
    <row r="799">
      <c r="A799" s="9"/>
      <c r="B799" s="9"/>
      <c r="C799" s="9"/>
      <c r="D799" s="9"/>
      <c r="E799" s="9"/>
      <c r="F799" s="9"/>
      <c r="G799" s="9"/>
      <c r="H799" s="9"/>
      <c r="I799" s="9"/>
      <c r="J799" s="9"/>
      <c r="K799" s="9"/>
      <c r="L799" s="9"/>
      <c r="M799" s="9"/>
      <c r="N799" s="9"/>
      <c r="O799" s="9"/>
      <c r="P799" s="9"/>
      <c r="Q799" s="9"/>
      <c r="R799" s="9"/>
      <c r="S799" s="9"/>
      <c r="T799" s="9"/>
      <c r="U799" s="9"/>
      <c r="V799" s="9"/>
      <c r="W799" s="9"/>
      <c r="X799" s="9"/>
      <c r="Y799" s="9"/>
      <c r="Z799" s="9"/>
      <c r="AA799" s="9"/>
      <c r="AB799" s="9"/>
      <c r="AC799" s="9"/>
      <c r="AD799" s="9"/>
      <c r="AE799" s="9"/>
      <c r="AF799" s="9"/>
    </row>
    <row r="800">
      <c r="A800" s="9"/>
      <c r="B800" s="9"/>
      <c r="C800" s="9"/>
      <c r="D800" s="9"/>
      <c r="E800" s="9"/>
      <c r="F800" s="9"/>
      <c r="G800" s="9"/>
      <c r="H800" s="9"/>
      <c r="I800" s="9"/>
      <c r="J800" s="9"/>
      <c r="K800" s="9"/>
      <c r="L800" s="9"/>
      <c r="M800" s="9"/>
      <c r="N800" s="9"/>
      <c r="O800" s="9"/>
      <c r="P800" s="9"/>
      <c r="Q800" s="9"/>
      <c r="R800" s="9"/>
      <c r="S800" s="9"/>
      <c r="T800" s="9"/>
      <c r="U800" s="9"/>
      <c r="V800" s="9"/>
      <c r="W800" s="9"/>
      <c r="X800" s="9"/>
      <c r="Y800" s="9"/>
      <c r="Z800" s="9"/>
      <c r="AA800" s="9"/>
      <c r="AB800" s="9"/>
      <c r="AC800" s="9"/>
      <c r="AD800" s="9"/>
      <c r="AE800" s="9"/>
      <c r="AF800" s="9"/>
    </row>
    <row r="801">
      <c r="A801" s="9"/>
      <c r="B801" s="9"/>
      <c r="C801" s="9"/>
      <c r="D801" s="9"/>
      <c r="E801" s="9"/>
      <c r="F801" s="9"/>
      <c r="G801" s="9"/>
      <c r="H801" s="9"/>
      <c r="I801" s="9"/>
      <c r="J801" s="9"/>
      <c r="K801" s="9"/>
      <c r="L801" s="9"/>
      <c r="M801" s="9"/>
      <c r="N801" s="9"/>
      <c r="O801" s="9"/>
      <c r="P801" s="9"/>
      <c r="Q801" s="9"/>
      <c r="R801" s="9"/>
      <c r="S801" s="9"/>
      <c r="T801" s="9"/>
      <c r="U801" s="9"/>
      <c r="V801" s="9"/>
      <c r="W801" s="9"/>
      <c r="X801" s="9"/>
      <c r="Y801" s="9"/>
      <c r="Z801" s="9"/>
      <c r="AA801" s="9"/>
      <c r="AB801" s="9"/>
      <c r="AC801" s="9"/>
      <c r="AD801" s="9"/>
      <c r="AE801" s="9"/>
      <c r="AF801" s="9"/>
    </row>
    <row r="802">
      <c r="A802" s="9"/>
      <c r="B802" s="9"/>
      <c r="C802" s="9"/>
      <c r="D802" s="9"/>
      <c r="E802" s="9"/>
      <c r="F802" s="9"/>
      <c r="G802" s="9"/>
      <c r="H802" s="9"/>
      <c r="I802" s="9"/>
      <c r="J802" s="9"/>
      <c r="K802" s="9"/>
      <c r="L802" s="9"/>
      <c r="M802" s="9"/>
      <c r="N802" s="9"/>
      <c r="O802" s="9"/>
      <c r="P802" s="9"/>
      <c r="Q802" s="9"/>
      <c r="R802" s="9"/>
      <c r="S802" s="9"/>
      <c r="T802" s="9"/>
      <c r="U802" s="9"/>
      <c r="V802" s="9"/>
      <c r="W802" s="9"/>
      <c r="X802" s="9"/>
      <c r="Y802" s="9"/>
      <c r="Z802" s="9"/>
      <c r="AA802" s="9"/>
      <c r="AB802" s="9"/>
      <c r="AC802" s="9"/>
      <c r="AD802" s="9"/>
      <c r="AE802" s="9"/>
      <c r="AF802" s="9"/>
    </row>
    <row r="803">
      <c r="A803" s="9"/>
      <c r="B803" s="9"/>
      <c r="C803" s="9"/>
      <c r="D803" s="9"/>
      <c r="E803" s="9"/>
      <c r="F803" s="9"/>
      <c r="G803" s="9"/>
      <c r="H803" s="9"/>
      <c r="I803" s="9"/>
      <c r="J803" s="9"/>
      <c r="K803" s="9"/>
      <c r="L803" s="9"/>
      <c r="M803" s="9"/>
      <c r="N803" s="9"/>
      <c r="O803" s="9"/>
      <c r="P803" s="9"/>
      <c r="Q803" s="9"/>
      <c r="R803" s="9"/>
      <c r="S803" s="9"/>
      <c r="T803" s="9"/>
      <c r="U803" s="9"/>
      <c r="V803" s="9"/>
      <c r="W803" s="9"/>
      <c r="X803" s="9"/>
      <c r="Y803" s="9"/>
      <c r="Z803" s="9"/>
      <c r="AA803" s="9"/>
      <c r="AB803" s="9"/>
      <c r="AC803" s="9"/>
      <c r="AD803" s="9"/>
      <c r="AE803" s="9"/>
      <c r="AF803" s="9"/>
    </row>
    <row r="804">
      <c r="A804" s="9"/>
      <c r="B804" s="9"/>
      <c r="C804" s="9"/>
      <c r="D804" s="9"/>
      <c r="E804" s="9"/>
      <c r="F804" s="9"/>
      <c r="G804" s="9"/>
      <c r="H804" s="9"/>
      <c r="I804" s="9"/>
      <c r="J804" s="9"/>
      <c r="K804" s="9"/>
      <c r="L804" s="9"/>
      <c r="M804" s="9"/>
      <c r="N804" s="9"/>
      <c r="O804" s="9"/>
      <c r="P804" s="9"/>
      <c r="Q804" s="9"/>
      <c r="R804" s="9"/>
      <c r="S804" s="9"/>
      <c r="T804" s="9"/>
      <c r="U804" s="9"/>
      <c r="V804" s="9"/>
      <c r="W804" s="9"/>
      <c r="X804" s="9"/>
      <c r="Y804" s="9"/>
      <c r="Z804" s="9"/>
      <c r="AA804" s="9"/>
      <c r="AB804" s="9"/>
      <c r="AC804" s="9"/>
      <c r="AD804" s="9"/>
      <c r="AE804" s="9"/>
      <c r="AF804" s="9"/>
    </row>
    <row r="805">
      <c r="A805" s="9"/>
      <c r="B805" s="9"/>
      <c r="C805" s="9"/>
      <c r="D805" s="9"/>
      <c r="E805" s="9"/>
      <c r="F805" s="9"/>
      <c r="G805" s="9"/>
      <c r="H805" s="9"/>
      <c r="I805" s="9"/>
      <c r="J805" s="9"/>
      <c r="K805" s="9"/>
      <c r="L805" s="9"/>
      <c r="M805" s="9"/>
      <c r="N805" s="9"/>
      <c r="O805" s="9"/>
      <c r="P805" s="9"/>
      <c r="Q805" s="9"/>
      <c r="R805" s="9"/>
      <c r="S805" s="9"/>
      <c r="T805" s="9"/>
      <c r="U805" s="9"/>
      <c r="V805" s="9"/>
      <c r="W805" s="9"/>
      <c r="X805" s="9"/>
      <c r="Y805" s="9"/>
      <c r="Z805" s="9"/>
      <c r="AA805" s="9"/>
      <c r="AB805" s="9"/>
      <c r="AC805" s="9"/>
      <c r="AD805" s="9"/>
      <c r="AE805" s="9"/>
      <c r="AF805" s="9"/>
    </row>
    <row r="806">
      <c r="A806" s="9"/>
      <c r="B806" s="9"/>
      <c r="C806" s="9"/>
      <c r="D806" s="9"/>
      <c r="E806" s="9"/>
      <c r="F806" s="9"/>
      <c r="G806" s="9"/>
      <c r="H806" s="9"/>
      <c r="I806" s="9"/>
      <c r="J806" s="9"/>
      <c r="K806" s="9"/>
      <c r="L806" s="9"/>
      <c r="M806" s="9"/>
      <c r="N806" s="9"/>
      <c r="O806" s="9"/>
      <c r="P806" s="9"/>
      <c r="Q806" s="9"/>
      <c r="R806" s="9"/>
      <c r="S806" s="9"/>
      <c r="T806" s="9"/>
      <c r="U806" s="9"/>
      <c r="V806" s="9"/>
      <c r="W806" s="9"/>
      <c r="X806" s="9"/>
      <c r="Y806" s="9"/>
      <c r="Z806" s="9"/>
      <c r="AA806" s="9"/>
      <c r="AB806" s="9"/>
      <c r="AC806" s="9"/>
      <c r="AD806" s="9"/>
      <c r="AE806" s="9"/>
      <c r="AF806" s="9"/>
    </row>
    <row r="807">
      <c r="A807" s="9"/>
      <c r="B807" s="9"/>
      <c r="C807" s="9"/>
      <c r="D807" s="9"/>
      <c r="E807" s="9"/>
      <c r="F807" s="9"/>
      <c r="G807" s="9"/>
      <c r="H807" s="9"/>
      <c r="I807" s="9"/>
      <c r="J807" s="9"/>
      <c r="K807" s="9"/>
      <c r="L807" s="9"/>
      <c r="M807" s="9"/>
      <c r="N807" s="9"/>
      <c r="O807" s="9"/>
      <c r="P807" s="9"/>
      <c r="Q807" s="9"/>
      <c r="R807" s="9"/>
      <c r="S807" s="9"/>
      <c r="T807" s="9"/>
      <c r="U807" s="9"/>
      <c r="V807" s="9"/>
      <c r="W807" s="9"/>
      <c r="X807" s="9"/>
      <c r="Y807" s="9"/>
      <c r="Z807" s="9"/>
      <c r="AA807" s="9"/>
      <c r="AB807" s="9"/>
      <c r="AC807" s="9"/>
      <c r="AD807" s="9"/>
      <c r="AE807" s="9"/>
      <c r="AF807" s="9"/>
    </row>
    <row r="808">
      <c r="A808" s="9"/>
      <c r="B808" s="9"/>
      <c r="C808" s="9"/>
      <c r="D808" s="9"/>
      <c r="E808" s="9"/>
      <c r="F808" s="9"/>
      <c r="G808" s="9"/>
      <c r="H808" s="9"/>
      <c r="I808" s="9"/>
      <c r="J808" s="9"/>
      <c r="K808" s="9"/>
      <c r="L808" s="9"/>
      <c r="M808" s="9"/>
      <c r="N808" s="9"/>
      <c r="O808" s="9"/>
      <c r="P808" s="9"/>
      <c r="Q808" s="9"/>
      <c r="R808" s="9"/>
      <c r="S808" s="9"/>
      <c r="T808" s="9"/>
      <c r="U808" s="9"/>
      <c r="V808" s="9"/>
      <c r="W808" s="9"/>
      <c r="X808" s="9"/>
      <c r="Y808" s="9"/>
      <c r="Z808" s="9"/>
      <c r="AA808" s="9"/>
      <c r="AB808" s="9"/>
      <c r="AC808" s="9"/>
      <c r="AD808" s="9"/>
      <c r="AE808" s="9"/>
      <c r="AF808" s="9"/>
    </row>
    <row r="809">
      <c r="A809" s="9"/>
      <c r="B809" s="9"/>
      <c r="C809" s="9"/>
      <c r="D809" s="9"/>
      <c r="E809" s="9"/>
      <c r="F809" s="9"/>
      <c r="G809" s="9"/>
      <c r="H809" s="9"/>
      <c r="I809" s="9"/>
      <c r="J809" s="9"/>
      <c r="K809" s="9"/>
      <c r="L809" s="9"/>
      <c r="M809" s="9"/>
      <c r="N809" s="9"/>
      <c r="O809" s="9"/>
      <c r="P809" s="9"/>
      <c r="Q809" s="9"/>
      <c r="R809" s="9"/>
      <c r="S809" s="9"/>
      <c r="T809" s="9"/>
      <c r="U809" s="9"/>
      <c r="V809" s="9"/>
      <c r="W809" s="9"/>
      <c r="X809" s="9"/>
      <c r="Y809" s="9"/>
      <c r="Z809" s="9"/>
      <c r="AA809" s="9"/>
      <c r="AB809" s="9"/>
      <c r="AC809" s="9"/>
      <c r="AD809" s="9"/>
      <c r="AE809" s="9"/>
      <c r="AF809" s="9"/>
    </row>
    <row r="810">
      <c r="A810" s="9"/>
      <c r="B810" s="9"/>
      <c r="C810" s="9"/>
      <c r="D810" s="9"/>
      <c r="E810" s="9"/>
      <c r="F810" s="9"/>
      <c r="G810" s="9"/>
      <c r="H810" s="9"/>
      <c r="I810" s="9"/>
      <c r="J810" s="9"/>
      <c r="K810" s="9"/>
      <c r="L810" s="9"/>
      <c r="M810" s="9"/>
      <c r="N810" s="9"/>
      <c r="O810" s="9"/>
      <c r="P810" s="9"/>
      <c r="Q810" s="9"/>
      <c r="R810" s="9"/>
      <c r="S810" s="9"/>
      <c r="T810" s="9"/>
      <c r="U810" s="9"/>
      <c r="V810" s="9"/>
      <c r="W810" s="9"/>
      <c r="X810" s="9"/>
      <c r="Y810" s="9"/>
      <c r="Z810" s="9"/>
      <c r="AA810" s="9"/>
      <c r="AB810" s="9"/>
      <c r="AC810" s="9"/>
      <c r="AD810" s="9"/>
      <c r="AE810" s="9"/>
      <c r="AF810" s="9"/>
    </row>
    <row r="811">
      <c r="A811" s="9"/>
      <c r="B811" s="9"/>
      <c r="C811" s="9"/>
      <c r="D811" s="9"/>
      <c r="E811" s="9"/>
      <c r="F811" s="9"/>
      <c r="G811" s="9"/>
      <c r="H811" s="9"/>
      <c r="I811" s="9"/>
      <c r="J811" s="9"/>
      <c r="K811" s="9"/>
      <c r="L811" s="9"/>
      <c r="M811" s="9"/>
      <c r="N811" s="9"/>
      <c r="O811" s="9"/>
      <c r="P811" s="9"/>
      <c r="Q811" s="9"/>
      <c r="R811" s="9"/>
      <c r="S811" s="9"/>
      <c r="T811" s="9"/>
      <c r="U811" s="9"/>
      <c r="V811" s="9"/>
      <c r="W811" s="9"/>
      <c r="X811" s="9"/>
      <c r="Y811" s="9"/>
      <c r="Z811" s="9"/>
      <c r="AA811" s="9"/>
      <c r="AB811" s="9"/>
      <c r="AC811" s="9"/>
      <c r="AD811" s="9"/>
      <c r="AE811" s="9"/>
      <c r="AF811" s="9"/>
    </row>
    <row r="812">
      <c r="A812" s="9"/>
      <c r="B812" s="9"/>
      <c r="C812" s="9"/>
      <c r="D812" s="9"/>
      <c r="E812" s="9"/>
      <c r="F812" s="9"/>
      <c r="G812" s="9"/>
      <c r="H812" s="9"/>
      <c r="I812" s="9"/>
      <c r="J812" s="9"/>
      <c r="K812" s="9"/>
      <c r="L812" s="9"/>
      <c r="M812" s="9"/>
      <c r="N812" s="9"/>
      <c r="O812" s="9"/>
      <c r="P812" s="9"/>
      <c r="Q812" s="9"/>
      <c r="R812" s="9"/>
      <c r="S812" s="9"/>
      <c r="T812" s="9"/>
      <c r="U812" s="9"/>
      <c r="V812" s="9"/>
      <c r="W812" s="9"/>
      <c r="X812" s="9"/>
      <c r="Y812" s="9"/>
      <c r="Z812" s="9"/>
      <c r="AA812" s="9"/>
      <c r="AB812" s="9"/>
      <c r="AC812" s="9"/>
      <c r="AD812" s="9"/>
      <c r="AE812" s="9"/>
      <c r="AF812" s="9"/>
    </row>
    <row r="813">
      <c r="A813" s="9"/>
      <c r="B813" s="9"/>
      <c r="C813" s="9"/>
      <c r="D813" s="9"/>
      <c r="E813" s="9"/>
      <c r="F813" s="9"/>
      <c r="G813" s="9"/>
      <c r="H813" s="9"/>
      <c r="I813" s="9"/>
      <c r="J813" s="9"/>
      <c r="K813" s="9"/>
      <c r="L813" s="9"/>
      <c r="M813" s="9"/>
      <c r="N813" s="9"/>
      <c r="O813" s="9"/>
      <c r="P813" s="9"/>
      <c r="Q813" s="9"/>
      <c r="R813" s="9"/>
      <c r="S813" s="9"/>
      <c r="T813" s="9"/>
      <c r="U813" s="9"/>
      <c r="V813" s="9"/>
      <c r="W813" s="9"/>
      <c r="X813" s="9"/>
      <c r="Y813" s="9"/>
      <c r="Z813" s="9"/>
      <c r="AA813" s="9"/>
      <c r="AB813" s="9"/>
      <c r="AC813" s="9"/>
      <c r="AD813" s="9"/>
      <c r="AE813" s="9"/>
      <c r="AF813" s="9"/>
    </row>
    <row r="814">
      <c r="A814" s="9"/>
      <c r="B814" s="9"/>
      <c r="C814" s="9"/>
      <c r="D814" s="9"/>
      <c r="E814" s="9"/>
      <c r="F814" s="9"/>
      <c r="G814" s="9"/>
      <c r="H814" s="9"/>
      <c r="I814" s="9"/>
      <c r="J814" s="9"/>
      <c r="K814" s="9"/>
      <c r="L814" s="9"/>
      <c r="M814" s="9"/>
      <c r="N814" s="9"/>
      <c r="O814" s="9"/>
      <c r="P814" s="9"/>
      <c r="Q814" s="9"/>
      <c r="R814" s="9"/>
      <c r="S814" s="9"/>
      <c r="T814" s="9"/>
      <c r="U814" s="9"/>
      <c r="V814" s="9"/>
      <c r="W814" s="9"/>
      <c r="X814" s="9"/>
      <c r="Y814" s="9"/>
      <c r="Z814" s="9"/>
      <c r="AA814" s="9"/>
      <c r="AB814" s="9"/>
      <c r="AC814" s="9"/>
      <c r="AD814" s="9"/>
      <c r="AE814" s="9"/>
      <c r="AF814" s="9"/>
    </row>
    <row r="815">
      <c r="A815" s="9"/>
      <c r="B815" s="9"/>
      <c r="C815" s="9"/>
      <c r="D815" s="9"/>
      <c r="E815" s="9"/>
      <c r="F815" s="9"/>
      <c r="G815" s="9"/>
      <c r="H815" s="9"/>
      <c r="I815" s="9"/>
      <c r="J815" s="9"/>
      <c r="K815" s="9"/>
      <c r="L815" s="9"/>
      <c r="M815" s="9"/>
      <c r="N815" s="9"/>
      <c r="O815" s="9"/>
      <c r="P815" s="9"/>
      <c r="Q815" s="9"/>
      <c r="R815" s="9"/>
      <c r="S815" s="9"/>
      <c r="T815" s="9"/>
      <c r="U815" s="9"/>
      <c r="V815" s="9"/>
      <c r="W815" s="9"/>
      <c r="X815" s="9"/>
      <c r="Y815" s="9"/>
      <c r="Z815" s="9"/>
      <c r="AA815" s="9"/>
      <c r="AB815" s="9"/>
      <c r="AC815" s="9"/>
      <c r="AD815" s="9"/>
      <c r="AE815" s="9"/>
      <c r="AF815" s="9"/>
    </row>
    <row r="816">
      <c r="A816" s="9"/>
      <c r="B816" s="9"/>
      <c r="C816" s="9"/>
      <c r="D816" s="9"/>
      <c r="E816" s="9"/>
      <c r="F816" s="9"/>
      <c r="G816" s="9"/>
      <c r="H816" s="9"/>
      <c r="I816" s="9"/>
      <c r="J816" s="9"/>
      <c r="K816" s="9"/>
      <c r="L816" s="9"/>
      <c r="M816" s="9"/>
      <c r="N816" s="9"/>
      <c r="O816" s="9"/>
      <c r="P816" s="9"/>
      <c r="Q816" s="9"/>
      <c r="R816" s="9"/>
      <c r="S816" s="9"/>
      <c r="T816" s="9"/>
      <c r="U816" s="9"/>
      <c r="V816" s="9"/>
      <c r="W816" s="9"/>
      <c r="X816" s="9"/>
      <c r="Y816" s="9"/>
      <c r="Z816" s="9"/>
      <c r="AA816" s="9"/>
      <c r="AB816" s="9"/>
      <c r="AC816" s="9"/>
      <c r="AD816" s="9"/>
      <c r="AE816" s="9"/>
      <c r="AF816" s="9"/>
    </row>
    <row r="817">
      <c r="A817" s="9"/>
      <c r="B817" s="9"/>
      <c r="C817" s="9"/>
      <c r="D817" s="9"/>
      <c r="E817" s="9"/>
      <c r="F817" s="9"/>
      <c r="G817" s="9"/>
      <c r="H817" s="9"/>
      <c r="I817" s="9"/>
      <c r="J817" s="9"/>
      <c r="K817" s="9"/>
      <c r="L817" s="9"/>
      <c r="M817" s="9"/>
      <c r="N817" s="9"/>
      <c r="O817" s="9"/>
      <c r="P817" s="9"/>
      <c r="Q817" s="9"/>
      <c r="R817" s="9"/>
      <c r="S817" s="9"/>
      <c r="T817" s="9"/>
      <c r="U817" s="9"/>
      <c r="V817" s="9"/>
      <c r="W817" s="9"/>
      <c r="X817" s="9"/>
      <c r="Y817" s="9"/>
      <c r="Z817" s="9"/>
      <c r="AA817" s="9"/>
      <c r="AB817" s="9"/>
      <c r="AC817" s="9"/>
      <c r="AD817" s="9"/>
      <c r="AE817" s="9"/>
      <c r="AF817" s="9"/>
    </row>
    <row r="818">
      <c r="A818" s="9"/>
      <c r="B818" s="9"/>
      <c r="C818" s="9"/>
      <c r="D818" s="9"/>
      <c r="E818" s="9"/>
      <c r="F818" s="9"/>
      <c r="G818" s="9"/>
      <c r="H818" s="9"/>
      <c r="I818" s="9"/>
      <c r="J818" s="9"/>
      <c r="K818" s="9"/>
      <c r="L818" s="9"/>
      <c r="M818" s="9"/>
      <c r="N818" s="9"/>
      <c r="O818" s="9"/>
      <c r="P818" s="9"/>
      <c r="Q818" s="9"/>
      <c r="R818" s="9"/>
      <c r="S818" s="9"/>
      <c r="T818" s="9"/>
      <c r="U818" s="9"/>
      <c r="V818" s="9"/>
      <c r="W818" s="9"/>
      <c r="X818" s="9"/>
      <c r="Y818" s="9"/>
      <c r="Z818" s="9"/>
      <c r="AA818" s="9"/>
      <c r="AB818" s="9"/>
      <c r="AC818" s="9"/>
      <c r="AD818" s="9"/>
      <c r="AE818" s="9"/>
      <c r="AF818" s="9"/>
    </row>
  </sheetData>
  <mergeCells count="35">
    <mergeCell ref="A1:A2"/>
    <mergeCell ref="B1:B2"/>
    <mergeCell ref="C1:H1"/>
    <mergeCell ref="I1:M1"/>
    <mergeCell ref="N1:T1"/>
    <mergeCell ref="A3:A6"/>
    <mergeCell ref="A7:E7"/>
    <mergeCell ref="A9:A10"/>
    <mergeCell ref="B9:B10"/>
    <mergeCell ref="C9:H9"/>
    <mergeCell ref="I9:M9"/>
    <mergeCell ref="N9:T9"/>
    <mergeCell ref="A11:A14"/>
    <mergeCell ref="A15:E15"/>
    <mergeCell ref="A17:A18"/>
    <mergeCell ref="B17:B18"/>
    <mergeCell ref="C17:H17"/>
    <mergeCell ref="I17:M17"/>
    <mergeCell ref="N17:T17"/>
    <mergeCell ref="A19:A22"/>
    <mergeCell ref="A23:E23"/>
    <mergeCell ref="A33:A34"/>
    <mergeCell ref="B33:B34"/>
    <mergeCell ref="C33:H33"/>
    <mergeCell ref="I33:M33"/>
    <mergeCell ref="N33:T33"/>
    <mergeCell ref="A35:A38"/>
    <mergeCell ref="A39:E39"/>
    <mergeCell ref="A25:A26"/>
    <mergeCell ref="B25:B26"/>
    <mergeCell ref="C25:H25"/>
    <mergeCell ref="I25:M25"/>
    <mergeCell ref="N25:T25"/>
    <mergeCell ref="A27:A30"/>
    <mergeCell ref="A31:E31"/>
  </mergeCells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63"/>
    <col customWidth="1" min="3" max="3" width="10.88"/>
    <col customWidth="1" min="4" max="4" width="9.63"/>
    <col customWidth="1" min="5" max="5" width="8.38"/>
    <col customWidth="1" min="9" max="9" width="9.13"/>
    <col customWidth="1" min="14" max="16" width="10.25"/>
    <col customWidth="1" min="17" max="17" width="11.88"/>
    <col customWidth="1" min="19" max="19" width="11.5"/>
    <col customWidth="1" min="20" max="20" width="12.38"/>
  </cols>
  <sheetData>
    <row r="1">
      <c r="A1" s="1" t="s">
        <v>218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4"/>
      <c r="K1" s="5"/>
      <c r="L1" s="7" t="s">
        <v>4</v>
      </c>
      <c r="M1" s="4"/>
      <c r="N1" s="4"/>
      <c r="O1" s="4"/>
      <c r="P1" s="4"/>
      <c r="Q1" s="4"/>
      <c r="R1" s="4"/>
      <c r="S1" s="4"/>
      <c r="T1" s="8"/>
    </row>
    <row r="2">
      <c r="A2" s="10"/>
      <c r="B2" s="11"/>
      <c r="C2" s="12" t="s">
        <v>5</v>
      </c>
      <c r="D2" s="12" t="s">
        <v>6</v>
      </c>
      <c r="E2" s="12" t="s">
        <v>7</v>
      </c>
      <c r="F2" s="12" t="s">
        <v>219</v>
      </c>
      <c r="G2" s="12" t="s">
        <v>220</v>
      </c>
      <c r="H2" s="12" t="s">
        <v>10</v>
      </c>
      <c r="I2" s="12" t="s">
        <v>11</v>
      </c>
      <c r="J2" s="12" t="s">
        <v>221</v>
      </c>
      <c r="K2" s="12" t="s">
        <v>222</v>
      </c>
      <c r="L2" s="12" t="s">
        <v>16</v>
      </c>
      <c r="M2" s="12" t="s">
        <v>223</v>
      </c>
      <c r="N2" s="12" t="s">
        <v>224</v>
      </c>
      <c r="O2" s="12" t="s">
        <v>225</v>
      </c>
      <c r="P2" s="12" t="s">
        <v>226</v>
      </c>
      <c r="Q2" s="12" t="s">
        <v>227</v>
      </c>
      <c r="R2" s="12" t="s">
        <v>20</v>
      </c>
      <c r="S2" s="12" t="s">
        <v>228</v>
      </c>
      <c r="T2" s="14" t="s">
        <v>229</v>
      </c>
    </row>
    <row r="3">
      <c r="A3" s="15" t="s">
        <v>230</v>
      </c>
      <c r="B3" s="51" t="s">
        <v>24</v>
      </c>
      <c r="C3" s="52"/>
      <c r="D3" s="53"/>
      <c r="E3" s="53"/>
      <c r="F3" s="54" t="str">
        <f t="shared" ref="F3:F6" si="1">iferror(H3/E3,"")</f>
        <v/>
      </c>
      <c r="G3" s="55" t="str">
        <f t="shared" ref="G3:G6" si="2">iferror(E3/D3,"")</f>
        <v/>
      </c>
      <c r="H3" s="56"/>
      <c r="I3" s="51"/>
      <c r="J3" s="57" t="str">
        <f t="shared" ref="J3:J6" si="3">iferror(I3/E3,"")</f>
        <v/>
      </c>
      <c r="K3" s="58" t="str">
        <f t="shared" ref="K3:K6" si="4">iferror(H3/I3,"")</f>
        <v/>
      </c>
      <c r="L3" s="53"/>
      <c r="M3" s="51"/>
      <c r="N3" s="53"/>
      <c r="O3" s="53"/>
      <c r="P3" s="53"/>
      <c r="Q3" s="59" t="str">
        <f t="shared" ref="Q3:Q6" si="5">iferror(M3/I3,"")</f>
        <v/>
      </c>
      <c r="R3" s="60">
        <f t="shared" ref="R3:R6" si="6">iferror(L3-H3,"")</f>
        <v>0</v>
      </c>
      <c r="S3" s="59" t="str">
        <f t="shared" ref="S3:S6" si="7">iferror(L3/H3,"")</f>
        <v/>
      </c>
      <c r="T3" s="61" t="str">
        <f t="shared" ref="T3:T6" si="8">iferror(R3/H3,"")</f>
        <v/>
      </c>
    </row>
    <row r="4">
      <c r="A4" s="27"/>
      <c r="B4" s="51" t="s">
        <v>25</v>
      </c>
      <c r="C4" s="52"/>
      <c r="D4" s="53"/>
      <c r="E4" s="53"/>
      <c r="F4" s="54" t="str">
        <f t="shared" si="1"/>
        <v/>
      </c>
      <c r="G4" s="55" t="str">
        <f t="shared" si="2"/>
        <v/>
      </c>
      <c r="H4" s="56"/>
      <c r="I4" s="51"/>
      <c r="J4" s="57" t="str">
        <f t="shared" si="3"/>
        <v/>
      </c>
      <c r="K4" s="58" t="str">
        <f t="shared" si="4"/>
        <v/>
      </c>
      <c r="L4" s="53"/>
      <c r="M4" s="51"/>
      <c r="N4" s="53"/>
      <c r="O4" s="53"/>
      <c r="P4" s="53"/>
      <c r="Q4" s="59" t="str">
        <f t="shared" si="5"/>
        <v/>
      </c>
      <c r="R4" s="60">
        <f t="shared" si="6"/>
        <v>0</v>
      </c>
      <c r="S4" s="59" t="str">
        <f t="shared" si="7"/>
        <v/>
      </c>
      <c r="T4" s="61" t="str">
        <f t="shared" si="8"/>
        <v/>
      </c>
    </row>
    <row r="5">
      <c r="A5" s="27"/>
      <c r="B5" s="51" t="s">
        <v>27</v>
      </c>
      <c r="C5" s="62"/>
      <c r="D5" s="53"/>
      <c r="E5" s="53"/>
      <c r="F5" s="54" t="str">
        <f t="shared" si="1"/>
        <v/>
      </c>
      <c r="G5" s="55" t="str">
        <f t="shared" si="2"/>
        <v/>
      </c>
      <c r="H5" s="56"/>
      <c r="I5" s="51"/>
      <c r="J5" s="57" t="str">
        <f t="shared" si="3"/>
        <v/>
      </c>
      <c r="K5" s="58" t="str">
        <f t="shared" si="4"/>
        <v/>
      </c>
      <c r="L5" s="53">
        <v>160000.0</v>
      </c>
      <c r="M5" s="51">
        <v>1.0</v>
      </c>
      <c r="N5" s="53" t="s">
        <v>231</v>
      </c>
      <c r="O5" s="53">
        <v>1.0</v>
      </c>
      <c r="P5" s="53">
        <v>2.0</v>
      </c>
      <c r="Q5" s="59" t="str">
        <f t="shared" si="5"/>
        <v/>
      </c>
      <c r="R5" s="60">
        <f t="shared" si="6"/>
        <v>160000</v>
      </c>
      <c r="S5" s="59" t="str">
        <f t="shared" si="7"/>
        <v/>
      </c>
      <c r="T5" s="61" t="str">
        <f t="shared" si="8"/>
        <v/>
      </c>
    </row>
    <row r="6">
      <c r="A6" s="10"/>
      <c r="B6" s="51" t="s">
        <v>28</v>
      </c>
      <c r="C6" s="63"/>
      <c r="D6" s="53"/>
      <c r="E6" s="53"/>
      <c r="F6" s="54" t="str">
        <f t="shared" si="1"/>
        <v/>
      </c>
      <c r="G6" s="55" t="str">
        <f t="shared" si="2"/>
        <v/>
      </c>
      <c r="H6" s="56"/>
      <c r="I6" s="51"/>
      <c r="J6" s="57" t="str">
        <f t="shared" si="3"/>
        <v/>
      </c>
      <c r="K6" s="58" t="str">
        <f t="shared" si="4"/>
        <v/>
      </c>
      <c r="L6" s="53"/>
      <c r="M6" s="51"/>
      <c r="N6" s="53"/>
      <c r="O6" s="53"/>
      <c r="P6" s="53"/>
      <c r="Q6" s="59" t="str">
        <f t="shared" si="5"/>
        <v/>
      </c>
      <c r="R6" s="60">
        <f t="shared" si="6"/>
        <v>0</v>
      </c>
      <c r="S6" s="59" t="str">
        <f t="shared" si="7"/>
        <v/>
      </c>
      <c r="T6" s="61" t="str">
        <f t="shared" si="8"/>
        <v/>
      </c>
      <c r="U6" s="64"/>
    </row>
    <row r="7">
      <c r="A7" s="30" t="s">
        <v>29</v>
      </c>
      <c r="B7" s="31"/>
      <c r="C7" s="31"/>
      <c r="D7" s="31"/>
      <c r="E7" s="32"/>
      <c r="F7" s="65" t="str">
        <f t="shared" ref="F7:G7" si="9">averageif(F3:F6,"&gt;0")</f>
        <v>#DIV/0!</v>
      </c>
      <c r="G7" s="66" t="str">
        <f t="shared" si="9"/>
        <v>#DIV/0!</v>
      </c>
      <c r="H7" s="67"/>
      <c r="I7" s="68">
        <f>SUM(I3:I6)</f>
        <v>0</v>
      </c>
      <c r="J7" s="69" t="str">
        <f t="shared" ref="J7:K7" si="10">averageif(J3:J6,"&gt;0")</f>
        <v>#DIV/0!</v>
      </c>
      <c r="K7" s="70" t="str">
        <f t="shared" si="10"/>
        <v>#DIV/0!</v>
      </c>
      <c r="L7" s="68">
        <f t="shared" ref="L7:M7" si="11">SUM(L3:L6)</f>
        <v>160000</v>
      </c>
      <c r="M7" s="71">
        <f t="shared" si="11"/>
        <v>1</v>
      </c>
      <c r="N7" s="68"/>
      <c r="O7" s="68">
        <f t="shared" ref="O7:P7" si="12">SUM(O3:O6)</f>
        <v>1</v>
      </c>
      <c r="P7" s="68">
        <f t="shared" si="12"/>
        <v>2</v>
      </c>
      <c r="Q7" s="72" t="str">
        <f>averageif(Q3:Q6,"&gt;0")</f>
        <v>#DIV/0!</v>
      </c>
      <c r="R7" s="67"/>
      <c r="S7" s="72" t="str">
        <f t="shared" ref="S7:T7" si="13">averageif(S3:S6,"&gt;0")</f>
        <v>#DIV/0!</v>
      </c>
      <c r="T7" s="73" t="str">
        <f t="shared" si="13"/>
        <v>#DIV/0!</v>
      </c>
    </row>
    <row r="9">
      <c r="A9" s="1"/>
      <c r="B9" s="2" t="s">
        <v>1</v>
      </c>
      <c r="C9" s="3" t="s">
        <v>2</v>
      </c>
      <c r="D9" s="4"/>
      <c r="E9" s="4"/>
      <c r="F9" s="4"/>
      <c r="G9" s="4"/>
      <c r="H9" s="5"/>
      <c r="I9" s="6" t="s">
        <v>3</v>
      </c>
      <c r="J9" s="4"/>
      <c r="K9" s="5"/>
      <c r="L9" s="7" t="s">
        <v>4</v>
      </c>
      <c r="M9" s="4"/>
      <c r="N9" s="4"/>
      <c r="O9" s="4"/>
      <c r="P9" s="4"/>
      <c r="Q9" s="4"/>
      <c r="R9" s="4"/>
      <c r="S9" s="4"/>
      <c r="T9" s="8"/>
    </row>
    <row r="10">
      <c r="A10" s="10"/>
      <c r="B10" s="11"/>
      <c r="C10" s="12" t="s">
        <v>5</v>
      </c>
      <c r="D10" s="12" t="s">
        <v>6</v>
      </c>
      <c r="E10" s="12" t="s">
        <v>7</v>
      </c>
      <c r="F10" s="12" t="s">
        <v>232</v>
      </c>
      <c r="G10" s="12" t="s">
        <v>233</v>
      </c>
      <c r="H10" s="12" t="s">
        <v>10</v>
      </c>
      <c r="I10" s="12" t="s">
        <v>11</v>
      </c>
      <c r="J10" s="12" t="s">
        <v>234</v>
      </c>
      <c r="K10" s="12" t="s">
        <v>235</v>
      </c>
      <c r="L10" s="12" t="s">
        <v>16</v>
      </c>
      <c r="M10" s="12" t="s">
        <v>223</v>
      </c>
      <c r="N10" s="12" t="s">
        <v>236</v>
      </c>
      <c r="O10" s="12" t="s">
        <v>225</v>
      </c>
      <c r="P10" s="12" t="s">
        <v>226</v>
      </c>
      <c r="Q10" s="12" t="s">
        <v>237</v>
      </c>
      <c r="R10" s="12" t="s">
        <v>20</v>
      </c>
      <c r="S10" s="12" t="s">
        <v>238</v>
      </c>
      <c r="T10" s="14" t="s">
        <v>239</v>
      </c>
    </row>
    <row r="11">
      <c r="A11" s="15" t="s">
        <v>240</v>
      </c>
      <c r="B11" s="51" t="s">
        <v>24</v>
      </c>
      <c r="C11" s="52"/>
      <c r="D11" s="53"/>
      <c r="E11" s="53"/>
      <c r="F11" s="74"/>
      <c r="G11" s="55" t="str">
        <f t="shared" ref="G11:G14" si="14">iferror(E11/D11,"")</f>
        <v/>
      </c>
      <c r="H11" s="56"/>
      <c r="I11" s="51"/>
      <c r="J11" s="57" t="str">
        <f t="shared" ref="J11:J14" si="15">iferror(I11/E11,"")</f>
        <v/>
      </c>
      <c r="K11" s="58" t="str">
        <f t="shared" ref="K11:K14" si="16">iferror(H11/I11,"")</f>
        <v/>
      </c>
      <c r="L11" s="53">
        <v>200000.0</v>
      </c>
      <c r="M11" s="51">
        <v>1.0</v>
      </c>
      <c r="N11" s="53" t="s">
        <v>241</v>
      </c>
      <c r="O11" s="53"/>
      <c r="P11" s="75"/>
      <c r="Q11" s="59" t="str">
        <f t="shared" ref="Q11:Q14" si="17">iferror(M11/I11,"")</f>
        <v/>
      </c>
      <c r="R11" s="60">
        <f t="shared" ref="R11:R14" si="18">iferror(L11-H11,"")</f>
        <v>200000</v>
      </c>
      <c r="S11" s="59" t="str">
        <f t="shared" ref="S11:S14" si="19">iferror(L11/H11,"")</f>
        <v/>
      </c>
      <c r="T11" s="61" t="str">
        <f t="shared" ref="T11:T14" si="20">iferror(R11/H11,"")</f>
        <v/>
      </c>
    </row>
    <row r="12">
      <c r="A12" s="27"/>
      <c r="B12" s="51" t="s">
        <v>25</v>
      </c>
      <c r="C12" s="52"/>
      <c r="D12" s="53"/>
      <c r="E12" s="53"/>
      <c r="F12" s="54" t="str">
        <f t="shared" ref="F12:F14" si="21">iferror(H12/E12,"")</f>
        <v/>
      </c>
      <c r="G12" s="55" t="str">
        <f t="shared" si="14"/>
        <v/>
      </c>
      <c r="H12" s="56"/>
      <c r="I12" s="51"/>
      <c r="J12" s="57" t="str">
        <f t="shared" si="15"/>
        <v/>
      </c>
      <c r="K12" s="58" t="str">
        <f t="shared" si="16"/>
        <v/>
      </c>
      <c r="L12" s="53">
        <v>280000.0</v>
      </c>
      <c r="M12" s="51">
        <v>2.0</v>
      </c>
      <c r="N12" s="53" t="s">
        <v>242</v>
      </c>
      <c r="O12" s="53">
        <v>2.0</v>
      </c>
      <c r="P12" s="53">
        <v>4.0</v>
      </c>
      <c r="Q12" s="59" t="str">
        <f t="shared" si="17"/>
        <v/>
      </c>
      <c r="R12" s="60">
        <f t="shared" si="18"/>
        <v>280000</v>
      </c>
      <c r="S12" s="59" t="str">
        <f t="shared" si="19"/>
        <v/>
      </c>
      <c r="T12" s="61" t="str">
        <f t="shared" si="20"/>
        <v/>
      </c>
    </row>
    <row r="13">
      <c r="A13" s="27"/>
      <c r="B13" s="51" t="s">
        <v>27</v>
      </c>
      <c r="C13" s="76"/>
      <c r="D13" s="53"/>
      <c r="E13" s="53"/>
      <c r="F13" s="54" t="str">
        <f t="shared" si="21"/>
        <v/>
      </c>
      <c r="G13" s="55" t="str">
        <f t="shared" si="14"/>
        <v/>
      </c>
      <c r="H13" s="56"/>
      <c r="I13" s="51"/>
      <c r="J13" s="57" t="str">
        <f t="shared" si="15"/>
        <v/>
      </c>
      <c r="K13" s="58" t="str">
        <f t="shared" si="16"/>
        <v/>
      </c>
      <c r="L13" s="53">
        <f>320000+440000</f>
        <v>760000</v>
      </c>
      <c r="M13" s="51">
        <v>2.0</v>
      </c>
      <c r="N13" s="53" t="s">
        <v>243</v>
      </c>
      <c r="O13" s="53">
        <v>4.0</v>
      </c>
      <c r="P13" s="53">
        <v>8.0</v>
      </c>
      <c r="Q13" s="59" t="str">
        <f t="shared" si="17"/>
        <v/>
      </c>
      <c r="R13" s="60">
        <f t="shared" si="18"/>
        <v>760000</v>
      </c>
      <c r="S13" s="59" t="str">
        <f t="shared" si="19"/>
        <v/>
      </c>
      <c r="T13" s="61" t="str">
        <f t="shared" si="20"/>
        <v/>
      </c>
    </row>
    <row r="14">
      <c r="A14" s="10"/>
      <c r="B14" s="51" t="s">
        <v>28</v>
      </c>
      <c r="C14" s="63"/>
      <c r="D14" s="53"/>
      <c r="E14" s="53"/>
      <c r="F14" s="54" t="str">
        <f t="shared" si="21"/>
        <v/>
      </c>
      <c r="G14" s="55" t="str">
        <f t="shared" si="14"/>
        <v/>
      </c>
      <c r="H14" s="56"/>
      <c r="I14" s="51"/>
      <c r="J14" s="57" t="str">
        <f t="shared" si="15"/>
        <v/>
      </c>
      <c r="K14" s="58" t="str">
        <f t="shared" si="16"/>
        <v/>
      </c>
      <c r="L14" s="53"/>
      <c r="M14" s="51"/>
      <c r="N14" s="53"/>
      <c r="O14" s="53"/>
      <c r="P14" s="53"/>
      <c r="Q14" s="59" t="str">
        <f t="shared" si="17"/>
        <v/>
      </c>
      <c r="R14" s="60">
        <f t="shared" si="18"/>
        <v>0</v>
      </c>
      <c r="S14" s="59" t="str">
        <f t="shared" si="19"/>
        <v/>
      </c>
      <c r="T14" s="61" t="str">
        <f t="shared" si="20"/>
        <v/>
      </c>
      <c r="U14" s="64"/>
    </row>
    <row r="15">
      <c r="A15" s="30" t="s">
        <v>29</v>
      </c>
      <c r="B15" s="31"/>
      <c r="C15" s="31"/>
      <c r="D15" s="31"/>
      <c r="E15" s="32"/>
      <c r="F15" s="65" t="str">
        <f t="shared" ref="F15:G15" si="22">averageif(F11:F14,"&gt;0")</f>
        <v>#DIV/0!</v>
      </c>
      <c r="G15" s="66" t="str">
        <f t="shared" si="22"/>
        <v>#DIV/0!</v>
      </c>
      <c r="H15" s="67"/>
      <c r="I15" s="68">
        <f>SUM(I11:I14)</f>
        <v>0</v>
      </c>
      <c r="J15" s="69" t="str">
        <f t="shared" ref="J15:K15" si="23">averageif(J11:J14,"&gt;0")</f>
        <v>#DIV/0!</v>
      </c>
      <c r="K15" s="70" t="str">
        <f t="shared" si="23"/>
        <v>#DIV/0!</v>
      </c>
      <c r="L15" s="68">
        <f t="shared" ref="L15:M15" si="24">SUM(L11:L14)</f>
        <v>1240000</v>
      </c>
      <c r="M15" s="71">
        <f t="shared" si="24"/>
        <v>5</v>
      </c>
      <c r="N15" s="68"/>
      <c r="O15" s="68">
        <f>SUM(O11:O14)</f>
        <v>6</v>
      </c>
      <c r="P15" s="68">
        <f>SUM(P12:P14)</f>
        <v>12</v>
      </c>
      <c r="Q15" s="72" t="str">
        <f>averageif(Q11:Q14,"&gt;0")</f>
        <v>#DIV/0!</v>
      </c>
      <c r="R15" s="67"/>
      <c r="S15" s="72" t="str">
        <f t="shared" ref="S15:T15" si="25">averageif(S11:S14,"&gt;0")</f>
        <v>#DIV/0!</v>
      </c>
      <c r="T15" s="73" t="str">
        <f t="shared" si="25"/>
        <v>#DIV/0!</v>
      </c>
    </row>
    <row r="17">
      <c r="A17" s="1"/>
      <c r="B17" s="2" t="s">
        <v>1</v>
      </c>
      <c r="C17" s="3" t="s">
        <v>2</v>
      </c>
      <c r="D17" s="4"/>
      <c r="E17" s="4"/>
      <c r="F17" s="4"/>
      <c r="G17" s="4"/>
      <c r="H17" s="5"/>
      <c r="I17" s="6" t="s">
        <v>3</v>
      </c>
      <c r="J17" s="4"/>
      <c r="K17" s="5"/>
      <c r="L17" s="7" t="s">
        <v>4</v>
      </c>
      <c r="M17" s="4"/>
      <c r="N17" s="4"/>
      <c r="O17" s="4"/>
      <c r="P17" s="4"/>
      <c r="Q17" s="4"/>
      <c r="R17" s="4"/>
      <c r="S17" s="4"/>
      <c r="T17" s="8"/>
    </row>
    <row r="18">
      <c r="A18" s="10"/>
      <c r="B18" s="11"/>
      <c r="C18" s="12" t="s">
        <v>5</v>
      </c>
      <c r="D18" s="12" t="s">
        <v>6</v>
      </c>
      <c r="E18" s="12" t="s">
        <v>7</v>
      </c>
      <c r="F18" s="12" t="s">
        <v>244</v>
      </c>
      <c r="G18" s="12" t="s">
        <v>245</v>
      </c>
      <c r="H18" s="12" t="s">
        <v>10</v>
      </c>
      <c r="I18" s="12" t="s">
        <v>11</v>
      </c>
      <c r="J18" s="12" t="s">
        <v>246</v>
      </c>
      <c r="K18" s="12" t="s">
        <v>247</v>
      </c>
      <c r="L18" s="12" t="s">
        <v>16</v>
      </c>
      <c r="M18" s="12" t="s">
        <v>223</v>
      </c>
      <c r="N18" s="12" t="s">
        <v>248</v>
      </c>
      <c r="O18" s="12" t="s">
        <v>225</v>
      </c>
      <c r="P18" s="12" t="s">
        <v>226</v>
      </c>
      <c r="Q18" s="12" t="s">
        <v>249</v>
      </c>
      <c r="R18" s="12" t="s">
        <v>20</v>
      </c>
      <c r="S18" s="12" t="s">
        <v>250</v>
      </c>
      <c r="T18" s="14" t="s">
        <v>251</v>
      </c>
    </row>
    <row r="19">
      <c r="A19" s="15" t="s">
        <v>252</v>
      </c>
      <c r="B19" s="51" t="s">
        <v>24</v>
      </c>
      <c r="C19" s="52"/>
      <c r="D19" s="53"/>
      <c r="E19" s="53"/>
      <c r="F19" s="74"/>
      <c r="G19" s="55" t="str">
        <f t="shared" ref="G19:G22" si="26">iferror(E19/D19,"")</f>
        <v/>
      </c>
      <c r="H19" s="56"/>
      <c r="I19" s="51"/>
      <c r="J19" s="57" t="str">
        <f t="shared" ref="J19:J22" si="27">iferror(I19/E19,"")</f>
        <v/>
      </c>
      <c r="K19" s="58" t="str">
        <f t="shared" ref="K19:K22" si="28">iferror(H19/I19,"")</f>
        <v/>
      </c>
      <c r="L19" s="53"/>
      <c r="M19" s="51"/>
      <c r="N19" s="53"/>
      <c r="O19" s="53"/>
      <c r="P19" s="53"/>
      <c r="Q19" s="59" t="str">
        <f t="shared" ref="Q19:Q22" si="29">iferror(M19/I19,"")</f>
        <v/>
      </c>
      <c r="R19" s="60">
        <f t="shared" ref="R19:R22" si="30">iferror(L19-H19,"")</f>
        <v>0</v>
      </c>
      <c r="S19" s="59" t="str">
        <f t="shared" ref="S19:S22" si="31">iferror(L19/H19,"")</f>
        <v/>
      </c>
      <c r="T19" s="61" t="str">
        <f t="shared" ref="T19:T22" si="32">iferror(R19/H19,"")</f>
        <v/>
      </c>
    </row>
    <row r="20">
      <c r="A20" s="27"/>
      <c r="B20" s="51" t="s">
        <v>25</v>
      </c>
      <c r="C20" s="52"/>
      <c r="D20" s="53"/>
      <c r="E20" s="53"/>
      <c r="F20" s="54" t="str">
        <f t="shared" ref="F20:F22" si="33">iferror(H20/E20,"")</f>
        <v/>
      </c>
      <c r="G20" s="55" t="str">
        <f t="shared" si="26"/>
        <v/>
      </c>
      <c r="H20" s="56"/>
      <c r="I20" s="51"/>
      <c r="J20" s="57" t="str">
        <f t="shared" si="27"/>
        <v/>
      </c>
      <c r="K20" s="58" t="str">
        <f t="shared" si="28"/>
        <v/>
      </c>
      <c r="L20" s="53"/>
      <c r="M20" s="51"/>
      <c r="N20" s="53"/>
      <c r="O20" s="53"/>
      <c r="P20" s="53"/>
      <c r="Q20" s="59" t="str">
        <f t="shared" si="29"/>
        <v/>
      </c>
      <c r="R20" s="60">
        <f t="shared" si="30"/>
        <v>0</v>
      </c>
      <c r="S20" s="59" t="str">
        <f t="shared" si="31"/>
        <v/>
      </c>
      <c r="T20" s="61" t="str">
        <f t="shared" si="32"/>
        <v/>
      </c>
    </row>
    <row r="21" ht="20.25" customHeight="1">
      <c r="A21" s="27"/>
      <c r="B21" s="51" t="s">
        <v>27</v>
      </c>
      <c r="C21" s="62"/>
      <c r="D21" s="53"/>
      <c r="E21" s="53"/>
      <c r="F21" s="54" t="str">
        <f t="shared" si="33"/>
        <v/>
      </c>
      <c r="G21" s="55" t="str">
        <f t="shared" si="26"/>
        <v/>
      </c>
      <c r="H21" s="56"/>
      <c r="I21" s="51"/>
      <c r="J21" s="57" t="str">
        <f t="shared" si="27"/>
        <v/>
      </c>
      <c r="K21" s="58" t="str">
        <f t="shared" si="28"/>
        <v/>
      </c>
      <c r="L21" s="53">
        <f>20000+20000+40000+20000</f>
        <v>100000</v>
      </c>
      <c r="M21" s="51"/>
      <c r="N21" s="77" t="s">
        <v>253</v>
      </c>
      <c r="O21" s="53"/>
      <c r="P21" s="53"/>
      <c r="Q21" s="59" t="str">
        <f t="shared" si="29"/>
        <v/>
      </c>
      <c r="R21" s="60">
        <f t="shared" si="30"/>
        <v>100000</v>
      </c>
      <c r="S21" s="59" t="str">
        <f t="shared" si="31"/>
        <v/>
      </c>
      <c r="T21" s="61" t="str">
        <f t="shared" si="32"/>
        <v/>
      </c>
    </row>
    <row r="22">
      <c r="A22" s="10"/>
      <c r="B22" s="51" t="s">
        <v>28</v>
      </c>
      <c r="C22" s="63"/>
      <c r="D22" s="53"/>
      <c r="E22" s="53"/>
      <c r="F22" s="54" t="str">
        <f t="shared" si="33"/>
        <v/>
      </c>
      <c r="G22" s="55" t="str">
        <f t="shared" si="26"/>
        <v/>
      </c>
      <c r="H22" s="56"/>
      <c r="I22" s="51"/>
      <c r="J22" s="57" t="str">
        <f t="shared" si="27"/>
        <v/>
      </c>
      <c r="K22" s="58" t="str">
        <f t="shared" si="28"/>
        <v/>
      </c>
      <c r="L22" s="53"/>
      <c r="M22" s="51"/>
      <c r="N22" s="53"/>
      <c r="O22" s="53"/>
      <c r="P22" s="53"/>
      <c r="Q22" s="59" t="str">
        <f t="shared" si="29"/>
        <v/>
      </c>
      <c r="R22" s="60">
        <f t="shared" si="30"/>
        <v>0</v>
      </c>
      <c r="S22" s="59" t="str">
        <f t="shared" si="31"/>
        <v/>
      </c>
      <c r="T22" s="61" t="str">
        <f t="shared" si="32"/>
        <v/>
      </c>
    </row>
    <row r="23">
      <c r="A23" s="30" t="s">
        <v>29</v>
      </c>
      <c r="B23" s="31"/>
      <c r="C23" s="31"/>
      <c r="D23" s="31"/>
      <c r="E23" s="32"/>
      <c r="F23" s="65" t="str">
        <f t="shared" ref="F23:G23" si="34">averageif(F19:F22,"&gt;0")</f>
        <v>#DIV/0!</v>
      </c>
      <c r="G23" s="66" t="str">
        <f t="shared" si="34"/>
        <v>#DIV/0!</v>
      </c>
      <c r="H23" s="67"/>
      <c r="I23" s="68">
        <f>SUM(I19:I22)</f>
        <v>0</v>
      </c>
      <c r="J23" s="69" t="str">
        <f t="shared" ref="J23:K23" si="35">averageif(J19:J22,"&gt;0")</f>
        <v>#DIV/0!</v>
      </c>
      <c r="K23" s="70" t="str">
        <f t="shared" si="35"/>
        <v>#DIV/0!</v>
      </c>
      <c r="L23" s="68">
        <f t="shared" ref="L23:M23" si="36">SUM(L19:L22)</f>
        <v>100000</v>
      </c>
      <c r="M23" s="71">
        <f t="shared" si="36"/>
        <v>0</v>
      </c>
      <c r="N23" s="68"/>
      <c r="O23" s="68">
        <f t="shared" ref="O23:P23" si="37">SUM(O19:O22)</f>
        <v>0</v>
      </c>
      <c r="P23" s="68">
        <f t="shared" si="37"/>
        <v>0</v>
      </c>
      <c r="Q23" s="72" t="str">
        <f>averageif(Q19:Q22,"&gt;0")</f>
        <v>#DIV/0!</v>
      </c>
      <c r="R23" s="67"/>
      <c r="S23" s="72" t="str">
        <f t="shared" ref="S23:T23" si="38">averageif(S19:S22,"&gt;0")</f>
        <v>#DIV/0!</v>
      </c>
      <c r="T23" s="73" t="str">
        <f t="shared" si="38"/>
        <v>#DIV/0!</v>
      </c>
    </row>
    <row r="25">
      <c r="A25" s="1"/>
      <c r="B25" s="2" t="s">
        <v>1</v>
      </c>
      <c r="C25" s="3" t="s">
        <v>2</v>
      </c>
      <c r="D25" s="4"/>
      <c r="E25" s="4"/>
      <c r="F25" s="4"/>
      <c r="G25" s="4"/>
      <c r="H25" s="5"/>
      <c r="I25" s="6" t="s">
        <v>3</v>
      </c>
      <c r="J25" s="4"/>
      <c r="K25" s="5"/>
      <c r="L25" s="7" t="s">
        <v>4</v>
      </c>
      <c r="M25" s="4"/>
      <c r="N25" s="4"/>
      <c r="O25" s="4"/>
      <c r="P25" s="4"/>
      <c r="Q25" s="4"/>
      <c r="R25" s="4"/>
      <c r="S25" s="4"/>
      <c r="T25" s="8"/>
    </row>
    <row r="26">
      <c r="A26" s="10"/>
      <c r="B26" s="11"/>
      <c r="C26" s="12" t="s">
        <v>5</v>
      </c>
      <c r="D26" s="12" t="s">
        <v>6</v>
      </c>
      <c r="E26" s="12" t="s">
        <v>7</v>
      </c>
      <c r="F26" s="12" t="s">
        <v>254</v>
      </c>
      <c r="G26" s="12" t="s">
        <v>255</v>
      </c>
      <c r="H26" s="12" t="s">
        <v>10</v>
      </c>
      <c r="I26" s="12" t="s">
        <v>11</v>
      </c>
      <c r="J26" s="12" t="s">
        <v>256</v>
      </c>
      <c r="K26" s="12" t="s">
        <v>257</v>
      </c>
      <c r="L26" s="12" t="s">
        <v>16</v>
      </c>
      <c r="M26" s="12" t="s">
        <v>223</v>
      </c>
      <c r="N26" s="12" t="s">
        <v>258</v>
      </c>
      <c r="O26" s="12" t="s">
        <v>225</v>
      </c>
      <c r="P26" s="12" t="s">
        <v>226</v>
      </c>
      <c r="Q26" s="12" t="s">
        <v>259</v>
      </c>
      <c r="R26" s="12" t="s">
        <v>20</v>
      </c>
      <c r="S26" s="12" t="s">
        <v>260</v>
      </c>
      <c r="T26" s="14" t="s">
        <v>261</v>
      </c>
    </row>
    <row r="27">
      <c r="A27" s="15" t="s">
        <v>262</v>
      </c>
      <c r="B27" s="51" t="s">
        <v>24</v>
      </c>
      <c r="C27" s="52"/>
      <c r="D27" s="53"/>
      <c r="E27" s="53"/>
      <c r="F27" s="74"/>
      <c r="G27" s="55" t="str">
        <f t="shared" ref="G27:G30" si="39">iferror(E27/D27,"")</f>
        <v/>
      </c>
      <c r="H27" s="56"/>
      <c r="I27" s="51"/>
      <c r="J27" s="57" t="str">
        <f t="shared" ref="J27:J30" si="40">iferror(I27/E27,"")</f>
        <v/>
      </c>
      <c r="K27" s="58" t="str">
        <f t="shared" ref="K27:K30" si="41">iferror(H27/I27,"")</f>
        <v/>
      </c>
      <c r="L27" s="53"/>
      <c r="M27" s="51"/>
      <c r="N27" s="53"/>
      <c r="O27" s="53"/>
      <c r="P27" s="53"/>
      <c r="Q27" s="59" t="str">
        <f t="shared" ref="Q27:Q30" si="42">iferror(M27/I27,"")</f>
        <v/>
      </c>
      <c r="R27" s="60">
        <f t="shared" ref="R27:R30" si="43">iferror(L27-H27,"")</f>
        <v>0</v>
      </c>
      <c r="S27" s="59" t="str">
        <f t="shared" ref="S27:S30" si="44">iferror(L27/H27,"")</f>
        <v/>
      </c>
      <c r="T27" s="61" t="str">
        <f t="shared" ref="T27:T30" si="45">iferror(R27/H27,"")</f>
        <v/>
      </c>
    </row>
    <row r="28">
      <c r="A28" s="27"/>
      <c r="B28" s="51" t="s">
        <v>25</v>
      </c>
      <c r="C28" s="52"/>
      <c r="D28" s="53"/>
      <c r="E28" s="53"/>
      <c r="F28" s="54" t="str">
        <f t="shared" ref="F28:F30" si="46">iferror(H28/E28,"")</f>
        <v/>
      </c>
      <c r="G28" s="55" t="str">
        <f t="shared" si="39"/>
        <v/>
      </c>
      <c r="H28" s="56"/>
      <c r="I28" s="51"/>
      <c r="J28" s="57" t="str">
        <f t="shared" si="40"/>
        <v/>
      </c>
      <c r="K28" s="58" t="str">
        <f t="shared" si="41"/>
        <v/>
      </c>
      <c r="L28" s="53"/>
      <c r="M28" s="51"/>
      <c r="N28" s="53"/>
      <c r="O28" s="53"/>
      <c r="P28" s="53"/>
      <c r="Q28" s="59" t="str">
        <f t="shared" si="42"/>
        <v/>
      </c>
      <c r="R28" s="60">
        <f t="shared" si="43"/>
        <v>0</v>
      </c>
      <c r="S28" s="59" t="str">
        <f t="shared" si="44"/>
        <v/>
      </c>
      <c r="T28" s="61" t="str">
        <f t="shared" si="45"/>
        <v/>
      </c>
    </row>
    <row r="29">
      <c r="A29" s="27"/>
      <c r="B29" s="51" t="s">
        <v>27</v>
      </c>
      <c r="C29" s="78"/>
      <c r="D29" s="79"/>
      <c r="E29" s="79"/>
      <c r="F29" s="54" t="str">
        <f t="shared" si="46"/>
        <v/>
      </c>
      <c r="G29" s="55" t="str">
        <f t="shared" si="39"/>
        <v/>
      </c>
      <c r="H29" s="80"/>
      <c r="I29" s="81"/>
      <c r="J29" s="57" t="str">
        <f t="shared" si="40"/>
        <v/>
      </c>
      <c r="K29" s="58" t="str">
        <f t="shared" si="41"/>
        <v/>
      </c>
      <c r="L29" s="79">
        <f>200000-120000</f>
        <v>80000</v>
      </c>
      <c r="M29" s="81">
        <v>1.0</v>
      </c>
      <c r="N29" s="79" t="s">
        <v>263</v>
      </c>
      <c r="O29" s="79">
        <v>1.0</v>
      </c>
      <c r="P29" s="79">
        <v>2.0</v>
      </c>
      <c r="Q29" s="59" t="str">
        <f t="shared" si="42"/>
        <v/>
      </c>
      <c r="R29" s="60">
        <f t="shared" si="43"/>
        <v>80000</v>
      </c>
      <c r="S29" s="59" t="str">
        <f t="shared" si="44"/>
        <v/>
      </c>
      <c r="T29" s="61" t="str">
        <f t="shared" si="45"/>
        <v/>
      </c>
    </row>
    <row r="30">
      <c r="A30" s="10"/>
      <c r="B30" s="51" t="s">
        <v>28</v>
      </c>
      <c r="C30" s="63"/>
      <c r="D30" s="53"/>
      <c r="E30" s="53"/>
      <c r="F30" s="54" t="str">
        <f t="shared" si="46"/>
        <v/>
      </c>
      <c r="G30" s="55" t="str">
        <f t="shared" si="39"/>
        <v/>
      </c>
      <c r="H30" s="56"/>
      <c r="I30" s="51"/>
      <c r="J30" s="57" t="str">
        <f t="shared" si="40"/>
        <v/>
      </c>
      <c r="K30" s="58" t="str">
        <f t="shared" si="41"/>
        <v/>
      </c>
      <c r="L30" s="53"/>
      <c r="M30" s="51"/>
      <c r="N30" s="53"/>
      <c r="O30" s="53"/>
      <c r="P30" s="53"/>
      <c r="Q30" s="59" t="str">
        <f t="shared" si="42"/>
        <v/>
      </c>
      <c r="R30" s="60">
        <f t="shared" si="43"/>
        <v>0</v>
      </c>
      <c r="S30" s="59" t="str">
        <f t="shared" si="44"/>
        <v/>
      </c>
      <c r="T30" s="61" t="str">
        <f t="shared" si="45"/>
        <v/>
      </c>
    </row>
    <row r="31">
      <c r="A31" s="30" t="s">
        <v>29</v>
      </c>
      <c r="B31" s="31"/>
      <c r="C31" s="31"/>
      <c r="D31" s="31"/>
      <c r="E31" s="32"/>
      <c r="F31" s="65" t="str">
        <f t="shared" ref="F31:G31" si="47">averageif(F27:F30,"&gt;0")</f>
        <v>#DIV/0!</v>
      </c>
      <c r="G31" s="66" t="str">
        <f t="shared" si="47"/>
        <v>#DIV/0!</v>
      </c>
      <c r="H31" s="67"/>
      <c r="I31" s="68">
        <f>SUM(I27:I30)</f>
        <v>0</v>
      </c>
      <c r="J31" s="69" t="str">
        <f t="shared" ref="J31:K31" si="48">averageif(J27:J30,"&gt;0")</f>
        <v>#DIV/0!</v>
      </c>
      <c r="K31" s="70" t="str">
        <f t="shared" si="48"/>
        <v>#DIV/0!</v>
      </c>
      <c r="L31" s="68">
        <f t="shared" ref="L31:M31" si="49">SUM(L27:L30)</f>
        <v>80000</v>
      </c>
      <c r="M31" s="71">
        <f t="shared" si="49"/>
        <v>1</v>
      </c>
      <c r="N31" s="68"/>
      <c r="O31" s="68">
        <f t="shared" ref="O31:P31" si="50">SUM(O27:O30)</f>
        <v>1</v>
      </c>
      <c r="P31" s="68">
        <f t="shared" si="50"/>
        <v>2</v>
      </c>
      <c r="Q31" s="72" t="str">
        <f>averageif(Q27:Q30,"&gt;0")</f>
        <v>#DIV/0!</v>
      </c>
      <c r="R31" s="67"/>
      <c r="S31" s="72" t="str">
        <f t="shared" ref="S31:T31" si="51">averageif(S27:S30,"&gt;0")</f>
        <v>#DIV/0!</v>
      </c>
      <c r="T31" s="73" t="str">
        <f t="shared" si="51"/>
        <v>#DIV/0!</v>
      </c>
    </row>
    <row r="33">
      <c r="A33" s="1" t="s">
        <v>218</v>
      </c>
      <c r="B33" s="2" t="s">
        <v>1</v>
      </c>
      <c r="C33" s="3" t="s">
        <v>2</v>
      </c>
      <c r="D33" s="4"/>
      <c r="E33" s="4"/>
      <c r="F33" s="4"/>
      <c r="G33" s="4"/>
      <c r="H33" s="5"/>
      <c r="I33" s="6" t="s">
        <v>3</v>
      </c>
      <c r="J33" s="4"/>
      <c r="K33" s="5"/>
      <c r="L33" s="7" t="s">
        <v>4</v>
      </c>
      <c r="M33" s="4"/>
      <c r="N33" s="4"/>
      <c r="O33" s="4"/>
      <c r="P33" s="4"/>
      <c r="Q33" s="4"/>
      <c r="R33" s="4"/>
      <c r="S33" s="4"/>
      <c r="T33" s="8"/>
    </row>
    <row r="34">
      <c r="A34" s="10"/>
      <c r="B34" s="11"/>
      <c r="C34" s="12" t="s">
        <v>5</v>
      </c>
      <c r="D34" s="12" t="s">
        <v>6</v>
      </c>
      <c r="E34" s="12" t="s">
        <v>7</v>
      </c>
      <c r="F34" s="12" t="s">
        <v>264</v>
      </c>
      <c r="G34" s="12" t="s">
        <v>265</v>
      </c>
      <c r="H34" s="12" t="s">
        <v>63</v>
      </c>
      <c r="I34" s="12" t="s">
        <v>11</v>
      </c>
      <c r="J34" s="12" t="s">
        <v>266</v>
      </c>
      <c r="K34" s="12" t="s">
        <v>267</v>
      </c>
      <c r="L34" s="12" t="s">
        <v>16</v>
      </c>
      <c r="M34" s="12" t="s">
        <v>223</v>
      </c>
      <c r="N34" s="12" t="s">
        <v>268</v>
      </c>
      <c r="O34" s="12" t="s">
        <v>225</v>
      </c>
      <c r="P34" s="12" t="s">
        <v>226</v>
      </c>
      <c r="Q34" s="12" t="s">
        <v>269</v>
      </c>
      <c r="R34" s="12" t="s">
        <v>20</v>
      </c>
      <c r="S34" s="12" t="s">
        <v>270</v>
      </c>
      <c r="T34" s="14" t="s">
        <v>271</v>
      </c>
    </row>
    <row r="35">
      <c r="A35" s="49" t="s">
        <v>272</v>
      </c>
      <c r="B35" s="51" t="s">
        <v>24</v>
      </c>
      <c r="C35" s="52"/>
      <c r="D35" s="53">
        <f t="shared" ref="D35:E35" si="52">D3+D11+D19+D27</f>
        <v>0</v>
      </c>
      <c r="E35" s="53">
        <f t="shared" si="52"/>
        <v>0</v>
      </c>
      <c r="F35" s="54" t="str">
        <f t="shared" ref="F35:F38" si="57">iferror(H35/E35,"")</f>
        <v/>
      </c>
      <c r="G35" s="55" t="str">
        <f t="shared" ref="G35:G38" si="58">iferror(E35/D35,"")</f>
        <v/>
      </c>
      <c r="H35" s="53">
        <f t="shared" ref="H35:I35" si="53">H3+H11+H19+H27</f>
        <v>0</v>
      </c>
      <c r="I35" s="53">
        <f t="shared" si="53"/>
        <v>0</v>
      </c>
      <c r="J35" s="57" t="str">
        <f t="shared" ref="J35:J38" si="60">iferror(I35/E35,"")</f>
        <v/>
      </c>
      <c r="K35" s="58" t="str">
        <f t="shared" ref="K35:K38" si="61">iferror(H35/I35,"")</f>
        <v/>
      </c>
      <c r="L35" s="53">
        <f t="shared" ref="L35:M35" si="54">L3+L11+L19+L27</f>
        <v>200000</v>
      </c>
      <c r="M35" s="53">
        <f t="shared" si="54"/>
        <v>1</v>
      </c>
      <c r="N35" s="53"/>
      <c r="O35" s="53">
        <f t="shared" ref="O35:P35" si="55">O3+O11+O19+O27</f>
        <v>0</v>
      </c>
      <c r="P35" s="53">
        <f t="shared" si="55"/>
        <v>0</v>
      </c>
      <c r="Q35" s="59" t="str">
        <f t="shared" ref="Q35:Q38" si="64">iferror(M35/I35,"")</f>
        <v/>
      </c>
      <c r="R35" s="60">
        <f t="shared" ref="R35:R38" si="65">iferror(L35-H35,"")</f>
        <v>200000</v>
      </c>
      <c r="S35" s="59" t="str">
        <f t="shared" ref="S35:S38" si="66">iferror(L35/H35,"")</f>
        <v/>
      </c>
      <c r="T35" s="61" t="str">
        <f t="shared" ref="T35:T38" si="67">iferror(R35/H35,"")</f>
        <v/>
      </c>
    </row>
    <row r="36">
      <c r="A36" s="27"/>
      <c r="B36" s="51" t="s">
        <v>25</v>
      </c>
      <c r="C36" s="52"/>
      <c r="D36" s="53">
        <f t="shared" ref="D36:E36" si="56">D4+D12+D20+D28</f>
        <v>0</v>
      </c>
      <c r="E36" s="53">
        <f t="shared" si="56"/>
        <v>0</v>
      </c>
      <c r="F36" s="54" t="str">
        <f t="shared" si="57"/>
        <v/>
      </c>
      <c r="G36" s="55" t="str">
        <f t="shared" si="58"/>
        <v/>
      </c>
      <c r="H36" s="53">
        <f t="shared" ref="H36:I36" si="59">H4+H12+H20+H28</f>
        <v>0</v>
      </c>
      <c r="I36" s="53">
        <f t="shared" si="59"/>
        <v>0</v>
      </c>
      <c r="J36" s="57" t="str">
        <f t="shared" si="60"/>
        <v/>
      </c>
      <c r="K36" s="58" t="str">
        <f t="shared" si="61"/>
        <v/>
      </c>
      <c r="L36" s="53">
        <f t="shared" ref="L36:M36" si="62">L4+L12+L20+L28</f>
        <v>280000</v>
      </c>
      <c r="M36" s="53">
        <f t="shared" si="62"/>
        <v>2</v>
      </c>
      <c r="N36" s="53"/>
      <c r="O36" s="53">
        <f t="shared" ref="O36:P36" si="63">O4+O12+O20+O28</f>
        <v>2</v>
      </c>
      <c r="P36" s="53">
        <f t="shared" si="63"/>
        <v>4</v>
      </c>
      <c r="Q36" s="59" t="str">
        <f t="shared" si="64"/>
        <v/>
      </c>
      <c r="R36" s="60">
        <f t="shared" si="65"/>
        <v>280000</v>
      </c>
      <c r="S36" s="59" t="str">
        <f t="shared" si="66"/>
        <v/>
      </c>
      <c r="T36" s="61" t="str">
        <f t="shared" si="67"/>
        <v/>
      </c>
    </row>
    <row r="37">
      <c r="A37" s="27"/>
      <c r="B37" s="51" t="s">
        <v>27</v>
      </c>
      <c r="C37" s="62"/>
      <c r="D37" s="53">
        <f t="shared" ref="D37:E37" si="68">D5+D13+D21+D29</f>
        <v>0</v>
      </c>
      <c r="E37" s="53">
        <f t="shared" si="68"/>
        <v>0</v>
      </c>
      <c r="F37" s="54" t="str">
        <f t="shared" si="57"/>
        <v/>
      </c>
      <c r="G37" s="55" t="str">
        <f t="shared" si="58"/>
        <v/>
      </c>
      <c r="H37" s="53">
        <f t="shared" ref="H37:I37" si="69">H5+H13+H21+H29</f>
        <v>0</v>
      </c>
      <c r="I37" s="53">
        <f t="shared" si="69"/>
        <v>0</v>
      </c>
      <c r="J37" s="57" t="str">
        <f t="shared" si="60"/>
        <v/>
      </c>
      <c r="K37" s="58" t="str">
        <f t="shared" si="61"/>
        <v/>
      </c>
      <c r="L37" s="53">
        <f t="shared" ref="L37:M37" si="70">L5+L13+L21+L29</f>
        <v>1100000</v>
      </c>
      <c r="M37" s="53">
        <f t="shared" si="70"/>
        <v>4</v>
      </c>
      <c r="N37" s="53"/>
      <c r="O37" s="53">
        <f t="shared" ref="O37:P37" si="71">O5+O13+O21+O29</f>
        <v>6</v>
      </c>
      <c r="P37" s="53">
        <f t="shared" si="71"/>
        <v>12</v>
      </c>
      <c r="Q37" s="59" t="str">
        <f t="shared" si="64"/>
        <v/>
      </c>
      <c r="R37" s="60">
        <f t="shared" si="65"/>
        <v>1100000</v>
      </c>
      <c r="S37" s="59" t="str">
        <f t="shared" si="66"/>
        <v/>
      </c>
      <c r="T37" s="61" t="str">
        <f t="shared" si="67"/>
        <v/>
      </c>
    </row>
    <row r="38">
      <c r="A38" s="10"/>
      <c r="B38" s="51" t="s">
        <v>28</v>
      </c>
      <c r="C38" s="63"/>
      <c r="D38" s="53">
        <f t="shared" ref="D38:E38" si="72">D6+D14+D22+D30</f>
        <v>0</v>
      </c>
      <c r="E38" s="53">
        <f t="shared" si="72"/>
        <v>0</v>
      </c>
      <c r="F38" s="54" t="str">
        <f t="shared" si="57"/>
        <v/>
      </c>
      <c r="G38" s="55" t="str">
        <f t="shared" si="58"/>
        <v/>
      </c>
      <c r="H38" s="53">
        <f t="shared" ref="H38:I38" si="73">H6+H14+H22+H30</f>
        <v>0</v>
      </c>
      <c r="I38" s="53">
        <f t="shared" si="73"/>
        <v>0</v>
      </c>
      <c r="J38" s="57" t="str">
        <f t="shared" si="60"/>
        <v/>
      </c>
      <c r="K38" s="58" t="str">
        <f t="shared" si="61"/>
        <v/>
      </c>
      <c r="L38" s="53">
        <f t="shared" ref="L38:M38" si="74">L6+L14+L22+L30</f>
        <v>0</v>
      </c>
      <c r="M38" s="53">
        <f t="shared" si="74"/>
        <v>0</v>
      </c>
      <c r="N38" s="53"/>
      <c r="O38" s="53">
        <f t="shared" ref="O38:P38" si="75">O6+O14+O22+O30</f>
        <v>0</v>
      </c>
      <c r="P38" s="53">
        <f t="shared" si="75"/>
        <v>0</v>
      </c>
      <c r="Q38" s="59" t="str">
        <f t="shared" si="64"/>
        <v/>
      </c>
      <c r="R38" s="60">
        <f t="shared" si="65"/>
        <v>0</v>
      </c>
      <c r="S38" s="59" t="str">
        <f t="shared" si="66"/>
        <v/>
      </c>
      <c r="T38" s="61" t="str">
        <f t="shared" si="67"/>
        <v/>
      </c>
    </row>
    <row r="39">
      <c r="A39" s="30" t="s">
        <v>29</v>
      </c>
      <c r="B39" s="31"/>
      <c r="C39" s="31"/>
      <c r="D39" s="31"/>
      <c r="E39" s="32"/>
      <c r="F39" s="65" t="str">
        <f t="shared" ref="F39:G39" si="76">averageif(F35:F38,"&gt;0")</f>
        <v>#DIV/0!</v>
      </c>
      <c r="G39" s="66" t="str">
        <f t="shared" si="76"/>
        <v>#DIV/0!</v>
      </c>
      <c r="H39" s="67"/>
      <c r="I39" s="68">
        <f>SUM(I35:I38)</f>
        <v>0</v>
      </c>
      <c r="J39" s="69" t="str">
        <f t="shared" ref="J39:K39" si="77">averageif(J35:J38,"&gt;0")</f>
        <v>#DIV/0!</v>
      </c>
      <c r="K39" s="70" t="str">
        <f t="shared" si="77"/>
        <v>#DIV/0!</v>
      </c>
      <c r="L39" s="68">
        <f t="shared" ref="L39:M39" si="78">SUM(L35:L38)</f>
        <v>1580000</v>
      </c>
      <c r="M39" s="68">
        <f t="shared" si="78"/>
        <v>7</v>
      </c>
      <c r="N39" s="68"/>
      <c r="O39" s="68">
        <f t="shared" ref="O39:P39" si="79">SUM(O35:O38)</f>
        <v>8</v>
      </c>
      <c r="P39" s="68">
        <f t="shared" si="79"/>
        <v>16</v>
      </c>
      <c r="Q39" s="72" t="str">
        <f>averageif(Q35:Q38,"&gt;0")</f>
        <v>#DIV/0!</v>
      </c>
      <c r="R39" s="67"/>
      <c r="S39" s="72" t="str">
        <f t="shared" ref="S39:T39" si="80">averageif(S35:S38,"&gt;0")</f>
        <v>#DIV/0!</v>
      </c>
      <c r="T39" s="73" t="str">
        <f t="shared" si="80"/>
        <v>#DIV/0!</v>
      </c>
    </row>
    <row r="41">
      <c r="A41" s="1" t="s">
        <v>273</v>
      </c>
      <c r="B41" s="2" t="s">
        <v>1</v>
      </c>
      <c r="C41" s="3" t="s">
        <v>2</v>
      </c>
      <c r="D41" s="4"/>
      <c r="E41" s="4"/>
      <c r="F41" s="4"/>
      <c r="G41" s="4"/>
      <c r="H41" s="5"/>
      <c r="I41" s="6" t="s">
        <v>3</v>
      </c>
      <c r="J41" s="4"/>
      <c r="K41" s="5"/>
      <c r="L41" s="7" t="s">
        <v>4</v>
      </c>
      <c r="M41" s="4"/>
      <c r="N41" s="4"/>
      <c r="O41" s="4"/>
      <c r="P41" s="4"/>
      <c r="Q41" s="4"/>
      <c r="R41" s="4"/>
      <c r="S41" s="4"/>
      <c r="T41" s="8"/>
    </row>
    <row r="42">
      <c r="A42" s="10"/>
      <c r="B42" s="11"/>
      <c r="C42" s="12" t="s">
        <v>5</v>
      </c>
      <c r="D42" s="12" t="s">
        <v>6</v>
      </c>
      <c r="E42" s="12" t="s">
        <v>7</v>
      </c>
      <c r="F42" s="12" t="s">
        <v>274</v>
      </c>
      <c r="G42" s="12" t="s">
        <v>275</v>
      </c>
      <c r="H42" s="12" t="s">
        <v>63</v>
      </c>
      <c r="I42" s="12" t="s">
        <v>11</v>
      </c>
      <c r="J42" s="12" t="s">
        <v>276</v>
      </c>
      <c r="K42" s="12" t="s">
        <v>277</v>
      </c>
      <c r="L42" s="12" t="s">
        <v>16</v>
      </c>
      <c r="M42" s="12" t="s">
        <v>223</v>
      </c>
      <c r="N42" s="12" t="s">
        <v>278</v>
      </c>
      <c r="O42" s="12" t="s">
        <v>225</v>
      </c>
      <c r="P42" s="12" t="s">
        <v>226</v>
      </c>
      <c r="Q42" s="12" t="s">
        <v>279</v>
      </c>
      <c r="R42" s="12" t="s">
        <v>20</v>
      </c>
      <c r="S42" s="12" t="s">
        <v>280</v>
      </c>
      <c r="T42" s="14" t="s">
        <v>281</v>
      </c>
    </row>
    <row r="43">
      <c r="A43" s="82" t="s">
        <v>282</v>
      </c>
      <c r="B43" s="51" t="s">
        <v>24</v>
      </c>
      <c r="C43" s="52"/>
      <c r="D43" s="53">
        <f>D35+'10월'!D51</f>
        <v>34248</v>
      </c>
      <c r="E43" s="53">
        <f>E35+'10월'!E51</f>
        <v>1522</v>
      </c>
      <c r="F43" s="54">
        <f t="shared" ref="F43:F46" si="81">iferror(H43/E43,"")</f>
        <v>353.1438896</v>
      </c>
      <c r="G43" s="55">
        <f t="shared" ref="G43:G46" si="82">iferror(E43/D43,"")</f>
        <v>0.04444055127</v>
      </c>
      <c r="H43" s="53">
        <f>H35+'10월'!H51</f>
        <v>537485</v>
      </c>
      <c r="I43" s="53">
        <f>I35+'10월'!I51</f>
        <v>119</v>
      </c>
      <c r="J43" s="57">
        <f t="shared" ref="J43:J46" si="83">iferror(I43/E43,"")</f>
        <v>0.07818659658</v>
      </c>
      <c r="K43" s="58">
        <f t="shared" ref="K43:K46" si="84">iferror(H43/I43,"")</f>
        <v>4516.680672</v>
      </c>
      <c r="L43" s="53">
        <f>L35+'10월'!L51</f>
        <v>940000</v>
      </c>
      <c r="M43" s="53">
        <f>M35+'10월'!M51</f>
        <v>7</v>
      </c>
      <c r="N43" s="53"/>
      <c r="O43" s="53">
        <f>O35+'10월'!O51</f>
        <v>6</v>
      </c>
      <c r="P43" s="53">
        <f>P35+'10월'!P51</f>
        <v>9</v>
      </c>
      <c r="Q43" s="59">
        <f t="shared" ref="Q43:Q46" si="85">iferror(M43/I43,"")</f>
        <v>0.05882352941</v>
      </c>
      <c r="R43" s="60">
        <f t="shared" ref="R43:R46" si="86">iferror(L43-H43,"")</f>
        <v>402515</v>
      </c>
      <c r="S43" s="59">
        <f t="shared" ref="S43:S46" si="87">iferror(L43/H43,"")</f>
        <v>1.748886015</v>
      </c>
      <c r="T43" s="61">
        <f t="shared" ref="T43:T46" si="88">iferror(R43/H43,"")</f>
        <v>0.7488860154</v>
      </c>
    </row>
    <row r="44">
      <c r="A44" s="27"/>
      <c r="B44" s="51" t="s">
        <v>25</v>
      </c>
      <c r="C44" s="52"/>
      <c r="D44" s="53">
        <f>D36+'10월'!D52</f>
        <v>30945</v>
      </c>
      <c r="E44" s="53">
        <f>E36+'10월'!E52</f>
        <v>1363</v>
      </c>
      <c r="F44" s="54">
        <f t="shared" si="81"/>
        <v>381.2531181</v>
      </c>
      <c r="G44" s="55">
        <f t="shared" si="82"/>
        <v>0.04404588787</v>
      </c>
      <c r="H44" s="53">
        <f>H36+'10월'!H52</f>
        <v>519648</v>
      </c>
      <c r="I44" s="53">
        <f>I36+'10월'!I52</f>
        <v>231</v>
      </c>
      <c r="J44" s="57">
        <f t="shared" si="83"/>
        <v>0.1694790902</v>
      </c>
      <c r="K44" s="58">
        <f t="shared" si="84"/>
        <v>2249.558442</v>
      </c>
      <c r="L44" s="53">
        <f>L36+'10월'!L52</f>
        <v>2480000</v>
      </c>
      <c r="M44" s="53">
        <f>M36+'10월'!M52</f>
        <v>13</v>
      </c>
      <c r="N44" s="53"/>
      <c r="O44" s="53">
        <f>O36+'10월'!O52</f>
        <v>18</v>
      </c>
      <c r="P44" s="53">
        <f>P36+'10월'!P52</f>
        <v>36</v>
      </c>
      <c r="Q44" s="59">
        <f t="shared" si="85"/>
        <v>0.05627705628</v>
      </c>
      <c r="R44" s="60">
        <f t="shared" si="86"/>
        <v>1960352</v>
      </c>
      <c r="S44" s="59">
        <f t="shared" si="87"/>
        <v>4.772461358</v>
      </c>
      <c r="T44" s="61">
        <f t="shared" si="88"/>
        <v>3.772461358</v>
      </c>
    </row>
    <row r="45">
      <c r="A45" s="27"/>
      <c r="B45" s="51" t="s">
        <v>27</v>
      </c>
      <c r="C45" s="62"/>
      <c r="D45" s="53">
        <f>D37+'10월'!D53</f>
        <v>78644</v>
      </c>
      <c r="E45" s="53">
        <f>E37+'10월'!E53</f>
        <v>4665</v>
      </c>
      <c r="F45" s="54">
        <f t="shared" si="81"/>
        <v>256.6120043</v>
      </c>
      <c r="G45" s="55">
        <f t="shared" si="82"/>
        <v>0.05931793907</v>
      </c>
      <c r="H45" s="53">
        <f>H37+'10월'!H53</f>
        <v>1197095</v>
      </c>
      <c r="I45" s="53">
        <f>I37+'10월'!I53</f>
        <v>415</v>
      </c>
      <c r="J45" s="57">
        <f t="shared" si="83"/>
        <v>0.08896034298</v>
      </c>
      <c r="K45" s="58">
        <f t="shared" si="84"/>
        <v>2884.566265</v>
      </c>
      <c r="L45" s="53">
        <f>L37+'10월'!L53</f>
        <v>3300000</v>
      </c>
      <c r="M45" s="53">
        <f>M37+'10월'!M53</f>
        <v>20</v>
      </c>
      <c r="N45" s="53"/>
      <c r="O45" s="53">
        <f>O37+'10월'!O53</f>
        <v>22</v>
      </c>
      <c r="P45" s="53">
        <f>P37+'10월'!P53</f>
        <v>44</v>
      </c>
      <c r="Q45" s="59">
        <f t="shared" si="85"/>
        <v>0.04819277108</v>
      </c>
      <c r="R45" s="60">
        <f t="shared" si="86"/>
        <v>2102905</v>
      </c>
      <c r="S45" s="59">
        <f t="shared" si="87"/>
        <v>2.756673447</v>
      </c>
      <c r="T45" s="61">
        <f t="shared" si="88"/>
        <v>1.756673447</v>
      </c>
    </row>
    <row r="46">
      <c r="A46" s="10"/>
      <c r="B46" s="51" t="s">
        <v>28</v>
      </c>
      <c r="C46" s="63"/>
      <c r="D46" s="53">
        <f>D38+'10월'!D54</f>
        <v>30261</v>
      </c>
      <c r="E46" s="53">
        <f>E38+'10월'!E54</f>
        <v>1471</v>
      </c>
      <c r="F46" s="54">
        <f t="shared" si="81"/>
        <v>326.5955133</v>
      </c>
      <c r="G46" s="55">
        <f t="shared" si="82"/>
        <v>0.04861042266</v>
      </c>
      <c r="H46" s="53">
        <f>H38+'10월'!H54</f>
        <v>480422</v>
      </c>
      <c r="I46" s="53">
        <f>I38+'10월'!I54</f>
        <v>115</v>
      </c>
      <c r="J46" s="57">
        <f t="shared" si="83"/>
        <v>0.07817811013</v>
      </c>
      <c r="K46" s="58">
        <f t="shared" si="84"/>
        <v>4177.582609</v>
      </c>
      <c r="L46" s="53">
        <f>L38+'10월'!L54</f>
        <v>120000</v>
      </c>
      <c r="M46" s="53">
        <f>M38+'10월'!M54</f>
        <v>1</v>
      </c>
      <c r="N46" s="53"/>
      <c r="O46" s="53">
        <f>O38+'10월'!O54</f>
        <v>1</v>
      </c>
      <c r="P46" s="53">
        <f>P38+'10월'!P54</f>
        <v>2</v>
      </c>
      <c r="Q46" s="59">
        <f t="shared" si="85"/>
        <v>0.008695652174</v>
      </c>
      <c r="R46" s="60">
        <f t="shared" si="86"/>
        <v>-360422</v>
      </c>
      <c r="S46" s="59">
        <f t="shared" si="87"/>
        <v>0.2497804014</v>
      </c>
      <c r="T46" s="61">
        <f t="shared" si="88"/>
        <v>-0.7502195986</v>
      </c>
    </row>
    <row r="47">
      <c r="A47" s="30" t="s">
        <v>29</v>
      </c>
      <c r="B47" s="31"/>
      <c r="C47" s="31"/>
      <c r="D47" s="31"/>
      <c r="E47" s="32"/>
      <c r="F47" s="65">
        <f t="shared" ref="F47:G47" si="89">averageif(F43:F46,"&gt;0")</f>
        <v>329.4011313</v>
      </c>
      <c r="G47" s="66">
        <f t="shared" si="89"/>
        <v>0.04910370022</v>
      </c>
      <c r="H47" s="67"/>
      <c r="I47" s="68">
        <f>SUM(I43:I46)</f>
        <v>880</v>
      </c>
      <c r="J47" s="69">
        <f t="shared" ref="J47:K47" si="90">averageif(J43:J46,"&gt;0")</f>
        <v>0.103701035</v>
      </c>
      <c r="K47" s="70">
        <f t="shared" si="90"/>
        <v>3457.096997</v>
      </c>
      <c r="L47" s="68">
        <f t="shared" ref="L47:M47" si="91">SUM(L43:L46)</f>
        <v>6840000</v>
      </c>
      <c r="M47" s="68">
        <f t="shared" si="91"/>
        <v>41</v>
      </c>
      <c r="N47" s="68"/>
      <c r="O47" s="68">
        <f t="shared" ref="O47:P47" si="92">SUM(O43:O46)</f>
        <v>47</v>
      </c>
      <c r="P47" s="68">
        <f t="shared" si="92"/>
        <v>91</v>
      </c>
      <c r="Q47" s="72">
        <f>averageif(Q43:Q46,"&gt;0")</f>
        <v>0.04299725224</v>
      </c>
      <c r="R47" s="67"/>
      <c r="S47" s="72">
        <f t="shared" ref="S47:T47" si="93">averageif(S43:S46,"&gt;0")</f>
        <v>2.381950306</v>
      </c>
      <c r="T47" s="73">
        <f t="shared" si="93"/>
        <v>2.092673607</v>
      </c>
    </row>
    <row r="49">
      <c r="A49" s="1" t="s">
        <v>283</v>
      </c>
      <c r="B49" s="2" t="s">
        <v>1</v>
      </c>
      <c r="C49" s="3" t="s">
        <v>2</v>
      </c>
      <c r="D49" s="4"/>
      <c r="E49" s="4"/>
      <c r="F49" s="4"/>
      <c r="G49" s="4"/>
      <c r="H49" s="5"/>
      <c r="I49" s="6" t="s">
        <v>3</v>
      </c>
      <c r="J49" s="4"/>
      <c r="K49" s="5"/>
      <c r="L49" s="7" t="s">
        <v>4</v>
      </c>
      <c r="M49" s="4"/>
      <c r="N49" s="4"/>
      <c r="O49" s="4"/>
      <c r="P49" s="4"/>
      <c r="Q49" s="4"/>
      <c r="R49" s="4"/>
      <c r="S49" s="4"/>
      <c r="T49" s="8"/>
    </row>
    <row r="50">
      <c r="A50" s="10"/>
      <c r="B50" s="11"/>
      <c r="C50" s="12" t="s">
        <v>5</v>
      </c>
      <c r="D50" s="12" t="s">
        <v>6</v>
      </c>
      <c r="E50" s="12" t="s">
        <v>7</v>
      </c>
      <c r="F50" s="12" t="s">
        <v>284</v>
      </c>
      <c r="G50" s="12" t="s">
        <v>285</v>
      </c>
      <c r="H50" s="12" t="s">
        <v>286</v>
      </c>
      <c r="I50" s="12" t="s">
        <v>11</v>
      </c>
      <c r="J50" s="12" t="s">
        <v>287</v>
      </c>
      <c r="K50" s="12" t="s">
        <v>288</v>
      </c>
      <c r="L50" s="12" t="s">
        <v>16</v>
      </c>
      <c r="M50" s="12" t="s">
        <v>223</v>
      </c>
      <c r="N50" s="12" t="s">
        <v>289</v>
      </c>
      <c r="O50" s="12" t="s">
        <v>225</v>
      </c>
      <c r="P50" s="12" t="s">
        <v>226</v>
      </c>
      <c r="Q50" s="12" t="s">
        <v>290</v>
      </c>
      <c r="R50" s="12" t="s">
        <v>20</v>
      </c>
      <c r="S50" s="12" t="s">
        <v>291</v>
      </c>
      <c r="T50" s="14" t="s">
        <v>292</v>
      </c>
    </row>
    <row r="51">
      <c r="A51" s="83" t="s">
        <v>293</v>
      </c>
      <c r="B51" s="51" t="s">
        <v>24</v>
      </c>
      <c r="C51" s="52"/>
      <c r="D51" s="53">
        <f>'10월'!D59+D35</f>
        <v>291248</v>
      </c>
      <c r="E51" s="53">
        <f>'10월'!E59+E35</f>
        <v>15385</v>
      </c>
      <c r="F51" s="54">
        <f t="shared" ref="F51:F54" si="94">iferror(H51/E51,"")</f>
        <v>189.8340591</v>
      </c>
      <c r="G51" s="55">
        <f t="shared" ref="G51:G54" si="95">iferror(E51/D51,"")</f>
        <v>0.05282439708</v>
      </c>
      <c r="H51" s="53">
        <f>'10월'!H59+H35</f>
        <v>2920597</v>
      </c>
      <c r="I51" s="53">
        <f>'10월'!I59+I35</f>
        <v>342</v>
      </c>
      <c r="J51" s="57">
        <f t="shared" ref="J51:J54" si="96">iferror(I51/E51,"")</f>
        <v>0.02222944426</v>
      </c>
      <c r="K51" s="58">
        <f t="shared" ref="K51:K54" si="97">iferror(H51/I51,"")</f>
        <v>8539.75731</v>
      </c>
      <c r="L51" s="53">
        <f>'10월'!L59+L35</f>
        <v>4450000</v>
      </c>
      <c r="M51" s="53">
        <f>'10월'!M59+M35</f>
        <v>15</v>
      </c>
      <c r="N51" s="53"/>
      <c r="O51" s="53">
        <f>'10월'!O59+O35</f>
        <v>8</v>
      </c>
      <c r="P51" s="53">
        <f>'10월'!P59+P35</f>
        <v>58</v>
      </c>
      <c r="Q51" s="59">
        <f t="shared" ref="Q51:Q54" si="98">iferror(M51/I51,"")</f>
        <v>0.04385964912</v>
      </c>
      <c r="R51" s="60">
        <f t="shared" ref="R51:R54" si="99">iferror(L51-H51,"")</f>
        <v>1529403</v>
      </c>
      <c r="S51" s="59">
        <f t="shared" ref="S51:S54" si="100">iferror(L51/H51,"")</f>
        <v>1.523661087</v>
      </c>
      <c r="T51" s="61">
        <f t="shared" ref="T51:T54" si="101">iferror(R51/H51,"")</f>
        <v>0.5236610871</v>
      </c>
    </row>
    <row r="52">
      <c r="A52" s="27"/>
      <c r="B52" s="51" t="s">
        <v>25</v>
      </c>
      <c r="C52" s="52"/>
      <c r="D52" s="53">
        <f>'10월'!D60+D36</f>
        <v>164565</v>
      </c>
      <c r="E52" s="53">
        <f>'10월'!E60+E36</f>
        <v>8968</v>
      </c>
      <c r="F52" s="54">
        <f t="shared" si="94"/>
        <v>285.4853925</v>
      </c>
      <c r="G52" s="55">
        <f t="shared" si="95"/>
        <v>0.05449518427</v>
      </c>
      <c r="H52" s="53">
        <f>'10월'!H60+H36</f>
        <v>2560233</v>
      </c>
      <c r="I52" s="53">
        <f>'10월'!I60+I36</f>
        <v>615</v>
      </c>
      <c r="J52" s="57">
        <f t="shared" si="96"/>
        <v>0.06857716325</v>
      </c>
      <c r="K52" s="58">
        <f t="shared" si="97"/>
        <v>4162.980488</v>
      </c>
      <c r="L52" s="53">
        <f>'10월'!L60+L36</f>
        <v>3980000</v>
      </c>
      <c r="M52" s="53">
        <f>'10월'!M60+M36</f>
        <v>23</v>
      </c>
      <c r="N52" s="53"/>
      <c r="O52" s="53">
        <f>'10월'!O60+O36</f>
        <v>31</v>
      </c>
      <c r="P52" s="53">
        <f>'10월'!P60+P36</f>
        <v>66</v>
      </c>
      <c r="Q52" s="59">
        <f t="shared" si="98"/>
        <v>0.03739837398</v>
      </c>
      <c r="R52" s="60">
        <f t="shared" si="99"/>
        <v>1419767</v>
      </c>
      <c r="S52" s="59">
        <f t="shared" si="100"/>
        <v>1.554546012</v>
      </c>
      <c r="T52" s="61">
        <f t="shared" si="101"/>
        <v>0.554546012</v>
      </c>
    </row>
    <row r="53">
      <c r="A53" s="27"/>
      <c r="B53" s="51" t="s">
        <v>27</v>
      </c>
      <c r="C53" s="62"/>
      <c r="D53" s="53">
        <f>'10월'!D61+D37</f>
        <v>298520</v>
      </c>
      <c r="E53" s="53">
        <f>'10월'!E61+E37</f>
        <v>14902</v>
      </c>
      <c r="F53" s="54">
        <f t="shared" si="94"/>
        <v>184.0100658</v>
      </c>
      <c r="G53" s="55">
        <f t="shared" si="95"/>
        <v>0.04991960338</v>
      </c>
      <c r="H53" s="53">
        <f>'10월'!H61+H37</f>
        <v>2742118</v>
      </c>
      <c r="I53" s="53">
        <f>'10월'!I61+I37</f>
        <v>641</v>
      </c>
      <c r="J53" s="57">
        <f t="shared" si="96"/>
        <v>0.04301436049</v>
      </c>
      <c r="K53" s="58">
        <f t="shared" si="97"/>
        <v>4277.875195</v>
      </c>
      <c r="L53" s="53">
        <f>'10월'!L61+L37</f>
        <v>5040000</v>
      </c>
      <c r="M53" s="53">
        <f>'10월'!M61+M37</f>
        <v>29</v>
      </c>
      <c r="N53" s="53"/>
      <c r="O53" s="53">
        <f>'10월'!O61+O37</f>
        <v>32.5</v>
      </c>
      <c r="P53" s="53">
        <f>'10월'!P61+P37</f>
        <v>71</v>
      </c>
      <c r="Q53" s="59">
        <f t="shared" si="98"/>
        <v>0.04524180967</v>
      </c>
      <c r="R53" s="60">
        <f t="shared" si="99"/>
        <v>2297882</v>
      </c>
      <c r="S53" s="59">
        <f t="shared" si="100"/>
        <v>1.837995301</v>
      </c>
      <c r="T53" s="61">
        <f t="shared" si="101"/>
        <v>0.8379953014</v>
      </c>
    </row>
    <row r="54">
      <c r="A54" s="10"/>
      <c r="B54" s="51" t="s">
        <v>28</v>
      </c>
      <c r="C54" s="63"/>
      <c r="D54" s="53">
        <f>'10월'!D62+D38</f>
        <v>234317</v>
      </c>
      <c r="E54" s="53">
        <f>'10월'!E62+E38</f>
        <v>11781</v>
      </c>
      <c r="F54" s="54">
        <f t="shared" si="94"/>
        <v>229.2333418</v>
      </c>
      <c r="G54" s="55">
        <f t="shared" si="95"/>
        <v>0.05027804214</v>
      </c>
      <c r="H54" s="53">
        <f>'10월'!H62+H38</f>
        <v>2700598</v>
      </c>
      <c r="I54" s="53">
        <f>'10월'!I62+I38</f>
        <v>428</v>
      </c>
      <c r="J54" s="57">
        <f t="shared" si="96"/>
        <v>0.03632968339</v>
      </c>
      <c r="K54" s="58">
        <f t="shared" si="97"/>
        <v>6309.808411</v>
      </c>
      <c r="L54" s="53">
        <f>'10월'!L62+L38</f>
        <v>1470000</v>
      </c>
      <c r="M54" s="53">
        <f>'10월'!M62+M38</f>
        <v>8</v>
      </c>
      <c r="N54" s="53"/>
      <c r="O54" s="53">
        <f>'10월'!O62+O38</f>
        <v>2</v>
      </c>
      <c r="P54" s="53">
        <f>'10월'!P62+P38</f>
        <v>23</v>
      </c>
      <c r="Q54" s="59">
        <f t="shared" si="98"/>
        <v>0.01869158879</v>
      </c>
      <c r="R54" s="60">
        <f t="shared" si="99"/>
        <v>-1230598</v>
      </c>
      <c r="S54" s="59">
        <f t="shared" si="100"/>
        <v>0.5443238868</v>
      </c>
      <c r="T54" s="61">
        <f t="shared" si="101"/>
        <v>-0.4556761132</v>
      </c>
    </row>
    <row r="55">
      <c r="A55" s="30" t="s">
        <v>29</v>
      </c>
      <c r="B55" s="31"/>
      <c r="C55" s="31"/>
      <c r="D55" s="31"/>
      <c r="E55" s="32"/>
      <c r="F55" s="65">
        <f t="shared" ref="F55:G55" si="102">averageif(F51:F54,"&gt;0")</f>
        <v>222.1407148</v>
      </c>
      <c r="G55" s="66">
        <f t="shared" si="102"/>
        <v>0.05187930672</v>
      </c>
      <c r="H55" s="67"/>
      <c r="I55" s="68">
        <f>SUM(I51:I54)</f>
        <v>2026</v>
      </c>
      <c r="J55" s="69">
        <f t="shared" ref="J55:K55" si="103">averageif(J51:J54,"&gt;0")</f>
        <v>0.04253766285</v>
      </c>
      <c r="K55" s="70">
        <f t="shared" si="103"/>
        <v>5822.605351</v>
      </c>
      <c r="L55" s="68">
        <f t="shared" ref="L55:M55" si="104">SUM(L51:L54)</f>
        <v>14940000</v>
      </c>
      <c r="M55" s="68">
        <f t="shared" si="104"/>
        <v>75</v>
      </c>
      <c r="N55" s="68"/>
      <c r="O55" s="68">
        <f t="shared" ref="O55:P55" si="105">SUM(O51:O54)</f>
        <v>73.5</v>
      </c>
      <c r="P55" s="68">
        <f t="shared" si="105"/>
        <v>218</v>
      </c>
      <c r="Q55" s="72">
        <f>averageif(Q51:Q54,"&gt;0")</f>
        <v>0.03629785539</v>
      </c>
      <c r="R55" s="67"/>
      <c r="S55" s="72">
        <f t="shared" ref="S55:T55" si="106">averageif(S51:S54,"&gt;0")</f>
        <v>1.365131572</v>
      </c>
      <c r="T55" s="73">
        <f t="shared" si="106"/>
        <v>0.6387341335</v>
      </c>
    </row>
  </sheetData>
  <mergeCells count="49">
    <mergeCell ref="A1:A2"/>
    <mergeCell ref="B1:B2"/>
    <mergeCell ref="C1:H1"/>
    <mergeCell ref="I1:K1"/>
    <mergeCell ref="L1:T1"/>
    <mergeCell ref="A3:A6"/>
    <mergeCell ref="A7:E7"/>
    <mergeCell ref="A9:A10"/>
    <mergeCell ref="B9:B10"/>
    <mergeCell ref="C9:H9"/>
    <mergeCell ref="I9:K9"/>
    <mergeCell ref="L9:T9"/>
    <mergeCell ref="A11:A14"/>
    <mergeCell ref="A15:E15"/>
    <mergeCell ref="A17:A18"/>
    <mergeCell ref="B17:B18"/>
    <mergeCell ref="C17:H17"/>
    <mergeCell ref="I17:K17"/>
    <mergeCell ref="L17:T17"/>
    <mergeCell ref="A19:A22"/>
    <mergeCell ref="A23:E23"/>
    <mergeCell ref="A25:A26"/>
    <mergeCell ref="B25:B26"/>
    <mergeCell ref="C25:H25"/>
    <mergeCell ref="I25:K25"/>
    <mergeCell ref="L25:T25"/>
    <mergeCell ref="A27:A30"/>
    <mergeCell ref="A31:E31"/>
    <mergeCell ref="A33:A34"/>
    <mergeCell ref="B33:B34"/>
    <mergeCell ref="C33:H33"/>
    <mergeCell ref="I33:K33"/>
    <mergeCell ref="L33:T33"/>
    <mergeCell ref="A35:A38"/>
    <mergeCell ref="A39:E39"/>
    <mergeCell ref="A49:A50"/>
    <mergeCell ref="B49:B50"/>
    <mergeCell ref="C49:H49"/>
    <mergeCell ref="I49:K49"/>
    <mergeCell ref="L49:T49"/>
    <mergeCell ref="A51:A54"/>
    <mergeCell ref="A55:E55"/>
    <mergeCell ref="A41:A42"/>
    <mergeCell ref="B41:B42"/>
    <mergeCell ref="C41:H41"/>
    <mergeCell ref="I41:K41"/>
    <mergeCell ref="L41:T41"/>
    <mergeCell ref="A43:A46"/>
    <mergeCell ref="A47:E47"/>
  </mergeCells>
  <drawing r:id="rId2"/>
  <legacyDrawing r:id="rId3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63"/>
    <col customWidth="1" min="3" max="3" width="10.88"/>
    <col customWidth="1" min="4" max="4" width="9.63"/>
    <col customWidth="1" min="5" max="5" width="8.38"/>
    <col customWidth="1" min="9" max="9" width="9.13"/>
    <col customWidth="1" min="14" max="16" width="10.25"/>
    <col customWidth="1" min="17" max="17" width="11.88"/>
    <col customWidth="1" min="19" max="19" width="11.5"/>
    <col customWidth="1" min="20" max="20" width="12.38"/>
  </cols>
  <sheetData>
    <row r="1">
      <c r="A1" s="1" t="s">
        <v>294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4"/>
      <c r="K1" s="5"/>
      <c r="L1" s="7" t="s">
        <v>4</v>
      </c>
      <c r="M1" s="4"/>
      <c r="N1" s="4"/>
      <c r="O1" s="4"/>
      <c r="P1" s="4"/>
      <c r="Q1" s="4"/>
      <c r="R1" s="4"/>
      <c r="S1" s="4"/>
      <c r="T1" s="8"/>
    </row>
    <row r="2">
      <c r="A2" s="10"/>
      <c r="B2" s="11"/>
      <c r="C2" s="12" t="s">
        <v>5</v>
      </c>
      <c r="D2" s="12" t="s">
        <v>6</v>
      </c>
      <c r="E2" s="12" t="s">
        <v>7</v>
      </c>
      <c r="F2" s="12" t="s">
        <v>295</v>
      </c>
      <c r="G2" s="12" t="s">
        <v>296</v>
      </c>
      <c r="H2" s="12" t="s">
        <v>10</v>
      </c>
      <c r="I2" s="12" t="s">
        <v>11</v>
      </c>
      <c r="J2" s="12" t="s">
        <v>297</v>
      </c>
      <c r="K2" s="12" t="s">
        <v>298</v>
      </c>
      <c r="L2" s="12" t="s">
        <v>16</v>
      </c>
      <c r="M2" s="12" t="s">
        <v>223</v>
      </c>
      <c r="N2" s="12" t="s">
        <v>299</v>
      </c>
      <c r="O2" s="12" t="s">
        <v>225</v>
      </c>
      <c r="P2" s="12" t="s">
        <v>226</v>
      </c>
      <c r="Q2" s="12" t="s">
        <v>300</v>
      </c>
      <c r="R2" s="12" t="s">
        <v>20</v>
      </c>
      <c r="S2" s="12" t="s">
        <v>301</v>
      </c>
      <c r="T2" s="14" t="s">
        <v>302</v>
      </c>
    </row>
    <row r="3">
      <c r="A3" s="15" t="s">
        <v>303</v>
      </c>
      <c r="B3" s="51" t="s">
        <v>24</v>
      </c>
      <c r="C3" s="52">
        <v>45569.0</v>
      </c>
      <c r="D3" s="53">
        <v>1848.0</v>
      </c>
      <c r="E3" s="53">
        <v>84.0</v>
      </c>
      <c r="F3" s="74">
        <v>436.0</v>
      </c>
      <c r="G3" s="55">
        <f t="shared" ref="G3:G6" si="1">iferror(E3/D3,"")</f>
        <v>0.04545454545</v>
      </c>
      <c r="H3" s="56">
        <v>19823.0</v>
      </c>
      <c r="I3" s="51">
        <v>4.0</v>
      </c>
      <c r="J3" s="57">
        <f t="shared" ref="J3:J6" si="2">iferror(I3/E3,"")</f>
        <v>0.04761904762</v>
      </c>
      <c r="K3" s="58">
        <f t="shared" ref="K3:K6" si="3">iferror(H3/I3,"")</f>
        <v>4955.75</v>
      </c>
      <c r="L3" s="53">
        <v>60000.0</v>
      </c>
      <c r="M3" s="51">
        <v>1.0</v>
      </c>
      <c r="N3" s="53" t="s">
        <v>304</v>
      </c>
      <c r="O3" s="53">
        <v>1.0</v>
      </c>
      <c r="P3" s="53">
        <v>1.0</v>
      </c>
      <c r="Q3" s="59">
        <f t="shared" ref="Q3:Q6" si="4">iferror(M3/I3,"")</f>
        <v>0.25</v>
      </c>
      <c r="R3" s="60">
        <f t="shared" ref="R3:R6" si="5">iferror(L3-H3,"")</f>
        <v>40177</v>
      </c>
      <c r="S3" s="59">
        <f t="shared" ref="S3:S6" si="6">iferror(L3/H3,"")</f>
        <v>3.026787066</v>
      </c>
      <c r="T3" s="61">
        <f t="shared" ref="T3:T6" si="7">iferror(R3/H3,"")</f>
        <v>2.026787066</v>
      </c>
    </row>
    <row r="4">
      <c r="A4" s="27"/>
      <c r="B4" s="51" t="s">
        <v>25</v>
      </c>
      <c r="C4" s="52">
        <v>45567.0</v>
      </c>
      <c r="D4" s="53">
        <v>0.0</v>
      </c>
      <c r="E4" s="53">
        <v>0.0</v>
      </c>
      <c r="F4" s="54" t="str">
        <f t="shared" ref="F4:F6" si="8">iferror(H4/E4,"")</f>
        <v/>
      </c>
      <c r="G4" s="55" t="str">
        <f t="shared" si="1"/>
        <v/>
      </c>
      <c r="H4" s="56">
        <v>0.0</v>
      </c>
      <c r="I4" s="51">
        <v>21.0</v>
      </c>
      <c r="J4" s="57" t="str">
        <f t="shared" si="2"/>
        <v/>
      </c>
      <c r="K4" s="58">
        <f t="shared" si="3"/>
        <v>0</v>
      </c>
      <c r="L4" s="53">
        <v>400000.0</v>
      </c>
      <c r="M4" s="51">
        <v>1.0</v>
      </c>
      <c r="N4" s="53" t="s">
        <v>305</v>
      </c>
      <c r="O4" s="53">
        <v>2.0</v>
      </c>
      <c r="P4" s="53">
        <v>4.0</v>
      </c>
      <c r="Q4" s="59">
        <f t="shared" si="4"/>
        <v>0.04761904762</v>
      </c>
      <c r="R4" s="60">
        <f t="shared" si="5"/>
        <v>400000</v>
      </c>
      <c r="S4" s="59" t="str">
        <f t="shared" si="6"/>
        <v/>
      </c>
      <c r="T4" s="61" t="str">
        <f t="shared" si="7"/>
        <v/>
      </c>
    </row>
    <row r="5">
      <c r="A5" s="27"/>
      <c r="B5" s="51" t="s">
        <v>27</v>
      </c>
      <c r="C5" s="62" t="s">
        <v>306</v>
      </c>
      <c r="D5" s="53">
        <v>5363.0</v>
      </c>
      <c r="E5" s="53">
        <v>263.0</v>
      </c>
      <c r="F5" s="54">
        <f t="shared" si="8"/>
        <v>333</v>
      </c>
      <c r="G5" s="55">
        <f t="shared" si="1"/>
        <v>0.04903971658</v>
      </c>
      <c r="H5" s="56">
        <v>87579.0</v>
      </c>
      <c r="I5" s="51">
        <v>21.0</v>
      </c>
      <c r="J5" s="57">
        <f t="shared" si="2"/>
        <v>0.07984790875</v>
      </c>
      <c r="K5" s="58">
        <f t="shared" si="3"/>
        <v>4170.428571</v>
      </c>
      <c r="L5" s="53">
        <v>480000.0</v>
      </c>
      <c r="M5" s="51">
        <v>3.0</v>
      </c>
      <c r="N5" s="53" t="s">
        <v>307</v>
      </c>
      <c r="O5" s="53">
        <v>3.0</v>
      </c>
      <c r="P5" s="53">
        <v>6.0</v>
      </c>
      <c r="Q5" s="59">
        <f t="shared" si="4"/>
        <v>0.1428571429</v>
      </c>
      <c r="R5" s="60">
        <f t="shared" si="5"/>
        <v>392421</v>
      </c>
      <c r="S5" s="59">
        <f t="shared" si="6"/>
        <v>5.480765937</v>
      </c>
      <c r="T5" s="61">
        <f t="shared" si="7"/>
        <v>4.480765937</v>
      </c>
    </row>
    <row r="6">
      <c r="A6" s="10"/>
      <c r="B6" s="51" t="s">
        <v>28</v>
      </c>
      <c r="C6" s="63"/>
      <c r="D6" s="53"/>
      <c r="E6" s="53"/>
      <c r="F6" s="54" t="str">
        <f t="shared" si="8"/>
        <v/>
      </c>
      <c r="G6" s="55" t="str">
        <f t="shared" si="1"/>
        <v/>
      </c>
      <c r="H6" s="56"/>
      <c r="I6" s="51"/>
      <c r="J6" s="57" t="str">
        <f t="shared" si="2"/>
        <v/>
      </c>
      <c r="K6" s="58" t="str">
        <f t="shared" si="3"/>
        <v/>
      </c>
      <c r="L6" s="53"/>
      <c r="M6" s="51"/>
      <c r="N6" s="53"/>
      <c r="O6" s="53"/>
      <c r="P6" s="53"/>
      <c r="Q6" s="59" t="str">
        <f t="shared" si="4"/>
        <v/>
      </c>
      <c r="R6" s="60">
        <f t="shared" si="5"/>
        <v>0</v>
      </c>
      <c r="S6" s="59" t="str">
        <f t="shared" si="6"/>
        <v/>
      </c>
      <c r="T6" s="61" t="str">
        <f t="shared" si="7"/>
        <v/>
      </c>
      <c r="U6" s="64"/>
    </row>
    <row r="7">
      <c r="A7" s="30" t="s">
        <v>29</v>
      </c>
      <c r="B7" s="31"/>
      <c r="C7" s="31"/>
      <c r="D7" s="31"/>
      <c r="E7" s="32"/>
      <c r="F7" s="65">
        <f t="shared" ref="F7:G7" si="9">averageif(F3:F6,"&gt;0")</f>
        <v>384.5</v>
      </c>
      <c r="G7" s="66">
        <f t="shared" si="9"/>
        <v>0.04724713102</v>
      </c>
      <c r="H7" s="67"/>
      <c r="I7" s="68">
        <f>SUM(I3:I6)</f>
        <v>46</v>
      </c>
      <c r="J7" s="69">
        <f t="shared" ref="J7:K7" si="10">averageif(J3:J6,"&gt;0")</f>
        <v>0.06373347818</v>
      </c>
      <c r="K7" s="70">
        <f t="shared" si="10"/>
        <v>4563.089286</v>
      </c>
      <c r="L7" s="68">
        <f t="shared" ref="L7:M7" si="11">SUM(L3:L6)</f>
        <v>940000</v>
      </c>
      <c r="M7" s="71">
        <f t="shared" si="11"/>
        <v>5</v>
      </c>
      <c r="N7" s="68"/>
      <c r="O7" s="68">
        <f t="shared" ref="O7:P7" si="12">SUM(O3:O6)</f>
        <v>6</v>
      </c>
      <c r="P7" s="68">
        <f t="shared" si="12"/>
        <v>11</v>
      </c>
      <c r="Q7" s="72">
        <f>averageif(Q3:Q6,"&gt;0")</f>
        <v>0.1468253968</v>
      </c>
      <c r="R7" s="67"/>
      <c r="S7" s="72">
        <f t="shared" ref="S7:T7" si="13">averageif(S3:S6,"&gt;0")</f>
        <v>4.253776501</v>
      </c>
      <c r="T7" s="73">
        <f t="shared" si="13"/>
        <v>3.253776501</v>
      </c>
    </row>
    <row r="9">
      <c r="A9" s="1" t="s">
        <v>294</v>
      </c>
      <c r="B9" s="2" t="s">
        <v>1</v>
      </c>
      <c r="C9" s="3" t="s">
        <v>2</v>
      </c>
      <c r="D9" s="4"/>
      <c r="E9" s="4"/>
      <c r="F9" s="4"/>
      <c r="G9" s="4"/>
      <c r="H9" s="5"/>
      <c r="I9" s="6" t="s">
        <v>3</v>
      </c>
      <c r="J9" s="4"/>
      <c r="K9" s="5"/>
      <c r="L9" s="7" t="s">
        <v>4</v>
      </c>
      <c r="M9" s="4"/>
      <c r="N9" s="4"/>
      <c r="O9" s="4"/>
      <c r="P9" s="4"/>
      <c r="Q9" s="4"/>
      <c r="R9" s="4"/>
      <c r="S9" s="4"/>
      <c r="T9" s="8"/>
    </row>
    <row r="10">
      <c r="A10" s="10"/>
      <c r="B10" s="11"/>
      <c r="C10" s="12" t="s">
        <v>5</v>
      </c>
      <c r="D10" s="12" t="s">
        <v>6</v>
      </c>
      <c r="E10" s="12" t="s">
        <v>7</v>
      </c>
      <c r="F10" s="12" t="s">
        <v>308</v>
      </c>
      <c r="G10" s="12" t="s">
        <v>309</v>
      </c>
      <c r="H10" s="12" t="s">
        <v>10</v>
      </c>
      <c r="I10" s="12" t="s">
        <v>11</v>
      </c>
      <c r="J10" s="12" t="s">
        <v>310</v>
      </c>
      <c r="K10" s="12" t="s">
        <v>311</v>
      </c>
      <c r="L10" s="12" t="s">
        <v>16</v>
      </c>
      <c r="M10" s="12" t="s">
        <v>223</v>
      </c>
      <c r="N10" s="12" t="s">
        <v>312</v>
      </c>
      <c r="O10" s="12" t="s">
        <v>225</v>
      </c>
      <c r="P10" s="12" t="s">
        <v>226</v>
      </c>
      <c r="Q10" s="12" t="s">
        <v>313</v>
      </c>
      <c r="R10" s="12" t="s">
        <v>20</v>
      </c>
      <c r="S10" s="12" t="s">
        <v>314</v>
      </c>
      <c r="T10" s="14" t="s">
        <v>315</v>
      </c>
    </row>
    <row r="11">
      <c r="A11" s="15" t="s">
        <v>316</v>
      </c>
      <c r="B11" s="51" t="s">
        <v>24</v>
      </c>
      <c r="C11" s="52">
        <v>45576.0</v>
      </c>
      <c r="D11" s="53">
        <v>9469.0</v>
      </c>
      <c r="E11" s="53">
        <v>445.0</v>
      </c>
      <c r="F11" s="74">
        <v>311.0</v>
      </c>
      <c r="G11" s="55">
        <f t="shared" ref="G11:G14" si="14">iferror(E11/D11,"")</f>
        <v>0.04699545887</v>
      </c>
      <c r="H11" s="56">
        <v>138401.0</v>
      </c>
      <c r="I11" s="51">
        <v>36.0</v>
      </c>
      <c r="J11" s="57">
        <f t="shared" ref="J11:J14" si="15">iferror(I11/E11,"")</f>
        <v>0.0808988764</v>
      </c>
      <c r="K11" s="58">
        <f t="shared" ref="K11:K14" si="16">iferror(H11/I11,"")</f>
        <v>3844.472222</v>
      </c>
      <c r="L11" s="53">
        <v>120000.0</v>
      </c>
      <c r="M11" s="51">
        <v>1.0</v>
      </c>
      <c r="N11" s="53" t="s">
        <v>317</v>
      </c>
      <c r="O11" s="53">
        <v>1.0</v>
      </c>
      <c r="P11" s="75">
        <v>2.0</v>
      </c>
      <c r="Q11" s="59">
        <f t="shared" ref="Q11:Q14" si="17">iferror(M11/I11,"")</f>
        <v>0.02777777778</v>
      </c>
      <c r="R11" s="60">
        <f t="shared" ref="R11:R14" si="18">iferror(L11-H11,"")</f>
        <v>-18401</v>
      </c>
      <c r="S11" s="59">
        <f t="shared" ref="S11:S14" si="19">iferror(L11/H11,"")</f>
        <v>0.8670457583</v>
      </c>
      <c r="T11" s="61">
        <f t="shared" ref="T11:T14" si="20">iferror(R11/H11,"")</f>
        <v>-0.1329542417</v>
      </c>
    </row>
    <row r="12">
      <c r="A12" s="27"/>
      <c r="B12" s="51" t="s">
        <v>25</v>
      </c>
      <c r="C12" s="52">
        <v>45572.0</v>
      </c>
      <c r="D12" s="53">
        <v>0.0</v>
      </c>
      <c r="E12" s="53">
        <v>0.0</v>
      </c>
      <c r="F12" s="54" t="str">
        <f t="shared" ref="F12:F14" si="21">iferror(H12/E12,"")</f>
        <v/>
      </c>
      <c r="G12" s="55" t="str">
        <f t="shared" si="14"/>
        <v/>
      </c>
      <c r="H12" s="56">
        <v>0.0</v>
      </c>
      <c r="I12" s="51">
        <v>42.0</v>
      </c>
      <c r="J12" s="57" t="str">
        <f t="shared" si="15"/>
        <v/>
      </c>
      <c r="K12" s="58">
        <f t="shared" si="16"/>
        <v>0</v>
      </c>
      <c r="L12" s="53"/>
      <c r="M12" s="51"/>
      <c r="N12" s="53"/>
      <c r="O12" s="53"/>
      <c r="P12" s="53"/>
      <c r="Q12" s="59">
        <f t="shared" si="17"/>
        <v>0</v>
      </c>
      <c r="R12" s="60">
        <f t="shared" si="18"/>
        <v>0</v>
      </c>
      <c r="S12" s="59" t="str">
        <f t="shared" si="19"/>
        <v/>
      </c>
      <c r="T12" s="61" t="str">
        <f t="shared" si="20"/>
        <v/>
      </c>
    </row>
    <row r="13">
      <c r="A13" s="27"/>
      <c r="B13" s="51" t="s">
        <v>27</v>
      </c>
      <c r="C13" s="76">
        <v>45576.0</v>
      </c>
      <c r="D13" s="53">
        <v>7091.0</v>
      </c>
      <c r="E13" s="53">
        <v>397.0</v>
      </c>
      <c r="F13" s="54">
        <f t="shared" si="21"/>
        <v>302.6599496</v>
      </c>
      <c r="G13" s="55">
        <f t="shared" si="14"/>
        <v>0.05598646171</v>
      </c>
      <c r="H13" s="56">
        <v>120156.0</v>
      </c>
      <c r="I13" s="51">
        <v>32.0</v>
      </c>
      <c r="J13" s="57">
        <f t="shared" si="15"/>
        <v>0.08060453401</v>
      </c>
      <c r="K13" s="58">
        <f t="shared" si="16"/>
        <v>3754.875</v>
      </c>
      <c r="L13" s="53"/>
      <c r="M13" s="51"/>
      <c r="N13" s="53"/>
      <c r="O13" s="84"/>
      <c r="P13" s="53"/>
      <c r="Q13" s="59">
        <f t="shared" si="17"/>
        <v>0</v>
      </c>
      <c r="R13" s="60">
        <f t="shared" si="18"/>
        <v>-120156</v>
      </c>
      <c r="S13" s="59">
        <f t="shared" si="19"/>
        <v>0</v>
      </c>
      <c r="T13" s="61">
        <f t="shared" si="20"/>
        <v>-1</v>
      </c>
    </row>
    <row r="14">
      <c r="A14" s="10"/>
      <c r="B14" s="51" t="s">
        <v>28</v>
      </c>
      <c r="C14" s="63"/>
      <c r="D14" s="53"/>
      <c r="E14" s="53"/>
      <c r="F14" s="54" t="str">
        <f t="shared" si="21"/>
        <v/>
      </c>
      <c r="G14" s="55" t="str">
        <f t="shared" si="14"/>
        <v/>
      </c>
      <c r="H14" s="56"/>
      <c r="I14" s="51"/>
      <c r="J14" s="57" t="str">
        <f t="shared" si="15"/>
        <v/>
      </c>
      <c r="K14" s="58" t="str">
        <f t="shared" si="16"/>
        <v/>
      </c>
      <c r="L14" s="53"/>
      <c r="M14" s="51"/>
      <c r="N14" s="53"/>
      <c r="O14" s="53"/>
      <c r="P14" s="53"/>
      <c r="Q14" s="59" t="str">
        <f t="shared" si="17"/>
        <v/>
      </c>
      <c r="R14" s="60">
        <f t="shared" si="18"/>
        <v>0</v>
      </c>
      <c r="S14" s="59" t="str">
        <f t="shared" si="19"/>
        <v/>
      </c>
      <c r="T14" s="61" t="str">
        <f t="shared" si="20"/>
        <v/>
      </c>
      <c r="U14" s="64"/>
    </row>
    <row r="15">
      <c r="A15" s="30" t="s">
        <v>29</v>
      </c>
      <c r="B15" s="31"/>
      <c r="C15" s="31"/>
      <c r="D15" s="31"/>
      <c r="E15" s="32"/>
      <c r="F15" s="65">
        <f t="shared" ref="F15:G15" si="22">averageif(F11:F14,"&gt;0")</f>
        <v>306.8299748</v>
      </c>
      <c r="G15" s="66">
        <f t="shared" si="22"/>
        <v>0.05149096029</v>
      </c>
      <c r="H15" s="67"/>
      <c r="I15" s="68">
        <f>SUM(I11:I14)</f>
        <v>110</v>
      </c>
      <c r="J15" s="69">
        <f t="shared" ref="J15:K15" si="23">averageif(J11:J14,"&gt;0")</f>
        <v>0.0807517052</v>
      </c>
      <c r="K15" s="70">
        <f t="shared" si="23"/>
        <v>3799.673611</v>
      </c>
      <c r="L15" s="68">
        <f t="shared" ref="L15:M15" si="24">SUM(L11:L14)</f>
        <v>120000</v>
      </c>
      <c r="M15" s="71">
        <f t="shared" si="24"/>
        <v>1</v>
      </c>
      <c r="N15" s="68"/>
      <c r="O15" s="68">
        <f>SUM(O11:O14)</f>
        <v>1</v>
      </c>
      <c r="P15" s="68">
        <f>SUM(P12:P14)</f>
        <v>0</v>
      </c>
      <c r="Q15" s="72">
        <f>averageif(Q11:Q14,"&gt;0")</f>
        <v>0.02777777778</v>
      </c>
      <c r="R15" s="67"/>
      <c r="S15" s="72">
        <f t="shared" ref="S15:T15" si="25">averageif(S11:S14,"&gt;0")</f>
        <v>0.8670457583</v>
      </c>
      <c r="T15" s="73" t="str">
        <f t="shared" si="25"/>
        <v>#DIV/0!</v>
      </c>
    </row>
    <row r="17">
      <c r="A17" s="1" t="s">
        <v>294</v>
      </c>
      <c r="B17" s="2" t="s">
        <v>1</v>
      </c>
      <c r="C17" s="3" t="s">
        <v>2</v>
      </c>
      <c r="D17" s="4"/>
      <c r="E17" s="4"/>
      <c r="F17" s="4"/>
      <c r="G17" s="4"/>
      <c r="H17" s="5"/>
      <c r="I17" s="6" t="s">
        <v>3</v>
      </c>
      <c r="J17" s="4"/>
      <c r="K17" s="5"/>
      <c r="L17" s="7" t="s">
        <v>4</v>
      </c>
      <c r="M17" s="4"/>
      <c r="N17" s="4"/>
      <c r="O17" s="4"/>
      <c r="P17" s="4"/>
      <c r="Q17" s="4"/>
      <c r="R17" s="4"/>
      <c r="S17" s="4"/>
      <c r="T17" s="8"/>
    </row>
    <row r="18">
      <c r="A18" s="10"/>
      <c r="B18" s="11"/>
      <c r="C18" s="12" t="s">
        <v>5</v>
      </c>
      <c r="D18" s="12" t="s">
        <v>6</v>
      </c>
      <c r="E18" s="12" t="s">
        <v>7</v>
      </c>
      <c r="F18" s="12" t="s">
        <v>318</v>
      </c>
      <c r="G18" s="12" t="s">
        <v>319</v>
      </c>
      <c r="H18" s="12" t="s">
        <v>10</v>
      </c>
      <c r="I18" s="12" t="s">
        <v>11</v>
      </c>
      <c r="J18" s="12" t="s">
        <v>320</v>
      </c>
      <c r="K18" s="12" t="s">
        <v>321</v>
      </c>
      <c r="L18" s="12" t="s">
        <v>16</v>
      </c>
      <c r="M18" s="12" t="s">
        <v>223</v>
      </c>
      <c r="N18" s="12" t="s">
        <v>322</v>
      </c>
      <c r="O18" s="12" t="s">
        <v>225</v>
      </c>
      <c r="P18" s="12" t="s">
        <v>226</v>
      </c>
      <c r="Q18" s="12" t="s">
        <v>323</v>
      </c>
      <c r="R18" s="12" t="s">
        <v>20</v>
      </c>
      <c r="S18" s="12" t="s">
        <v>324</v>
      </c>
      <c r="T18" s="14" t="s">
        <v>325</v>
      </c>
    </row>
    <row r="19">
      <c r="A19" s="15" t="s">
        <v>326</v>
      </c>
      <c r="B19" s="51" t="s">
        <v>24</v>
      </c>
      <c r="C19" s="52">
        <v>45583.0</v>
      </c>
      <c r="D19" s="53">
        <v>8785.0</v>
      </c>
      <c r="E19" s="53">
        <v>344.0</v>
      </c>
      <c r="F19" s="74">
        <v>374.0</v>
      </c>
      <c r="G19" s="55">
        <f t="shared" ref="G19:G22" si="26">iferror(E19/D19,"")</f>
        <v>0.03915765509</v>
      </c>
      <c r="H19" s="56">
        <v>128540.0</v>
      </c>
      <c r="I19" s="51">
        <v>27.0</v>
      </c>
      <c r="J19" s="57">
        <f t="shared" ref="J19:J22" si="27">iferror(I19/E19,"")</f>
        <v>0.07848837209</v>
      </c>
      <c r="K19" s="58">
        <f t="shared" ref="K19:K22" si="28">iferror(H19/I19,"")</f>
        <v>4760.740741</v>
      </c>
      <c r="L19" s="53">
        <v>120000.0</v>
      </c>
      <c r="M19" s="51">
        <v>1.0</v>
      </c>
      <c r="N19" s="53" t="s">
        <v>327</v>
      </c>
      <c r="O19" s="53">
        <v>1.0</v>
      </c>
      <c r="P19" s="53">
        <v>2.0</v>
      </c>
      <c r="Q19" s="59">
        <f t="shared" ref="Q19:Q22" si="29">iferror(M19/I19,"")</f>
        <v>0.03703703704</v>
      </c>
      <c r="R19" s="60">
        <f t="shared" ref="R19:R22" si="30">iferror(L19-H19,"")</f>
        <v>-8540</v>
      </c>
      <c r="S19" s="59">
        <f t="shared" ref="S19:S22" si="31">iferror(L19/H19,"")</f>
        <v>0.9335615373</v>
      </c>
      <c r="T19" s="61">
        <f t="shared" ref="T19:T22" si="32">iferror(R19/H19,"")</f>
        <v>-0.06643846274</v>
      </c>
    </row>
    <row r="20">
      <c r="A20" s="27"/>
      <c r="B20" s="51" t="s">
        <v>25</v>
      </c>
      <c r="C20" s="52">
        <v>45580.0</v>
      </c>
      <c r="D20" s="53">
        <v>2946.0</v>
      </c>
      <c r="E20" s="53">
        <v>182.0</v>
      </c>
      <c r="F20" s="54">
        <f t="shared" ref="F20:F22" si="33">iferror(H20/E20,"")</f>
        <v>268.1098901</v>
      </c>
      <c r="G20" s="55">
        <f t="shared" si="26"/>
        <v>0.06177868296</v>
      </c>
      <c r="H20" s="56">
        <v>48796.0</v>
      </c>
      <c r="I20" s="51">
        <v>12.0</v>
      </c>
      <c r="J20" s="57">
        <f t="shared" si="27"/>
        <v>0.06593406593</v>
      </c>
      <c r="K20" s="58">
        <f t="shared" si="28"/>
        <v>4066.333333</v>
      </c>
      <c r="L20" s="53"/>
      <c r="M20" s="51"/>
      <c r="N20" s="53"/>
      <c r="O20" s="53"/>
      <c r="P20" s="53"/>
      <c r="Q20" s="59">
        <f t="shared" si="29"/>
        <v>0</v>
      </c>
      <c r="R20" s="60">
        <f t="shared" si="30"/>
        <v>-48796</v>
      </c>
      <c r="S20" s="59">
        <f t="shared" si="31"/>
        <v>0</v>
      </c>
      <c r="T20" s="61">
        <f t="shared" si="32"/>
        <v>-1</v>
      </c>
    </row>
    <row r="21">
      <c r="A21" s="27"/>
      <c r="B21" s="51" t="s">
        <v>27</v>
      </c>
      <c r="C21" s="62" t="s">
        <v>328</v>
      </c>
      <c r="D21" s="53">
        <v>12208.0</v>
      </c>
      <c r="E21" s="53">
        <v>505.0</v>
      </c>
      <c r="F21" s="54">
        <f t="shared" si="33"/>
        <v>288.5128713</v>
      </c>
      <c r="G21" s="55">
        <f t="shared" si="26"/>
        <v>0.04136631717</v>
      </c>
      <c r="H21" s="56">
        <v>145699.0</v>
      </c>
      <c r="I21" s="51">
        <v>39.0</v>
      </c>
      <c r="J21" s="57">
        <f t="shared" si="27"/>
        <v>0.07722772277</v>
      </c>
      <c r="K21" s="58">
        <f t="shared" si="28"/>
        <v>3735.871795</v>
      </c>
      <c r="L21" s="53">
        <v>400000.0</v>
      </c>
      <c r="M21" s="51">
        <v>1.0</v>
      </c>
      <c r="N21" s="53" t="s">
        <v>329</v>
      </c>
      <c r="O21" s="53">
        <v>2.0</v>
      </c>
      <c r="P21" s="53">
        <v>4.0</v>
      </c>
      <c r="Q21" s="59">
        <f t="shared" si="29"/>
        <v>0.02564102564</v>
      </c>
      <c r="R21" s="60">
        <f t="shared" si="30"/>
        <v>254301</v>
      </c>
      <c r="S21" s="59">
        <f t="shared" si="31"/>
        <v>2.745386036</v>
      </c>
      <c r="T21" s="61">
        <f t="shared" si="32"/>
        <v>1.745386036</v>
      </c>
    </row>
    <row r="22">
      <c r="A22" s="10"/>
      <c r="B22" s="51" t="s">
        <v>28</v>
      </c>
      <c r="C22" s="63"/>
      <c r="D22" s="53"/>
      <c r="E22" s="53"/>
      <c r="F22" s="54" t="str">
        <f t="shared" si="33"/>
        <v/>
      </c>
      <c r="G22" s="55" t="str">
        <f t="shared" si="26"/>
        <v/>
      </c>
      <c r="H22" s="56"/>
      <c r="I22" s="51"/>
      <c r="J22" s="57" t="str">
        <f t="shared" si="27"/>
        <v/>
      </c>
      <c r="K22" s="58" t="str">
        <f t="shared" si="28"/>
        <v/>
      </c>
      <c r="L22" s="53"/>
      <c r="M22" s="51"/>
      <c r="N22" s="53"/>
      <c r="O22" s="53"/>
      <c r="P22" s="53"/>
      <c r="Q22" s="59" t="str">
        <f t="shared" si="29"/>
        <v/>
      </c>
      <c r="R22" s="60">
        <f t="shared" si="30"/>
        <v>0</v>
      </c>
      <c r="S22" s="59" t="str">
        <f t="shared" si="31"/>
        <v/>
      </c>
      <c r="T22" s="61" t="str">
        <f t="shared" si="32"/>
        <v/>
      </c>
    </row>
    <row r="23">
      <c r="A23" s="30" t="s">
        <v>29</v>
      </c>
      <c r="B23" s="31"/>
      <c r="C23" s="31"/>
      <c r="D23" s="31"/>
      <c r="E23" s="32"/>
      <c r="F23" s="65">
        <f t="shared" ref="F23:G23" si="34">averageif(F19:F22,"&gt;0")</f>
        <v>310.2075871</v>
      </c>
      <c r="G23" s="66">
        <f t="shared" si="34"/>
        <v>0.04743421841</v>
      </c>
      <c r="H23" s="67"/>
      <c r="I23" s="68">
        <f>SUM(I19:I22)</f>
        <v>78</v>
      </c>
      <c r="J23" s="69">
        <f t="shared" ref="J23:K23" si="35">averageif(J19:J22,"&gt;0")</f>
        <v>0.07388338693</v>
      </c>
      <c r="K23" s="70">
        <f t="shared" si="35"/>
        <v>4187.648623</v>
      </c>
      <c r="L23" s="68">
        <f t="shared" ref="L23:M23" si="36">SUM(L19:L22)</f>
        <v>520000</v>
      </c>
      <c r="M23" s="71">
        <f t="shared" si="36"/>
        <v>2</v>
      </c>
      <c r="N23" s="68"/>
      <c r="O23" s="68">
        <f t="shared" ref="O23:P23" si="37">SUM(O19:O22)</f>
        <v>3</v>
      </c>
      <c r="P23" s="68">
        <f t="shared" si="37"/>
        <v>6</v>
      </c>
      <c r="Q23" s="72">
        <f>averageif(Q19:Q22,"&gt;0")</f>
        <v>0.03133903134</v>
      </c>
      <c r="R23" s="67"/>
      <c r="S23" s="72">
        <f t="shared" ref="S23:T23" si="38">averageif(S19:S22,"&gt;0")</f>
        <v>1.839473786</v>
      </c>
      <c r="T23" s="73">
        <f t="shared" si="38"/>
        <v>1.745386036</v>
      </c>
    </row>
    <row r="25">
      <c r="A25" s="1" t="s">
        <v>294</v>
      </c>
      <c r="B25" s="2" t="s">
        <v>1</v>
      </c>
      <c r="C25" s="3" t="s">
        <v>2</v>
      </c>
      <c r="D25" s="4"/>
      <c r="E25" s="4"/>
      <c r="F25" s="4"/>
      <c r="G25" s="4"/>
      <c r="H25" s="5"/>
      <c r="I25" s="6" t="s">
        <v>3</v>
      </c>
      <c r="J25" s="4"/>
      <c r="K25" s="5"/>
      <c r="L25" s="7" t="s">
        <v>4</v>
      </c>
      <c r="M25" s="4"/>
      <c r="N25" s="4"/>
      <c r="O25" s="4"/>
      <c r="P25" s="4"/>
      <c r="Q25" s="4"/>
      <c r="R25" s="4"/>
      <c r="S25" s="4"/>
      <c r="T25" s="8"/>
    </row>
    <row r="26">
      <c r="A26" s="10"/>
      <c r="B26" s="11"/>
      <c r="C26" s="12" t="s">
        <v>5</v>
      </c>
      <c r="D26" s="12" t="s">
        <v>6</v>
      </c>
      <c r="E26" s="12" t="s">
        <v>7</v>
      </c>
      <c r="F26" s="12" t="s">
        <v>330</v>
      </c>
      <c r="G26" s="12" t="s">
        <v>331</v>
      </c>
      <c r="H26" s="12" t="s">
        <v>10</v>
      </c>
      <c r="I26" s="12" t="s">
        <v>11</v>
      </c>
      <c r="J26" s="12" t="s">
        <v>332</v>
      </c>
      <c r="K26" s="12" t="s">
        <v>333</v>
      </c>
      <c r="L26" s="12" t="s">
        <v>16</v>
      </c>
      <c r="M26" s="12" t="s">
        <v>223</v>
      </c>
      <c r="N26" s="12" t="s">
        <v>334</v>
      </c>
      <c r="O26" s="12" t="s">
        <v>225</v>
      </c>
      <c r="P26" s="12" t="s">
        <v>226</v>
      </c>
      <c r="Q26" s="12" t="s">
        <v>335</v>
      </c>
      <c r="R26" s="12" t="s">
        <v>20</v>
      </c>
      <c r="S26" s="12" t="s">
        <v>336</v>
      </c>
      <c r="T26" s="14" t="s">
        <v>337</v>
      </c>
    </row>
    <row r="27">
      <c r="A27" s="15" t="s">
        <v>338</v>
      </c>
      <c r="B27" s="51" t="s">
        <v>24</v>
      </c>
      <c r="C27" s="52">
        <v>45590.0</v>
      </c>
      <c r="D27" s="53">
        <v>5154.0</v>
      </c>
      <c r="E27" s="53">
        <v>217.0</v>
      </c>
      <c r="F27" s="74">
        <v>305.0</v>
      </c>
      <c r="G27" s="55">
        <f t="shared" ref="G27:G30" si="39">iferror(E27/D27,"")</f>
        <v>0.0421032208</v>
      </c>
      <c r="H27" s="56">
        <v>66229.0</v>
      </c>
      <c r="I27" s="51">
        <v>10.0</v>
      </c>
      <c r="J27" s="57">
        <f t="shared" ref="J27:J30" si="40">iferror(I27/E27,"")</f>
        <v>0.04608294931</v>
      </c>
      <c r="K27" s="58">
        <f t="shared" ref="K27:K30" si="41">iferror(H27/I27,"")</f>
        <v>6622.9</v>
      </c>
      <c r="L27" s="53">
        <v>120000.0</v>
      </c>
      <c r="M27" s="51">
        <v>1.0</v>
      </c>
      <c r="N27" s="53" t="s">
        <v>339</v>
      </c>
      <c r="O27" s="53">
        <v>1.0</v>
      </c>
      <c r="P27" s="53">
        <v>2.0</v>
      </c>
      <c r="Q27" s="59">
        <f t="shared" ref="Q27:Q30" si="42">iferror(M27/I27,"")</f>
        <v>0.1</v>
      </c>
      <c r="R27" s="60">
        <f t="shared" ref="R27:R30" si="43">iferror(L27-H27,"")</f>
        <v>53771</v>
      </c>
      <c r="S27" s="59">
        <f t="shared" ref="S27:S30" si="44">iferror(L27/H27,"")</f>
        <v>1.811895091</v>
      </c>
      <c r="T27" s="61">
        <f t="shared" ref="T27:T30" si="45">iferror(R27/H27,"")</f>
        <v>0.8118950913</v>
      </c>
    </row>
    <row r="28">
      <c r="A28" s="27"/>
      <c r="B28" s="51" t="s">
        <v>25</v>
      </c>
      <c r="C28" s="52"/>
      <c r="D28" s="53"/>
      <c r="E28" s="53"/>
      <c r="F28" s="54" t="str">
        <f t="shared" ref="F28:F30" si="46">iferror(H28/E28,"")</f>
        <v/>
      </c>
      <c r="G28" s="55" t="str">
        <f t="shared" si="39"/>
        <v/>
      </c>
      <c r="H28" s="56"/>
      <c r="I28" s="51"/>
      <c r="J28" s="57" t="str">
        <f t="shared" si="40"/>
        <v/>
      </c>
      <c r="K28" s="58" t="str">
        <f t="shared" si="41"/>
        <v/>
      </c>
      <c r="L28" s="53"/>
      <c r="M28" s="51"/>
      <c r="N28" s="53"/>
      <c r="O28" s="53"/>
      <c r="P28" s="53"/>
      <c r="Q28" s="59" t="str">
        <f t="shared" si="42"/>
        <v/>
      </c>
      <c r="R28" s="60">
        <f t="shared" si="43"/>
        <v>0</v>
      </c>
      <c r="S28" s="59" t="str">
        <f t="shared" si="44"/>
        <v/>
      </c>
      <c r="T28" s="61" t="str">
        <f t="shared" si="45"/>
        <v/>
      </c>
    </row>
    <row r="29">
      <c r="A29" s="27"/>
      <c r="B29" s="51" t="s">
        <v>27</v>
      </c>
      <c r="C29" s="78">
        <v>45587.0</v>
      </c>
      <c r="D29" s="79">
        <v>3738.0</v>
      </c>
      <c r="E29" s="79">
        <v>177.0</v>
      </c>
      <c r="F29" s="54">
        <f t="shared" si="46"/>
        <v>305.960452</v>
      </c>
      <c r="G29" s="55">
        <f t="shared" si="39"/>
        <v>0.04735152488</v>
      </c>
      <c r="H29" s="80">
        <v>54155.0</v>
      </c>
      <c r="I29" s="81">
        <v>12.0</v>
      </c>
      <c r="J29" s="57">
        <f t="shared" si="40"/>
        <v>0.06779661017</v>
      </c>
      <c r="K29" s="58">
        <f t="shared" si="41"/>
        <v>4512.916667</v>
      </c>
      <c r="L29" s="85"/>
      <c r="M29" s="86"/>
      <c r="N29" s="85"/>
      <c r="O29" s="85"/>
      <c r="P29" s="85"/>
      <c r="Q29" s="59">
        <f t="shared" si="42"/>
        <v>0</v>
      </c>
      <c r="R29" s="60">
        <f t="shared" si="43"/>
        <v>-54155</v>
      </c>
      <c r="S29" s="59">
        <f t="shared" si="44"/>
        <v>0</v>
      </c>
      <c r="T29" s="61">
        <f t="shared" si="45"/>
        <v>-1</v>
      </c>
    </row>
    <row r="30">
      <c r="A30" s="10"/>
      <c r="B30" s="51" t="s">
        <v>28</v>
      </c>
      <c r="C30" s="63"/>
      <c r="D30" s="53"/>
      <c r="E30" s="53"/>
      <c r="F30" s="54" t="str">
        <f t="shared" si="46"/>
        <v/>
      </c>
      <c r="G30" s="55" t="str">
        <f t="shared" si="39"/>
        <v/>
      </c>
      <c r="H30" s="56"/>
      <c r="I30" s="51"/>
      <c r="J30" s="57" t="str">
        <f t="shared" si="40"/>
        <v/>
      </c>
      <c r="K30" s="58" t="str">
        <f t="shared" si="41"/>
        <v/>
      </c>
      <c r="L30" s="53"/>
      <c r="M30" s="51"/>
      <c r="N30" s="53"/>
      <c r="O30" s="53"/>
      <c r="P30" s="53"/>
      <c r="Q30" s="59" t="str">
        <f t="shared" si="42"/>
        <v/>
      </c>
      <c r="R30" s="60">
        <f t="shared" si="43"/>
        <v>0</v>
      </c>
      <c r="S30" s="59" t="str">
        <f t="shared" si="44"/>
        <v/>
      </c>
      <c r="T30" s="61" t="str">
        <f t="shared" si="45"/>
        <v/>
      </c>
    </row>
    <row r="31">
      <c r="A31" s="30" t="s">
        <v>29</v>
      </c>
      <c r="B31" s="31"/>
      <c r="C31" s="31"/>
      <c r="D31" s="31"/>
      <c r="E31" s="32"/>
      <c r="F31" s="65">
        <f t="shared" ref="F31:G31" si="47">averageif(F27:F30,"&gt;0")</f>
        <v>305.480226</v>
      </c>
      <c r="G31" s="66">
        <f t="shared" si="47"/>
        <v>0.04472737284</v>
      </c>
      <c r="H31" s="67"/>
      <c r="I31" s="68">
        <f>SUM(I27:I30)</f>
        <v>22</v>
      </c>
      <c r="J31" s="69">
        <f t="shared" ref="J31:K31" si="48">averageif(J27:J30,"&gt;0")</f>
        <v>0.05693977974</v>
      </c>
      <c r="K31" s="70">
        <f t="shared" si="48"/>
        <v>5567.908333</v>
      </c>
      <c r="L31" s="68">
        <f t="shared" ref="L31:M31" si="49">SUM(L27:L30)</f>
        <v>120000</v>
      </c>
      <c r="M31" s="71">
        <f t="shared" si="49"/>
        <v>1</v>
      </c>
      <c r="N31" s="68"/>
      <c r="O31" s="68">
        <f t="shared" ref="O31:P31" si="50">SUM(O27:O30)</f>
        <v>1</v>
      </c>
      <c r="P31" s="68">
        <f t="shared" si="50"/>
        <v>2</v>
      </c>
      <c r="Q31" s="72">
        <f>averageif(Q27:Q30,"&gt;0")</f>
        <v>0.1</v>
      </c>
      <c r="R31" s="67"/>
      <c r="S31" s="72">
        <f t="shared" ref="S31:T31" si="51">averageif(S27:S30,"&gt;0")</f>
        <v>1.811895091</v>
      </c>
      <c r="T31" s="73">
        <f t="shared" si="51"/>
        <v>0.8118950913</v>
      </c>
    </row>
    <row r="33">
      <c r="A33" s="1" t="s">
        <v>294</v>
      </c>
      <c r="B33" s="2" t="s">
        <v>1</v>
      </c>
      <c r="C33" s="3" t="s">
        <v>2</v>
      </c>
      <c r="D33" s="4"/>
      <c r="E33" s="4"/>
      <c r="F33" s="4"/>
      <c r="G33" s="4"/>
      <c r="H33" s="5"/>
      <c r="I33" s="6" t="s">
        <v>3</v>
      </c>
      <c r="J33" s="4"/>
      <c r="K33" s="5"/>
      <c r="L33" s="7" t="s">
        <v>4</v>
      </c>
      <c r="M33" s="4"/>
      <c r="N33" s="4"/>
      <c r="O33" s="4"/>
      <c r="P33" s="4"/>
      <c r="Q33" s="4"/>
      <c r="R33" s="4"/>
      <c r="S33" s="4"/>
      <c r="T33" s="8"/>
    </row>
    <row r="34">
      <c r="A34" s="10"/>
      <c r="B34" s="11"/>
      <c r="C34" s="12" t="s">
        <v>5</v>
      </c>
      <c r="D34" s="12" t="s">
        <v>6</v>
      </c>
      <c r="E34" s="12" t="s">
        <v>7</v>
      </c>
      <c r="F34" s="12" t="s">
        <v>340</v>
      </c>
      <c r="G34" s="12" t="s">
        <v>341</v>
      </c>
      <c r="H34" s="12" t="s">
        <v>10</v>
      </c>
      <c r="I34" s="12" t="s">
        <v>11</v>
      </c>
      <c r="J34" s="12" t="s">
        <v>342</v>
      </c>
      <c r="K34" s="12" t="s">
        <v>343</v>
      </c>
      <c r="L34" s="12" t="s">
        <v>16</v>
      </c>
      <c r="M34" s="12" t="s">
        <v>223</v>
      </c>
      <c r="N34" s="12" t="s">
        <v>344</v>
      </c>
      <c r="O34" s="12" t="s">
        <v>225</v>
      </c>
      <c r="P34" s="12" t="s">
        <v>226</v>
      </c>
      <c r="Q34" s="12" t="s">
        <v>345</v>
      </c>
      <c r="R34" s="12" t="s">
        <v>20</v>
      </c>
      <c r="S34" s="12" t="s">
        <v>346</v>
      </c>
      <c r="T34" s="14" t="s">
        <v>347</v>
      </c>
    </row>
    <row r="35">
      <c r="A35" s="15" t="s">
        <v>348</v>
      </c>
      <c r="B35" s="51" t="s">
        <v>24</v>
      </c>
      <c r="C35" s="52"/>
      <c r="D35" s="53"/>
      <c r="E35" s="53"/>
      <c r="F35" s="54" t="str">
        <f t="shared" ref="F35:F38" si="52">iferror(H35/E35,"")</f>
        <v/>
      </c>
      <c r="G35" s="55" t="str">
        <f t="shared" ref="G35:G38" si="53">iferror(E35/D35,"")</f>
        <v/>
      </c>
      <c r="H35" s="56"/>
      <c r="I35" s="51"/>
      <c r="J35" s="57" t="str">
        <f t="shared" ref="J35:J38" si="54">iferror(I35/E35,"")</f>
        <v/>
      </c>
      <c r="K35" s="58" t="str">
        <f t="shared" ref="K35:K38" si="55">iferror(H35/I35,"")</f>
        <v/>
      </c>
      <c r="L35" s="53"/>
      <c r="M35" s="51"/>
      <c r="N35" s="53"/>
      <c r="O35" s="53"/>
      <c r="P35" s="53"/>
      <c r="Q35" s="59" t="str">
        <f t="shared" ref="Q35:Q38" si="56">iferror(M35/I35,"")</f>
        <v/>
      </c>
      <c r="R35" s="60">
        <f t="shared" ref="R35:R38" si="57">iferror(L35-H35,"")</f>
        <v>0</v>
      </c>
      <c r="S35" s="59" t="str">
        <f t="shared" ref="S35:S38" si="58">iferror(L35/H35,"")</f>
        <v/>
      </c>
      <c r="T35" s="61" t="str">
        <f t="shared" ref="T35:T38" si="59">iferror(R35/H35,"")</f>
        <v/>
      </c>
    </row>
    <row r="36">
      <c r="A36" s="27"/>
      <c r="B36" s="51" t="s">
        <v>25</v>
      </c>
      <c r="C36" s="52"/>
      <c r="D36" s="53"/>
      <c r="E36" s="53"/>
      <c r="F36" s="54" t="str">
        <f t="shared" si="52"/>
        <v/>
      </c>
      <c r="G36" s="55" t="str">
        <f t="shared" si="53"/>
        <v/>
      </c>
      <c r="H36" s="56"/>
      <c r="I36" s="51"/>
      <c r="J36" s="57" t="str">
        <f t="shared" si="54"/>
        <v/>
      </c>
      <c r="K36" s="58" t="str">
        <f t="shared" si="55"/>
        <v/>
      </c>
      <c r="L36" s="53">
        <v>120000.0</v>
      </c>
      <c r="M36" s="51">
        <v>1.0</v>
      </c>
      <c r="N36" s="53" t="s">
        <v>349</v>
      </c>
      <c r="O36" s="53">
        <v>1.0</v>
      </c>
      <c r="P36" s="53">
        <v>2.0</v>
      </c>
      <c r="Q36" s="59" t="str">
        <f t="shared" si="56"/>
        <v/>
      </c>
      <c r="R36" s="60">
        <f t="shared" si="57"/>
        <v>120000</v>
      </c>
      <c r="S36" s="59" t="str">
        <f t="shared" si="58"/>
        <v/>
      </c>
      <c r="T36" s="61" t="str">
        <f t="shared" si="59"/>
        <v/>
      </c>
    </row>
    <row r="37">
      <c r="A37" s="27"/>
      <c r="B37" s="51" t="s">
        <v>27</v>
      </c>
      <c r="C37" s="87"/>
      <c r="D37" s="53"/>
      <c r="E37" s="53"/>
      <c r="F37" s="54" t="str">
        <f t="shared" si="52"/>
        <v/>
      </c>
      <c r="G37" s="55" t="str">
        <f t="shared" si="53"/>
        <v/>
      </c>
      <c r="H37" s="56"/>
      <c r="I37" s="51"/>
      <c r="J37" s="57" t="str">
        <f t="shared" si="54"/>
        <v/>
      </c>
      <c r="K37" s="58" t="str">
        <f t="shared" si="55"/>
        <v/>
      </c>
      <c r="L37" s="53"/>
      <c r="M37" s="51"/>
      <c r="N37" s="53"/>
      <c r="O37" s="53"/>
      <c r="P37" s="53"/>
      <c r="Q37" s="59" t="str">
        <f t="shared" si="56"/>
        <v/>
      </c>
      <c r="R37" s="60">
        <f t="shared" si="57"/>
        <v>0</v>
      </c>
      <c r="S37" s="59" t="str">
        <f t="shared" si="58"/>
        <v/>
      </c>
      <c r="T37" s="61" t="str">
        <f t="shared" si="59"/>
        <v/>
      </c>
    </row>
    <row r="38">
      <c r="A38" s="10"/>
      <c r="B38" s="51" t="s">
        <v>28</v>
      </c>
      <c r="C38" s="63"/>
      <c r="D38" s="53"/>
      <c r="E38" s="53"/>
      <c r="F38" s="54" t="str">
        <f t="shared" si="52"/>
        <v/>
      </c>
      <c r="G38" s="55" t="str">
        <f t="shared" si="53"/>
        <v/>
      </c>
      <c r="H38" s="56"/>
      <c r="I38" s="51"/>
      <c r="J38" s="57" t="str">
        <f t="shared" si="54"/>
        <v/>
      </c>
      <c r="K38" s="58" t="str">
        <f t="shared" si="55"/>
        <v/>
      </c>
      <c r="L38" s="53"/>
      <c r="M38" s="51"/>
      <c r="N38" s="53"/>
      <c r="O38" s="53"/>
      <c r="P38" s="53"/>
      <c r="Q38" s="59" t="str">
        <f t="shared" si="56"/>
        <v/>
      </c>
      <c r="R38" s="60">
        <f t="shared" si="57"/>
        <v>0</v>
      </c>
      <c r="S38" s="59" t="str">
        <f t="shared" si="58"/>
        <v/>
      </c>
      <c r="T38" s="61" t="str">
        <f t="shared" si="59"/>
        <v/>
      </c>
    </row>
    <row r="39">
      <c r="A39" s="30" t="s">
        <v>29</v>
      </c>
      <c r="B39" s="31"/>
      <c r="C39" s="31"/>
      <c r="D39" s="31"/>
      <c r="E39" s="32"/>
      <c r="F39" s="65" t="str">
        <f t="shared" ref="F39:G39" si="60">averageif(F35:F38,"&gt;0")</f>
        <v>#DIV/0!</v>
      </c>
      <c r="G39" s="66" t="str">
        <f t="shared" si="60"/>
        <v>#DIV/0!</v>
      </c>
      <c r="H39" s="67"/>
      <c r="I39" s="68">
        <f>SUM(I35:I38)</f>
        <v>0</v>
      </c>
      <c r="J39" s="69" t="str">
        <f t="shared" ref="J39:K39" si="61">averageif(J35:J38,"&gt;0")</f>
        <v>#DIV/0!</v>
      </c>
      <c r="K39" s="70" t="str">
        <f t="shared" si="61"/>
        <v>#DIV/0!</v>
      </c>
      <c r="L39" s="68">
        <f t="shared" ref="L39:M39" si="62">SUM(L35:L38)</f>
        <v>120000</v>
      </c>
      <c r="M39" s="71">
        <f t="shared" si="62"/>
        <v>1</v>
      </c>
      <c r="N39" s="68"/>
      <c r="O39" s="68">
        <f t="shared" ref="O39:P39" si="63">SUM(O35:O38)</f>
        <v>1</v>
      </c>
      <c r="P39" s="68">
        <f t="shared" si="63"/>
        <v>2</v>
      </c>
      <c r="Q39" s="72" t="str">
        <f>averageif(Q35:Q38,"&gt;0")</f>
        <v>#DIV/0!</v>
      </c>
      <c r="R39" s="67"/>
      <c r="S39" s="72" t="str">
        <f t="shared" ref="S39:T39" si="64">averageif(S35:S38,"&gt;0")</f>
        <v>#DIV/0!</v>
      </c>
      <c r="T39" s="73" t="str">
        <f t="shared" si="64"/>
        <v>#DIV/0!</v>
      </c>
    </row>
    <row r="41">
      <c r="A41" s="1" t="s">
        <v>294</v>
      </c>
      <c r="B41" s="2" t="s">
        <v>1</v>
      </c>
      <c r="C41" s="3" t="s">
        <v>2</v>
      </c>
      <c r="D41" s="4"/>
      <c r="E41" s="4"/>
      <c r="F41" s="4"/>
      <c r="G41" s="4"/>
      <c r="H41" s="5"/>
      <c r="I41" s="6" t="s">
        <v>3</v>
      </c>
      <c r="J41" s="4"/>
      <c r="K41" s="5"/>
      <c r="L41" s="7" t="s">
        <v>4</v>
      </c>
      <c r="M41" s="4"/>
      <c r="N41" s="4"/>
      <c r="O41" s="4"/>
      <c r="P41" s="4"/>
      <c r="Q41" s="4"/>
      <c r="R41" s="4"/>
      <c r="S41" s="4"/>
      <c r="T41" s="8"/>
    </row>
    <row r="42">
      <c r="A42" s="10"/>
      <c r="B42" s="11"/>
      <c r="C42" s="12" t="s">
        <v>5</v>
      </c>
      <c r="D42" s="12" t="s">
        <v>6</v>
      </c>
      <c r="E42" s="12" t="s">
        <v>7</v>
      </c>
      <c r="F42" s="12" t="s">
        <v>350</v>
      </c>
      <c r="G42" s="12" t="s">
        <v>351</v>
      </c>
      <c r="H42" s="12" t="s">
        <v>63</v>
      </c>
      <c r="I42" s="12" t="s">
        <v>11</v>
      </c>
      <c r="J42" s="12" t="s">
        <v>352</v>
      </c>
      <c r="K42" s="12" t="s">
        <v>353</v>
      </c>
      <c r="L42" s="12" t="s">
        <v>16</v>
      </c>
      <c r="M42" s="12" t="s">
        <v>223</v>
      </c>
      <c r="N42" s="12" t="s">
        <v>354</v>
      </c>
      <c r="O42" s="12" t="s">
        <v>225</v>
      </c>
      <c r="P42" s="12" t="s">
        <v>226</v>
      </c>
      <c r="Q42" s="12" t="s">
        <v>355</v>
      </c>
      <c r="R42" s="12" t="s">
        <v>20</v>
      </c>
      <c r="S42" s="12" t="s">
        <v>356</v>
      </c>
      <c r="T42" s="14" t="s">
        <v>357</v>
      </c>
    </row>
    <row r="43">
      <c r="A43" s="49" t="s">
        <v>358</v>
      </c>
      <c r="B43" s="51" t="s">
        <v>24</v>
      </c>
      <c r="C43" s="52"/>
      <c r="D43" s="53">
        <f t="shared" ref="D43:E43" si="65">D3+D11+D19+D27+D35</f>
        <v>25256</v>
      </c>
      <c r="E43" s="53">
        <f t="shared" si="65"/>
        <v>1090</v>
      </c>
      <c r="F43" s="54">
        <f t="shared" ref="F43:F46" si="69">iferror(H43/E43,"")</f>
        <v>323.846789</v>
      </c>
      <c r="G43" s="55">
        <f t="shared" ref="G43:G46" si="70">iferror(E43/D43,"")</f>
        <v>0.04315806145</v>
      </c>
      <c r="H43" s="53">
        <f t="shared" ref="H43:I43" si="66">H3+H11+H19+H27+H35</f>
        <v>352993</v>
      </c>
      <c r="I43" s="53">
        <f t="shared" si="66"/>
        <v>77</v>
      </c>
      <c r="J43" s="57">
        <f t="shared" ref="J43:J46" si="72">iferror(I43/E43,"")</f>
        <v>0.07064220183</v>
      </c>
      <c r="K43" s="58">
        <f t="shared" ref="K43:K46" si="73">iferror(H43/I43,"")</f>
        <v>4584.324675</v>
      </c>
      <c r="L43" s="53">
        <f t="shared" ref="L43:M43" si="67">L3+L11+L19+L27+L35</f>
        <v>420000</v>
      </c>
      <c r="M43" s="53">
        <f t="shared" si="67"/>
        <v>4</v>
      </c>
      <c r="N43" s="53"/>
      <c r="O43" s="53">
        <f t="shared" ref="O43:O46" si="75">O3+O11+O19+O27+O35</f>
        <v>4</v>
      </c>
      <c r="P43" s="53">
        <f>P3+P13+P19+P27+P35</f>
        <v>5</v>
      </c>
      <c r="Q43" s="59">
        <f t="shared" ref="Q43:Q46" si="76">iferror(M43/I43,"")</f>
        <v>0.05194805195</v>
      </c>
      <c r="R43" s="60">
        <f t="shared" ref="R43:R46" si="77">iferror(L43-H43,"")</f>
        <v>67007</v>
      </c>
      <c r="S43" s="59">
        <f t="shared" ref="S43:S46" si="78">iferror(L43/H43,"")</f>
        <v>1.189825294</v>
      </c>
      <c r="T43" s="61">
        <f t="shared" ref="T43:T46" si="79">iferror(R43/H43,"")</f>
        <v>0.189825294</v>
      </c>
    </row>
    <row r="44">
      <c r="A44" s="27"/>
      <c r="B44" s="51" t="s">
        <v>25</v>
      </c>
      <c r="C44" s="52"/>
      <c r="D44" s="53">
        <f t="shared" ref="D44:E44" si="68">D4+D12+D20+D28+D36</f>
        <v>2946</v>
      </c>
      <c r="E44" s="53">
        <f t="shared" si="68"/>
        <v>182</v>
      </c>
      <c r="F44" s="54">
        <f t="shared" si="69"/>
        <v>268.1098901</v>
      </c>
      <c r="G44" s="55">
        <f t="shared" si="70"/>
        <v>0.06177868296</v>
      </c>
      <c r="H44" s="53">
        <f t="shared" ref="H44:I44" si="71">H4+H12+H20+H28+H36</f>
        <v>48796</v>
      </c>
      <c r="I44" s="53">
        <f t="shared" si="71"/>
        <v>75</v>
      </c>
      <c r="J44" s="57">
        <f t="shared" si="72"/>
        <v>0.4120879121</v>
      </c>
      <c r="K44" s="58">
        <f t="shared" si="73"/>
        <v>650.6133333</v>
      </c>
      <c r="L44" s="53">
        <f t="shared" ref="L44:M44" si="74">L4+L12+L20+L28+L36</f>
        <v>520000</v>
      </c>
      <c r="M44" s="53">
        <f t="shared" si="74"/>
        <v>2</v>
      </c>
      <c r="N44" s="53"/>
      <c r="O44" s="53">
        <f t="shared" si="75"/>
        <v>3</v>
      </c>
      <c r="P44" s="53">
        <f t="shared" ref="P44:P46" si="83">P4+P12+P20+P28+P36</f>
        <v>6</v>
      </c>
      <c r="Q44" s="59">
        <f t="shared" si="76"/>
        <v>0.02666666667</v>
      </c>
      <c r="R44" s="60">
        <f t="shared" si="77"/>
        <v>471204</v>
      </c>
      <c r="S44" s="59">
        <f t="shared" si="78"/>
        <v>10.6566112</v>
      </c>
      <c r="T44" s="61">
        <f t="shared" si="79"/>
        <v>9.656611198</v>
      </c>
    </row>
    <row r="45">
      <c r="A45" s="27"/>
      <c r="B45" s="51" t="s">
        <v>27</v>
      </c>
      <c r="C45" s="62"/>
      <c r="D45" s="53">
        <f t="shared" ref="D45:E45" si="80">D5+D13+D21+D29+D37</f>
        <v>28400</v>
      </c>
      <c r="E45" s="53">
        <f t="shared" si="80"/>
        <v>1342</v>
      </c>
      <c r="F45" s="54">
        <f t="shared" si="69"/>
        <v>303.7175857</v>
      </c>
      <c r="G45" s="55">
        <f t="shared" si="70"/>
        <v>0.04725352113</v>
      </c>
      <c r="H45" s="53">
        <f t="shared" ref="H45:I45" si="81">H5+H13+H21+H29+H37</f>
        <v>407589</v>
      </c>
      <c r="I45" s="53">
        <f t="shared" si="81"/>
        <v>104</v>
      </c>
      <c r="J45" s="57">
        <f t="shared" si="72"/>
        <v>0.07749627422</v>
      </c>
      <c r="K45" s="58">
        <f t="shared" si="73"/>
        <v>3919.125</v>
      </c>
      <c r="L45" s="53">
        <f t="shared" ref="L45:M45" si="82">L5+L13+L21+L29+L37</f>
        <v>880000</v>
      </c>
      <c r="M45" s="53">
        <f t="shared" si="82"/>
        <v>4</v>
      </c>
      <c r="N45" s="53"/>
      <c r="O45" s="53">
        <f t="shared" si="75"/>
        <v>5</v>
      </c>
      <c r="P45" s="53">
        <f t="shared" si="83"/>
        <v>10</v>
      </c>
      <c r="Q45" s="59">
        <f t="shared" si="76"/>
        <v>0.03846153846</v>
      </c>
      <c r="R45" s="60">
        <f t="shared" si="77"/>
        <v>472411</v>
      </c>
      <c r="S45" s="59">
        <f t="shared" si="78"/>
        <v>2.159037658</v>
      </c>
      <c r="T45" s="61">
        <f t="shared" si="79"/>
        <v>1.159037658</v>
      </c>
    </row>
    <row r="46">
      <c r="A46" s="10"/>
      <c r="B46" s="51" t="s">
        <v>28</v>
      </c>
      <c r="C46" s="63"/>
      <c r="D46" s="53">
        <f t="shared" ref="D46:E46" si="84">D6+D14+D22+D30+D38</f>
        <v>0</v>
      </c>
      <c r="E46" s="53">
        <f t="shared" si="84"/>
        <v>0</v>
      </c>
      <c r="F46" s="54" t="str">
        <f t="shared" si="69"/>
        <v/>
      </c>
      <c r="G46" s="55" t="str">
        <f t="shared" si="70"/>
        <v/>
      </c>
      <c r="H46" s="53">
        <f t="shared" ref="H46:I46" si="85">H6+H14+H22+H30+H38</f>
        <v>0</v>
      </c>
      <c r="I46" s="53">
        <f t="shared" si="85"/>
        <v>0</v>
      </c>
      <c r="J46" s="57" t="str">
        <f t="shared" si="72"/>
        <v/>
      </c>
      <c r="K46" s="58" t="str">
        <f t="shared" si="73"/>
        <v/>
      </c>
      <c r="L46" s="53">
        <f t="shared" ref="L46:M46" si="86">L6+L14+L22+L30+L38</f>
        <v>0</v>
      </c>
      <c r="M46" s="53">
        <f t="shared" si="86"/>
        <v>0</v>
      </c>
      <c r="N46" s="53"/>
      <c r="O46" s="53">
        <f t="shared" si="75"/>
        <v>0</v>
      </c>
      <c r="P46" s="53">
        <f t="shared" si="83"/>
        <v>0</v>
      </c>
      <c r="Q46" s="59" t="str">
        <f t="shared" si="76"/>
        <v/>
      </c>
      <c r="R46" s="60">
        <f t="shared" si="77"/>
        <v>0</v>
      </c>
      <c r="S46" s="59" t="str">
        <f t="shared" si="78"/>
        <v/>
      </c>
      <c r="T46" s="61" t="str">
        <f t="shared" si="79"/>
        <v/>
      </c>
    </row>
    <row r="47">
      <c r="A47" s="30" t="s">
        <v>29</v>
      </c>
      <c r="B47" s="31"/>
      <c r="C47" s="31"/>
      <c r="D47" s="31"/>
      <c r="E47" s="32"/>
      <c r="F47" s="65">
        <f t="shared" ref="F47:G47" si="87">averageif(F43:F46,"&gt;0")</f>
        <v>298.5580883</v>
      </c>
      <c r="G47" s="66">
        <f t="shared" si="87"/>
        <v>0.05073008851</v>
      </c>
      <c r="H47" s="67"/>
      <c r="I47" s="68">
        <f>SUM(I43:I46)</f>
        <v>256</v>
      </c>
      <c r="J47" s="69">
        <f t="shared" ref="J47:K47" si="88">averageif(J43:J46,"&gt;0")</f>
        <v>0.1867421294</v>
      </c>
      <c r="K47" s="70">
        <f t="shared" si="88"/>
        <v>3051.354336</v>
      </c>
      <c r="L47" s="68">
        <f t="shared" ref="L47:M47" si="89">SUM(L43:L46)</f>
        <v>1820000</v>
      </c>
      <c r="M47" s="68">
        <f t="shared" si="89"/>
        <v>10</v>
      </c>
      <c r="N47" s="68"/>
      <c r="O47" s="68">
        <f t="shared" ref="O47:P47" si="90">SUM(O43:O46)</f>
        <v>12</v>
      </c>
      <c r="P47" s="68">
        <f t="shared" si="90"/>
        <v>21</v>
      </c>
      <c r="Q47" s="72">
        <f>averageif(Q43:Q46,"&gt;0")</f>
        <v>0.03902541903</v>
      </c>
      <c r="R47" s="67"/>
      <c r="S47" s="72">
        <f t="shared" ref="S47:T47" si="91">averageif(S43:S46,"&gt;0")</f>
        <v>4.668491383</v>
      </c>
      <c r="T47" s="73">
        <f t="shared" si="91"/>
        <v>3.668491383</v>
      </c>
    </row>
    <row r="49">
      <c r="A49" s="1" t="s">
        <v>359</v>
      </c>
      <c r="B49" s="2" t="s">
        <v>1</v>
      </c>
      <c r="C49" s="3" t="s">
        <v>2</v>
      </c>
      <c r="D49" s="4"/>
      <c r="E49" s="4"/>
      <c r="F49" s="4"/>
      <c r="G49" s="4"/>
      <c r="H49" s="5"/>
      <c r="I49" s="6" t="s">
        <v>3</v>
      </c>
      <c r="J49" s="4"/>
      <c r="K49" s="5"/>
      <c r="L49" s="7" t="s">
        <v>4</v>
      </c>
      <c r="M49" s="4"/>
      <c r="N49" s="4"/>
      <c r="O49" s="4"/>
      <c r="P49" s="4"/>
      <c r="Q49" s="4"/>
      <c r="R49" s="4"/>
      <c r="S49" s="4"/>
      <c r="T49" s="8"/>
    </row>
    <row r="50">
      <c r="A50" s="10"/>
      <c r="B50" s="11"/>
      <c r="C50" s="12" t="s">
        <v>5</v>
      </c>
      <c r="D50" s="12" t="s">
        <v>6</v>
      </c>
      <c r="E50" s="12" t="s">
        <v>7</v>
      </c>
      <c r="F50" s="12" t="s">
        <v>360</v>
      </c>
      <c r="G50" s="12" t="s">
        <v>361</v>
      </c>
      <c r="H50" s="12" t="s">
        <v>63</v>
      </c>
      <c r="I50" s="12" t="s">
        <v>11</v>
      </c>
      <c r="J50" s="12" t="s">
        <v>362</v>
      </c>
      <c r="K50" s="12" t="s">
        <v>363</v>
      </c>
      <c r="L50" s="12" t="s">
        <v>16</v>
      </c>
      <c r="M50" s="12" t="s">
        <v>223</v>
      </c>
      <c r="N50" s="12" t="s">
        <v>364</v>
      </c>
      <c r="O50" s="12" t="s">
        <v>225</v>
      </c>
      <c r="P50" s="12" t="s">
        <v>226</v>
      </c>
      <c r="Q50" s="12" t="s">
        <v>365</v>
      </c>
      <c r="R50" s="12" t="s">
        <v>20</v>
      </c>
      <c r="S50" s="12" t="s">
        <v>366</v>
      </c>
      <c r="T50" s="14" t="s">
        <v>367</v>
      </c>
    </row>
    <row r="51">
      <c r="A51" s="82" t="s">
        <v>282</v>
      </c>
      <c r="B51" s="51" t="s">
        <v>24</v>
      </c>
      <c r="C51" s="52"/>
      <c r="D51" s="53">
        <f>D43+'9월'!D53</f>
        <v>34248</v>
      </c>
      <c r="E51" s="53">
        <f>E43+'9월'!E53</f>
        <v>1522</v>
      </c>
      <c r="F51" s="54">
        <f t="shared" ref="F51:F54" si="92">iferror(H51/E51,"")</f>
        <v>353.1438896</v>
      </c>
      <c r="G51" s="55">
        <f t="shared" ref="G51:G54" si="93">iferror(E51/D51,"")</f>
        <v>0.04444055127</v>
      </c>
      <c r="H51" s="53">
        <f>H43+'9월'!H53</f>
        <v>537485</v>
      </c>
      <c r="I51" s="53">
        <f>I43+'9월'!I53</f>
        <v>119</v>
      </c>
      <c r="J51" s="57">
        <f t="shared" ref="J51:J54" si="94">iferror(I51/E51,"")</f>
        <v>0.07818659658</v>
      </c>
      <c r="K51" s="58">
        <f t="shared" ref="K51:K54" si="95">iferror(H51/I51,"")</f>
        <v>4516.680672</v>
      </c>
      <c r="L51" s="53">
        <f>L43+'9월'!L53</f>
        <v>740000</v>
      </c>
      <c r="M51" s="53">
        <f>M43+'9월'!M53</f>
        <v>6</v>
      </c>
      <c r="N51" s="53"/>
      <c r="O51" s="53">
        <f>O43+'9월'!O53</f>
        <v>6</v>
      </c>
      <c r="P51" s="53">
        <f>P43+'9월'!P53</f>
        <v>9</v>
      </c>
      <c r="Q51" s="59">
        <f t="shared" ref="Q51:Q54" si="96">iferror(M51/I51,"")</f>
        <v>0.05042016807</v>
      </c>
      <c r="R51" s="60">
        <f t="shared" ref="R51:R54" si="97">iferror(L51-H51,"")</f>
        <v>202515</v>
      </c>
      <c r="S51" s="59">
        <f t="shared" ref="S51:S54" si="98">iferror(L51/H51,"")</f>
        <v>1.376782608</v>
      </c>
      <c r="T51" s="61">
        <f t="shared" ref="T51:T54" si="99">iferror(R51/H51,"")</f>
        <v>0.3767826079</v>
      </c>
    </row>
    <row r="52">
      <c r="A52" s="27"/>
      <c r="B52" s="51" t="s">
        <v>25</v>
      </c>
      <c r="C52" s="52"/>
      <c r="D52" s="53">
        <f>D44+'9월'!D54</f>
        <v>30945</v>
      </c>
      <c r="E52" s="53">
        <f>E44+'9월'!E54</f>
        <v>1363</v>
      </c>
      <c r="F52" s="54">
        <f t="shared" si="92"/>
        <v>381.2531181</v>
      </c>
      <c r="G52" s="55">
        <f t="shared" si="93"/>
        <v>0.04404588787</v>
      </c>
      <c r="H52" s="53">
        <f>H44+'9월'!H54</f>
        <v>519648</v>
      </c>
      <c r="I52" s="53">
        <f>I44+'9월'!I54</f>
        <v>231</v>
      </c>
      <c r="J52" s="57">
        <f t="shared" si="94"/>
        <v>0.1694790902</v>
      </c>
      <c r="K52" s="58">
        <f t="shared" si="95"/>
        <v>2249.558442</v>
      </c>
      <c r="L52" s="53">
        <f>L44+'9월'!L54</f>
        <v>2200000</v>
      </c>
      <c r="M52" s="53">
        <f>M44+'9월'!M54</f>
        <v>11</v>
      </c>
      <c r="N52" s="53"/>
      <c r="O52" s="53">
        <f>O44+'9월'!O54</f>
        <v>16</v>
      </c>
      <c r="P52" s="53">
        <f>P44+'9월'!P54</f>
        <v>32</v>
      </c>
      <c r="Q52" s="59">
        <f t="shared" si="96"/>
        <v>0.04761904762</v>
      </c>
      <c r="R52" s="60">
        <f t="shared" si="97"/>
        <v>1680352</v>
      </c>
      <c r="S52" s="59">
        <f t="shared" si="98"/>
        <v>4.233635076</v>
      </c>
      <c r="T52" s="61">
        <f t="shared" si="99"/>
        <v>3.233635076</v>
      </c>
    </row>
    <row r="53">
      <c r="A53" s="27"/>
      <c r="B53" s="51" t="s">
        <v>27</v>
      </c>
      <c r="C53" s="62"/>
      <c r="D53" s="53">
        <f>D45+'9월'!D55</f>
        <v>78644</v>
      </c>
      <c r="E53" s="53">
        <f>E45+'9월'!E55</f>
        <v>4665</v>
      </c>
      <c r="F53" s="54">
        <f t="shared" si="92"/>
        <v>256.6120043</v>
      </c>
      <c r="G53" s="55">
        <f t="shared" si="93"/>
        <v>0.05931793907</v>
      </c>
      <c r="H53" s="53">
        <f>H45+'9월'!H55</f>
        <v>1197095</v>
      </c>
      <c r="I53" s="53">
        <f>I45+'9월'!I55</f>
        <v>415</v>
      </c>
      <c r="J53" s="57">
        <f t="shared" si="94"/>
        <v>0.08896034298</v>
      </c>
      <c r="K53" s="58">
        <f t="shared" si="95"/>
        <v>2884.566265</v>
      </c>
      <c r="L53" s="53">
        <f>L45+'9월'!L55</f>
        <v>2200000</v>
      </c>
      <c r="M53" s="53">
        <f>M45+'9월'!M55</f>
        <v>16</v>
      </c>
      <c r="N53" s="53"/>
      <c r="O53" s="53">
        <f>O45+'9월'!O55</f>
        <v>16</v>
      </c>
      <c r="P53" s="53">
        <f>P45+'9월'!P55</f>
        <v>32</v>
      </c>
      <c r="Q53" s="59">
        <f t="shared" si="96"/>
        <v>0.03855421687</v>
      </c>
      <c r="R53" s="60">
        <f t="shared" si="97"/>
        <v>1002905</v>
      </c>
      <c r="S53" s="59">
        <f t="shared" si="98"/>
        <v>1.837782298</v>
      </c>
      <c r="T53" s="61">
        <f t="shared" si="99"/>
        <v>0.837782298</v>
      </c>
    </row>
    <row r="54">
      <c r="A54" s="10"/>
      <c r="B54" s="51" t="s">
        <v>28</v>
      </c>
      <c r="C54" s="63"/>
      <c r="D54" s="53">
        <f>D46+'9월'!D57</f>
        <v>30261</v>
      </c>
      <c r="E54" s="53">
        <f>E46+'9월'!E57</f>
        <v>1471</v>
      </c>
      <c r="F54" s="54">
        <f t="shared" si="92"/>
        <v>326.5955133</v>
      </c>
      <c r="G54" s="55">
        <f t="shared" si="93"/>
        <v>0.04861042266</v>
      </c>
      <c r="H54" s="53">
        <f>H46+'9월'!H57</f>
        <v>480422</v>
      </c>
      <c r="I54" s="53">
        <f>I46+'9월'!I57</f>
        <v>115</v>
      </c>
      <c r="J54" s="57">
        <f t="shared" si="94"/>
        <v>0.07817811013</v>
      </c>
      <c r="K54" s="58">
        <f t="shared" si="95"/>
        <v>4177.582609</v>
      </c>
      <c r="L54" s="53">
        <f>L46+'9월'!L57</f>
        <v>120000</v>
      </c>
      <c r="M54" s="53">
        <f>M46+'9월'!M57</f>
        <v>1</v>
      </c>
      <c r="N54" s="53"/>
      <c r="O54" s="53">
        <f>O46+'9월'!O57</f>
        <v>1</v>
      </c>
      <c r="P54" s="53">
        <f>P46+'9월'!P57</f>
        <v>2</v>
      </c>
      <c r="Q54" s="59">
        <f t="shared" si="96"/>
        <v>0.008695652174</v>
      </c>
      <c r="R54" s="60">
        <f t="shared" si="97"/>
        <v>-360422</v>
      </c>
      <c r="S54" s="59">
        <f t="shared" si="98"/>
        <v>0.2497804014</v>
      </c>
      <c r="T54" s="61">
        <f t="shared" si="99"/>
        <v>-0.7502195986</v>
      </c>
    </row>
    <row r="55">
      <c r="A55" s="30" t="s">
        <v>29</v>
      </c>
      <c r="B55" s="31"/>
      <c r="C55" s="31"/>
      <c r="D55" s="31"/>
      <c r="E55" s="32"/>
      <c r="F55" s="65">
        <f t="shared" ref="F55:G55" si="100">averageif(F51:F54,"&gt;0")</f>
        <v>329.4011313</v>
      </c>
      <c r="G55" s="66">
        <f t="shared" si="100"/>
        <v>0.04910370022</v>
      </c>
      <c r="H55" s="67"/>
      <c r="I55" s="68">
        <f>SUM(I51:I54)</f>
        <v>880</v>
      </c>
      <c r="J55" s="69">
        <f t="shared" ref="J55:K55" si="101">averageif(J51:J54,"&gt;0")</f>
        <v>0.103701035</v>
      </c>
      <c r="K55" s="70">
        <f t="shared" si="101"/>
        <v>3457.096997</v>
      </c>
      <c r="L55" s="68">
        <f t="shared" ref="L55:M55" si="102">SUM(L51:L54)</f>
        <v>5260000</v>
      </c>
      <c r="M55" s="68">
        <f t="shared" si="102"/>
        <v>34</v>
      </c>
      <c r="N55" s="68"/>
      <c r="O55" s="68">
        <f t="shared" ref="O55:P55" si="103">SUM(O51:O54)</f>
        <v>39</v>
      </c>
      <c r="P55" s="68">
        <f t="shared" si="103"/>
        <v>75</v>
      </c>
      <c r="Q55" s="72">
        <f>averageif(Q51:Q54,"&gt;0")</f>
        <v>0.03632227118</v>
      </c>
      <c r="R55" s="67"/>
      <c r="S55" s="72">
        <f t="shared" ref="S55:T55" si="104">averageif(S51:S54,"&gt;0")</f>
        <v>1.924495096</v>
      </c>
      <c r="T55" s="73">
        <f t="shared" si="104"/>
        <v>1.482733327</v>
      </c>
    </row>
    <row r="57">
      <c r="A57" s="1" t="s">
        <v>283</v>
      </c>
      <c r="B57" s="2" t="s">
        <v>1</v>
      </c>
      <c r="C57" s="3" t="s">
        <v>2</v>
      </c>
      <c r="D57" s="4"/>
      <c r="E57" s="4"/>
      <c r="F57" s="4"/>
      <c r="G57" s="4"/>
      <c r="H57" s="5"/>
      <c r="I57" s="6" t="s">
        <v>3</v>
      </c>
      <c r="J57" s="4"/>
      <c r="K57" s="5"/>
      <c r="L57" s="7" t="s">
        <v>4</v>
      </c>
      <c r="M57" s="4"/>
      <c r="N57" s="4"/>
      <c r="O57" s="4"/>
      <c r="P57" s="4"/>
      <c r="Q57" s="4"/>
      <c r="R57" s="4"/>
      <c r="S57" s="4"/>
      <c r="T57" s="8"/>
    </row>
    <row r="58">
      <c r="A58" s="10"/>
      <c r="B58" s="11"/>
      <c r="C58" s="12" t="s">
        <v>5</v>
      </c>
      <c r="D58" s="12" t="s">
        <v>6</v>
      </c>
      <c r="E58" s="12" t="s">
        <v>7</v>
      </c>
      <c r="F58" s="12" t="s">
        <v>368</v>
      </c>
      <c r="G58" s="12" t="s">
        <v>369</v>
      </c>
      <c r="H58" s="12" t="s">
        <v>286</v>
      </c>
      <c r="I58" s="12" t="s">
        <v>11</v>
      </c>
      <c r="J58" s="12" t="s">
        <v>370</v>
      </c>
      <c r="K58" s="12" t="s">
        <v>371</v>
      </c>
      <c r="L58" s="12" t="s">
        <v>16</v>
      </c>
      <c r="M58" s="12" t="s">
        <v>223</v>
      </c>
      <c r="N58" s="12" t="s">
        <v>372</v>
      </c>
      <c r="O58" s="12" t="s">
        <v>225</v>
      </c>
      <c r="P58" s="12" t="s">
        <v>226</v>
      </c>
      <c r="Q58" s="12" t="s">
        <v>373</v>
      </c>
      <c r="R58" s="12" t="s">
        <v>20</v>
      </c>
      <c r="S58" s="12" t="s">
        <v>374</v>
      </c>
      <c r="T58" s="14" t="s">
        <v>375</v>
      </c>
    </row>
    <row r="59">
      <c r="A59" s="83" t="s">
        <v>293</v>
      </c>
      <c r="B59" s="51" t="s">
        <v>24</v>
      </c>
      <c r="C59" s="52"/>
      <c r="D59" s="53">
        <f>'9월'!D63+D43</f>
        <v>291248</v>
      </c>
      <c r="E59" s="53">
        <f>'9월'!E63+E43</f>
        <v>15385</v>
      </c>
      <c r="F59" s="54">
        <f t="shared" ref="F59:F62" si="105">iferror(H59/E59,"")</f>
        <v>189.8340591</v>
      </c>
      <c r="G59" s="55">
        <f t="shared" ref="G59:G62" si="106">iferror(E59/D59,"")</f>
        <v>0.05282439708</v>
      </c>
      <c r="H59" s="53">
        <f>'9월'!H63+H43</f>
        <v>2920597</v>
      </c>
      <c r="I59" s="53">
        <f>'9월'!I63+I43</f>
        <v>342</v>
      </c>
      <c r="J59" s="57">
        <f t="shared" ref="J59:J62" si="107">iferror(I59/E59,"")</f>
        <v>0.02222944426</v>
      </c>
      <c r="K59" s="58">
        <f t="shared" ref="K59:K62" si="108">iferror(H59/I59,"")</f>
        <v>8539.75731</v>
      </c>
      <c r="L59" s="53">
        <f>'9월'!L63+L43</f>
        <v>4250000</v>
      </c>
      <c r="M59" s="53">
        <f>'9월'!M63+M43</f>
        <v>14</v>
      </c>
      <c r="N59" s="53"/>
      <c r="O59" s="53">
        <f>'9월'!O63+O43</f>
        <v>8</v>
      </c>
      <c r="P59" s="53">
        <f>'9월'!P63+P43</f>
        <v>58</v>
      </c>
      <c r="Q59" s="59">
        <f t="shared" ref="Q59:Q62" si="109">iferror(M59/I59,"")</f>
        <v>0.04093567251</v>
      </c>
      <c r="R59" s="60">
        <f t="shared" ref="R59:R62" si="110">iferror(L59-H59,"")</f>
        <v>1329403</v>
      </c>
      <c r="S59" s="59">
        <f t="shared" ref="S59:S62" si="111">iferror(L59/H59,"")</f>
        <v>1.455181937</v>
      </c>
      <c r="T59" s="61">
        <f t="shared" ref="T59:T62" si="112">iferror(R59/H59,"")</f>
        <v>0.4551819371</v>
      </c>
    </row>
    <row r="60">
      <c r="A60" s="27"/>
      <c r="B60" s="51" t="s">
        <v>25</v>
      </c>
      <c r="C60" s="52"/>
      <c r="D60" s="53">
        <f>'9월'!D64+D44</f>
        <v>164565</v>
      </c>
      <c r="E60" s="53">
        <f>'9월'!E64+E44</f>
        <v>8968</v>
      </c>
      <c r="F60" s="54">
        <f t="shared" si="105"/>
        <v>285.4853925</v>
      </c>
      <c r="G60" s="55">
        <f t="shared" si="106"/>
        <v>0.05449518427</v>
      </c>
      <c r="H60" s="53">
        <f>'9월'!H64+H44</f>
        <v>2560233</v>
      </c>
      <c r="I60" s="53">
        <f>'9월'!I64+I44</f>
        <v>615</v>
      </c>
      <c r="J60" s="57">
        <f t="shared" si="107"/>
        <v>0.06857716325</v>
      </c>
      <c r="K60" s="58">
        <f t="shared" si="108"/>
        <v>4162.980488</v>
      </c>
      <c r="L60" s="53">
        <f>'9월'!L64+L44</f>
        <v>3700000</v>
      </c>
      <c r="M60" s="53">
        <f>'9월'!M64+M44</f>
        <v>21</v>
      </c>
      <c r="N60" s="53"/>
      <c r="O60" s="53">
        <f>'9월'!O64+O44</f>
        <v>29</v>
      </c>
      <c r="P60" s="53">
        <f>'9월'!P64+P44</f>
        <v>62</v>
      </c>
      <c r="Q60" s="59">
        <f t="shared" si="109"/>
        <v>0.03414634146</v>
      </c>
      <c r="R60" s="60">
        <f t="shared" si="110"/>
        <v>1139767</v>
      </c>
      <c r="S60" s="59">
        <f t="shared" si="111"/>
        <v>1.445180966</v>
      </c>
      <c r="T60" s="61">
        <f t="shared" si="112"/>
        <v>0.445180966</v>
      </c>
    </row>
    <row r="61">
      <c r="A61" s="27"/>
      <c r="B61" s="51" t="s">
        <v>27</v>
      </c>
      <c r="C61" s="62"/>
      <c r="D61" s="53">
        <f>'9월'!D65+D45</f>
        <v>298520</v>
      </c>
      <c r="E61" s="53">
        <f>'9월'!E65+E45</f>
        <v>14902</v>
      </c>
      <c r="F61" s="54">
        <f t="shared" si="105"/>
        <v>184.0100658</v>
      </c>
      <c r="G61" s="55">
        <f t="shared" si="106"/>
        <v>0.04991960338</v>
      </c>
      <c r="H61" s="53">
        <f>'9월'!H65+H45</f>
        <v>2742118</v>
      </c>
      <c r="I61" s="53">
        <f>'9월'!I65+I45</f>
        <v>641</v>
      </c>
      <c r="J61" s="57">
        <f t="shared" si="107"/>
        <v>0.04301436049</v>
      </c>
      <c r="K61" s="58">
        <f t="shared" si="108"/>
        <v>4277.875195</v>
      </c>
      <c r="L61" s="53">
        <f>'9월'!L65+L45</f>
        <v>3940000</v>
      </c>
      <c r="M61" s="53">
        <f>'9월'!M65+M45</f>
        <v>25</v>
      </c>
      <c r="N61" s="53"/>
      <c r="O61" s="53">
        <f>'9월'!O65+O45</f>
        <v>26.5</v>
      </c>
      <c r="P61" s="53">
        <f>'9월'!P65+P45</f>
        <v>59</v>
      </c>
      <c r="Q61" s="59">
        <f t="shared" si="109"/>
        <v>0.03900156006</v>
      </c>
      <c r="R61" s="60">
        <f t="shared" si="110"/>
        <v>1197882</v>
      </c>
      <c r="S61" s="59">
        <f t="shared" si="111"/>
        <v>1.436845533</v>
      </c>
      <c r="T61" s="61">
        <f t="shared" si="112"/>
        <v>0.4368455333</v>
      </c>
    </row>
    <row r="62">
      <c r="A62" s="10"/>
      <c r="B62" s="51" t="s">
        <v>28</v>
      </c>
      <c r="C62" s="63"/>
      <c r="D62" s="53">
        <f>'9월'!D67+D46</f>
        <v>234317</v>
      </c>
      <c r="E62" s="53">
        <f>'9월'!E67+E46</f>
        <v>11781</v>
      </c>
      <c r="F62" s="54">
        <f t="shared" si="105"/>
        <v>229.2333418</v>
      </c>
      <c r="G62" s="55">
        <f t="shared" si="106"/>
        <v>0.05027804214</v>
      </c>
      <c r="H62" s="53">
        <f>'9월'!H67+H46</f>
        <v>2700598</v>
      </c>
      <c r="I62" s="53">
        <f>'9월'!I67+I46</f>
        <v>428</v>
      </c>
      <c r="J62" s="57">
        <f t="shared" si="107"/>
        <v>0.03632968339</v>
      </c>
      <c r="K62" s="58">
        <f t="shared" si="108"/>
        <v>6309.808411</v>
      </c>
      <c r="L62" s="53">
        <f>'9월'!L67+L46</f>
        <v>1470000</v>
      </c>
      <c r="M62" s="53">
        <f>'9월'!M67+M46</f>
        <v>8</v>
      </c>
      <c r="N62" s="53"/>
      <c r="O62" s="53">
        <f>'9월'!O67+O46</f>
        <v>2</v>
      </c>
      <c r="P62" s="53">
        <f>'9월'!P67+P46</f>
        <v>23</v>
      </c>
      <c r="Q62" s="59">
        <f t="shared" si="109"/>
        <v>0.01869158879</v>
      </c>
      <c r="R62" s="60">
        <f t="shared" si="110"/>
        <v>-1230598</v>
      </c>
      <c r="S62" s="59">
        <f t="shared" si="111"/>
        <v>0.5443238868</v>
      </c>
      <c r="T62" s="61">
        <f t="shared" si="112"/>
        <v>-0.4556761132</v>
      </c>
    </row>
    <row r="63">
      <c r="A63" s="30" t="s">
        <v>29</v>
      </c>
      <c r="B63" s="31"/>
      <c r="C63" s="31"/>
      <c r="D63" s="31"/>
      <c r="E63" s="32"/>
      <c r="F63" s="65">
        <f t="shared" ref="F63:G63" si="113">averageif(F59:F62,"&gt;0")</f>
        <v>222.1407148</v>
      </c>
      <c r="G63" s="66">
        <f t="shared" si="113"/>
        <v>0.05187930672</v>
      </c>
      <c r="H63" s="67"/>
      <c r="I63" s="68">
        <f>SUM(I59:I62)</f>
        <v>2026</v>
      </c>
      <c r="J63" s="69">
        <f t="shared" ref="J63:K63" si="114">averageif(J59:J62,"&gt;0")</f>
        <v>0.04253766285</v>
      </c>
      <c r="K63" s="70">
        <f t="shared" si="114"/>
        <v>5822.605351</v>
      </c>
      <c r="L63" s="68">
        <f t="shared" ref="L63:M63" si="115">SUM(L59:L62)</f>
        <v>13360000</v>
      </c>
      <c r="M63" s="68">
        <f t="shared" si="115"/>
        <v>68</v>
      </c>
      <c r="N63" s="68"/>
      <c r="O63" s="68">
        <f t="shared" ref="O63:P63" si="116">SUM(O59:O62)</f>
        <v>65.5</v>
      </c>
      <c r="P63" s="68">
        <f t="shared" si="116"/>
        <v>202</v>
      </c>
      <c r="Q63" s="72">
        <f>averageif(Q59:Q62,"&gt;0")</f>
        <v>0.03319379071</v>
      </c>
      <c r="R63" s="67"/>
      <c r="S63" s="72">
        <f t="shared" ref="S63:T63" si="117">averageif(S59:S62,"&gt;0")</f>
        <v>1.220383081</v>
      </c>
      <c r="T63" s="73">
        <f t="shared" si="117"/>
        <v>0.4457361454</v>
      </c>
    </row>
  </sheetData>
  <mergeCells count="56">
    <mergeCell ref="A1:A2"/>
    <mergeCell ref="B1:B2"/>
    <mergeCell ref="C1:H1"/>
    <mergeCell ref="I1:K1"/>
    <mergeCell ref="L1:T1"/>
    <mergeCell ref="A3:A6"/>
    <mergeCell ref="A7:E7"/>
    <mergeCell ref="A9:A10"/>
    <mergeCell ref="B9:B10"/>
    <mergeCell ref="C9:H9"/>
    <mergeCell ref="I9:K9"/>
    <mergeCell ref="L9:T9"/>
    <mergeCell ref="A11:A14"/>
    <mergeCell ref="A15:E15"/>
    <mergeCell ref="A17:A18"/>
    <mergeCell ref="B17:B18"/>
    <mergeCell ref="C17:H17"/>
    <mergeCell ref="I17:K17"/>
    <mergeCell ref="L17:T17"/>
    <mergeCell ref="A19:A22"/>
    <mergeCell ref="A23:E23"/>
    <mergeCell ref="A25:A26"/>
    <mergeCell ref="B25:B26"/>
    <mergeCell ref="C25:H25"/>
    <mergeCell ref="I25:K25"/>
    <mergeCell ref="L25:T25"/>
    <mergeCell ref="A27:A30"/>
    <mergeCell ref="A31:E31"/>
    <mergeCell ref="A33:A34"/>
    <mergeCell ref="B33:B34"/>
    <mergeCell ref="C33:H33"/>
    <mergeCell ref="I33:K33"/>
    <mergeCell ref="L33:T33"/>
    <mergeCell ref="A35:A38"/>
    <mergeCell ref="A39:E39"/>
    <mergeCell ref="A41:A42"/>
    <mergeCell ref="B41:B42"/>
    <mergeCell ref="C41:H41"/>
    <mergeCell ref="I41:K41"/>
    <mergeCell ref="L41:T41"/>
    <mergeCell ref="A43:A46"/>
    <mergeCell ref="A47:E47"/>
    <mergeCell ref="A57:A58"/>
    <mergeCell ref="B57:B58"/>
    <mergeCell ref="C57:H57"/>
    <mergeCell ref="I57:K57"/>
    <mergeCell ref="L57:T57"/>
    <mergeCell ref="A59:A62"/>
    <mergeCell ref="A63:E63"/>
    <mergeCell ref="A49:A50"/>
    <mergeCell ref="B49:B50"/>
    <mergeCell ref="C49:H49"/>
    <mergeCell ref="I49:K49"/>
    <mergeCell ref="L49:T49"/>
    <mergeCell ref="A51:A54"/>
    <mergeCell ref="A55:E55"/>
  </mergeCells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0"/>
    <col customWidth="1" min="2" max="2" width="9.63"/>
    <col customWidth="1" min="3" max="3" width="10.88"/>
    <col customWidth="1" min="4" max="4" width="9.63"/>
    <col customWidth="1" min="5" max="5" width="8.38"/>
    <col customWidth="1" min="9" max="9" width="9.13"/>
    <col customWidth="1" min="14" max="16" width="10.25"/>
    <col customWidth="1" min="17" max="17" width="11.88"/>
    <col customWidth="1" min="19" max="19" width="11.5"/>
    <col customWidth="1" min="20" max="20" width="12.38"/>
  </cols>
  <sheetData>
    <row r="1">
      <c r="A1" s="1" t="s">
        <v>376</v>
      </c>
      <c r="B1" s="2" t="s">
        <v>1</v>
      </c>
      <c r="C1" s="3" t="s">
        <v>2</v>
      </c>
      <c r="D1" s="4"/>
      <c r="E1" s="4"/>
      <c r="F1" s="4"/>
      <c r="G1" s="4"/>
      <c r="H1" s="5"/>
      <c r="I1" s="6" t="s">
        <v>3</v>
      </c>
      <c r="J1" s="4"/>
      <c r="K1" s="5"/>
      <c r="L1" s="7" t="s">
        <v>4</v>
      </c>
      <c r="M1" s="4"/>
      <c r="N1" s="4"/>
      <c r="O1" s="4"/>
      <c r="P1" s="4"/>
      <c r="Q1" s="4"/>
      <c r="R1" s="4"/>
      <c r="S1" s="4"/>
      <c r="T1" s="8"/>
    </row>
    <row r="2">
      <c r="A2" s="10"/>
      <c r="B2" s="11"/>
      <c r="C2" s="12" t="s">
        <v>5</v>
      </c>
      <c r="D2" s="12" t="s">
        <v>6</v>
      </c>
      <c r="E2" s="12" t="s">
        <v>7</v>
      </c>
      <c r="F2" s="12" t="s">
        <v>377</v>
      </c>
      <c r="G2" s="12" t="s">
        <v>378</v>
      </c>
      <c r="H2" s="12" t="s">
        <v>10</v>
      </c>
      <c r="I2" s="12" t="s">
        <v>11</v>
      </c>
      <c r="J2" s="12" t="s">
        <v>379</v>
      </c>
      <c r="K2" s="12" t="s">
        <v>380</v>
      </c>
      <c r="L2" s="12" t="s">
        <v>16</v>
      </c>
      <c r="M2" s="12" t="s">
        <v>223</v>
      </c>
      <c r="N2" s="12" t="s">
        <v>381</v>
      </c>
      <c r="O2" s="12" t="s">
        <v>225</v>
      </c>
      <c r="P2" s="12" t="s">
        <v>226</v>
      </c>
      <c r="Q2" s="12" t="s">
        <v>382</v>
      </c>
      <c r="R2" s="12" t="s">
        <v>20</v>
      </c>
      <c r="S2" s="12" t="s">
        <v>383</v>
      </c>
      <c r="T2" s="14" t="s">
        <v>384</v>
      </c>
    </row>
    <row r="3">
      <c r="A3" s="15" t="s">
        <v>385</v>
      </c>
      <c r="B3" s="51" t="s">
        <v>24</v>
      </c>
      <c r="C3" s="52"/>
      <c r="D3" s="53"/>
      <c r="E3" s="53"/>
      <c r="F3" s="54" t="str">
        <f t="shared" ref="F3:F8" si="1">iferror(H3/E3,"")</f>
        <v/>
      </c>
      <c r="G3" s="55" t="str">
        <f t="shared" ref="G3:G8" si="2">iferror(E3/D3,"")</f>
        <v/>
      </c>
      <c r="H3" s="56"/>
      <c r="I3" s="51"/>
      <c r="J3" s="57" t="str">
        <f t="shared" ref="J3:J8" si="3">iferror(I3/E3,"")</f>
        <v/>
      </c>
      <c r="K3" s="58" t="str">
        <f t="shared" ref="K3:K8" si="4">iferror(H3/I3,"")</f>
        <v/>
      </c>
      <c r="L3" s="53"/>
      <c r="M3" s="51"/>
      <c r="N3" s="53"/>
      <c r="O3" s="53"/>
      <c r="P3" s="53"/>
      <c r="Q3" s="59" t="str">
        <f t="shared" ref="Q3:Q8" si="5">iferror(M3/I3,"")</f>
        <v/>
      </c>
      <c r="R3" s="60">
        <f t="shared" ref="R3:R8" si="6">iferror(L3-H3,"")</f>
        <v>0</v>
      </c>
      <c r="S3" s="59" t="str">
        <f t="shared" ref="S3:S8" si="7">iferror(L3/H3,"")</f>
        <v/>
      </c>
      <c r="T3" s="61" t="str">
        <f t="shared" ref="T3:T8" si="8">iferror(R3/H3,"")</f>
        <v/>
      </c>
    </row>
    <row r="4">
      <c r="A4" s="27"/>
      <c r="B4" s="51" t="s">
        <v>25</v>
      </c>
      <c r="C4" s="63"/>
      <c r="D4" s="53"/>
      <c r="E4" s="53"/>
      <c r="F4" s="54" t="str">
        <f t="shared" si="1"/>
        <v/>
      </c>
      <c r="G4" s="55" t="str">
        <f t="shared" si="2"/>
        <v/>
      </c>
      <c r="H4" s="56"/>
      <c r="I4" s="51"/>
      <c r="J4" s="57" t="str">
        <f t="shared" si="3"/>
        <v/>
      </c>
      <c r="K4" s="58" t="str">
        <f t="shared" si="4"/>
        <v/>
      </c>
      <c r="L4" s="53"/>
      <c r="M4" s="51"/>
      <c r="N4" s="53"/>
      <c r="O4" s="53"/>
      <c r="P4" s="53"/>
      <c r="Q4" s="59" t="str">
        <f t="shared" si="5"/>
        <v/>
      </c>
      <c r="R4" s="60">
        <f t="shared" si="6"/>
        <v>0</v>
      </c>
      <c r="S4" s="59" t="str">
        <f t="shared" si="7"/>
        <v/>
      </c>
      <c r="T4" s="61" t="str">
        <f t="shared" si="8"/>
        <v/>
      </c>
    </row>
    <row r="5">
      <c r="A5" s="27"/>
      <c r="B5" s="51" t="s">
        <v>27</v>
      </c>
      <c r="C5" s="62" t="s">
        <v>386</v>
      </c>
      <c r="D5" s="53">
        <v>5735.0</v>
      </c>
      <c r="E5" s="53">
        <v>453.0</v>
      </c>
      <c r="F5" s="54">
        <f t="shared" si="1"/>
        <v>216.6622517</v>
      </c>
      <c r="G5" s="55">
        <f t="shared" si="2"/>
        <v>0.07898866609</v>
      </c>
      <c r="H5" s="56">
        <v>98148.0</v>
      </c>
      <c r="I5" s="51">
        <v>33.0</v>
      </c>
      <c r="J5" s="57">
        <f t="shared" si="3"/>
        <v>0.07284768212</v>
      </c>
      <c r="K5" s="58">
        <f t="shared" si="4"/>
        <v>2974.181818</v>
      </c>
      <c r="L5" s="53">
        <v>60000.0</v>
      </c>
      <c r="M5" s="51">
        <v>1.0</v>
      </c>
      <c r="N5" s="53" t="s">
        <v>387</v>
      </c>
      <c r="O5" s="84">
        <v>0.5</v>
      </c>
      <c r="P5" s="53">
        <v>1.0</v>
      </c>
      <c r="Q5" s="59">
        <f t="shared" si="5"/>
        <v>0.0303030303</v>
      </c>
      <c r="R5" s="60">
        <f t="shared" si="6"/>
        <v>-38148</v>
      </c>
      <c r="S5" s="59">
        <f t="shared" si="7"/>
        <v>0.6113216775</v>
      </c>
      <c r="T5" s="61">
        <f t="shared" si="8"/>
        <v>-0.3886783225</v>
      </c>
    </row>
    <row r="6">
      <c r="A6" s="27"/>
      <c r="B6" s="51" t="s">
        <v>388</v>
      </c>
      <c r="C6" s="88"/>
      <c r="D6" s="53"/>
      <c r="E6" s="53"/>
      <c r="F6" s="54" t="str">
        <f t="shared" si="1"/>
        <v/>
      </c>
      <c r="G6" s="55" t="str">
        <f t="shared" si="2"/>
        <v/>
      </c>
      <c r="H6" s="56"/>
      <c r="I6" s="51"/>
      <c r="J6" s="57" t="str">
        <f t="shared" si="3"/>
        <v/>
      </c>
      <c r="K6" s="58" t="str">
        <f t="shared" si="4"/>
        <v/>
      </c>
      <c r="L6" s="89"/>
      <c r="M6" s="90"/>
      <c r="N6" s="89"/>
      <c r="O6" s="89"/>
      <c r="P6" s="89"/>
      <c r="Q6" s="59" t="str">
        <f t="shared" si="5"/>
        <v/>
      </c>
      <c r="R6" s="60">
        <f t="shared" si="6"/>
        <v>0</v>
      </c>
      <c r="S6" s="59" t="str">
        <f t="shared" si="7"/>
        <v/>
      </c>
      <c r="T6" s="61" t="str">
        <f t="shared" si="8"/>
        <v/>
      </c>
    </row>
    <row r="7">
      <c r="A7" s="27"/>
      <c r="B7" s="51" t="s">
        <v>28</v>
      </c>
      <c r="C7" s="63"/>
      <c r="D7" s="53"/>
      <c r="E7" s="53"/>
      <c r="F7" s="54" t="str">
        <f t="shared" si="1"/>
        <v/>
      </c>
      <c r="G7" s="55" t="str">
        <f t="shared" si="2"/>
        <v/>
      </c>
      <c r="H7" s="56"/>
      <c r="I7" s="51"/>
      <c r="J7" s="57" t="str">
        <f t="shared" si="3"/>
        <v/>
      </c>
      <c r="K7" s="58" t="str">
        <f t="shared" si="4"/>
        <v/>
      </c>
      <c r="L7" s="53"/>
      <c r="M7" s="51"/>
      <c r="N7" s="53"/>
      <c r="O7" s="53"/>
      <c r="P7" s="53"/>
      <c r="Q7" s="59" t="str">
        <f t="shared" si="5"/>
        <v/>
      </c>
      <c r="R7" s="60">
        <f t="shared" si="6"/>
        <v>0</v>
      </c>
      <c r="S7" s="59" t="str">
        <f t="shared" si="7"/>
        <v/>
      </c>
      <c r="T7" s="61" t="str">
        <f t="shared" si="8"/>
        <v/>
      </c>
      <c r="U7" s="64" t="s">
        <v>389</v>
      </c>
    </row>
    <row r="8">
      <c r="A8" s="10"/>
      <c r="B8" s="51" t="s">
        <v>390</v>
      </c>
      <c r="C8" s="91"/>
      <c r="D8" s="89"/>
      <c r="E8" s="89"/>
      <c r="F8" s="54" t="str">
        <f t="shared" si="1"/>
        <v/>
      </c>
      <c r="G8" s="55" t="str">
        <f t="shared" si="2"/>
        <v/>
      </c>
      <c r="H8" s="92"/>
      <c r="I8" s="90"/>
      <c r="J8" s="57" t="str">
        <f t="shared" si="3"/>
        <v/>
      </c>
      <c r="K8" s="58" t="str">
        <f t="shared" si="4"/>
        <v/>
      </c>
      <c r="L8" s="89"/>
      <c r="M8" s="90"/>
      <c r="N8" s="89"/>
      <c r="O8" s="89"/>
      <c r="P8" s="89"/>
      <c r="Q8" s="59" t="str">
        <f t="shared" si="5"/>
        <v/>
      </c>
      <c r="R8" s="60">
        <f t="shared" si="6"/>
        <v>0</v>
      </c>
      <c r="S8" s="59" t="str">
        <f t="shared" si="7"/>
        <v/>
      </c>
      <c r="T8" s="61" t="str">
        <f t="shared" si="8"/>
        <v/>
      </c>
    </row>
    <row r="9">
      <c r="A9" s="30" t="s">
        <v>29</v>
      </c>
      <c r="B9" s="31"/>
      <c r="C9" s="31"/>
      <c r="D9" s="31"/>
      <c r="E9" s="32"/>
      <c r="F9" s="65">
        <f t="shared" ref="F9:G9" si="9">averageif(F3:F8,"&gt;0")</f>
        <v>216.6622517</v>
      </c>
      <c r="G9" s="66">
        <f t="shared" si="9"/>
        <v>0.07898866609</v>
      </c>
      <c r="H9" s="67"/>
      <c r="I9" s="68">
        <f>SUM(I3:I8)</f>
        <v>33</v>
      </c>
      <c r="J9" s="69">
        <f t="shared" ref="J9:K9" si="10">averageif(J3:J8,"&gt;0")</f>
        <v>0.07284768212</v>
      </c>
      <c r="K9" s="70">
        <f t="shared" si="10"/>
        <v>2974.181818</v>
      </c>
      <c r="L9" s="68">
        <f t="shared" ref="L9:M9" si="11">SUM(L3:L8)</f>
        <v>60000</v>
      </c>
      <c r="M9" s="71">
        <f t="shared" si="11"/>
        <v>1</v>
      </c>
      <c r="N9" s="68"/>
      <c r="O9" s="68">
        <f t="shared" ref="O9:P9" si="12">SUM(O3:O8)</f>
        <v>0.5</v>
      </c>
      <c r="P9" s="68">
        <f t="shared" si="12"/>
        <v>1</v>
      </c>
      <c r="Q9" s="72">
        <f>averageif(Q3:Q8,"&gt;0")</f>
        <v>0.0303030303</v>
      </c>
      <c r="R9" s="67"/>
      <c r="S9" s="72">
        <f t="shared" ref="S9:T9" si="13">averageif(S3:S8,"&gt;0")</f>
        <v>0.6113216775</v>
      </c>
      <c r="T9" s="73" t="str">
        <f t="shared" si="13"/>
        <v>#DIV/0!</v>
      </c>
    </row>
    <row r="11">
      <c r="A11" s="1" t="s">
        <v>391</v>
      </c>
      <c r="B11" s="2" t="s">
        <v>1</v>
      </c>
      <c r="C11" s="3" t="s">
        <v>2</v>
      </c>
      <c r="D11" s="4"/>
      <c r="E11" s="4"/>
      <c r="F11" s="4"/>
      <c r="G11" s="4"/>
      <c r="H11" s="5"/>
      <c r="I11" s="6" t="s">
        <v>3</v>
      </c>
      <c r="J11" s="4"/>
      <c r="K11" s="5"/>
      <c r="L11" s="7" t="s">
        <v>4</v>
      </c>
      <c r="M11" s="4"/>
      <c r="N11" s="4"/>
      <c r="O11" s="4"/>
      <c r="P11" s="4"/>
      <c r="Q11" s="4"/>
      <c r="R11" s="4"/>
      <c r="S11" s="4"/>
      <c r="T11" s="8"/>
    </row>
    <row r="12">
      <c r="A12" s="10"/>
      <c r="B12" s="11"/>
      <c r="C12" s="12" t="s">
        <v>5</v>
      </c>
      <c r="D12" s="12" t="s">
        <v>6</v>
      </c>
      <c r="E12" s="12" t="s">
        <v>7</v>
      </c>
      <c r="F12" s="12" t="s">
        <v>392</v>
      </c>
      <c r="G12" s="12" t="s">
        <v>393</v>
      </c>
      <c r="H12" s="12" t="s">
        <v>10</v>
      </c>
      <c r="I12" s="12" t="s">
        <v>11</v>
      </c>
      <c r="J12" s="12" t="s">
        <v>394</v>
      </c>
      <c r="K12" s="12" t="s">
        <v>395</v>
      </c>
      <c r="L12" s="12" t="s">
        <v>16</v>
      </c>
      <c r="M12" s="12" t="s">
        <v>223</v>
      </c>
      <c r="N12" s="12" t="s">
        <v>396</v>
      </c>
      <c r="O12" s="12" t="s">
        <v>225</v>
      </c>
      <c r="P12" s="12" t="s">
        <v>226</v>
      </c>
      <c r="Q12" s="12" t="s">
        <v>397</v>
      </c>
      <c r="R12" s="12" t="s">
        <v>20</v>
      </c>
      <c r="S12" s="12" t="s">
        <v>398</v>
      </c>
      <c r="T12" s="14" t="s">
        <v>399</v>
      </c>
    </row>
    <row r="13">
      <c r="A13" s="15" t="s">
        <v>400</v>
      </c>
      <c r="B13" s="51" t="s">
        <v>24</v>
      </c>
      <c r="C13" s="52">
        <v>45541.0</v>
      </c>
      <c r="D13" s="53">
        <v>1194.0</v>
      </c>
      <c r="E13" s="53">
        <v>71.0</v>
      </c>
      <c r="F13" s="74">
        <v>509.0</v>
      </c>
      <c r="G13" s="55">
        <f t="shared" ref="G13:G18" si="14">iferror(E13/D13,"")</f>
        <v>0.0594639866</v>
      </c>
      <c r="H13" s="56">
        <v>36111.0</v>
      </c>
      <c r="I13" s="51">
        <v>6.0</v>
      </c>
      <c r="J13" s="57">
        <f t="shared" ref="J13:J18" si="15">iferror(I13/E13,"")</f>
        <v>0.08450704225</v>
      </c>
      <c r="K13" s="58">
        <f t="shared" ref="K13:K18" si="16">iferror(H13/I13,"")</f>
        <v>6018.5</v>
      </c>
      <c r="L13" s="53"/>
      <c r="M13" s="51"/>
      <c r="N13" s="53"/>
      <c r="O13" s="53"/>
      <c r="P13" s="53"/>
      <c r="Q13" s="59">
        <f t="shared" ref="Q13:Q18" si="17">iferror(M13/I13,"")</f>
        <v>0</v>
      </c>
      <c r="R13" s="60">
        <f t="shared" ref="R13:R18" si="18">iferror(L13-H13,"")</f>
        <v>-36111</v>
      </c>
      <c r="S13" s="59">
        <f t="shared" ref="S13:S18" si="19">iferror(L13/H13,"")</f>
        <v>0</v>
      </c>
      <c r="T13" s="61">
        <f t="shared" ref="T13:T18" si="20">iferror(R13/H13,"")</f>
        <v>-1</v>
      </c>
    </row>
    <row r="14">
      <c r="A14" s="27"/>
      <c r="B14" s="51" t="s">
        <v>25</v>
      </c>
      <c r="C14" s="63" t="s">
        <v>401</v>
      </c>
      <c r="D14" s="53">
        <v>16895.0</v>
      </c>
      <c r="E14" s="53">
        <v>752.0</v>
      </c>
      <c r="F14" s="54">
        <f t="shared" ref="F14:F18" si="21">iferror(H14/E14,"")</f>
        <v>416.2885638</v>
      </c>
      <c r="G14" s="55">
        <f t="shared" si="14"/>
        <v>0.04451021012</v>
      </c>
      <c r="H14" s="56">
        <v>313049.0</v>
      </c>
      <c r="I14" s="51">
        <v>100.0</v>
      </c>
      <c r="J14" s="57">
        <f t="shared" si="15"/>
        <v>0.1329787234</v>
      </c>
      <c r="K14" s="58">
        <f t="shared" si="16"/>
        <v>3130.49</v>
      </c>
      <c r="L14" s="53"/>
      <c r="M14" s="51"/>
      <c r="N14" s="53"/>
      <c r="O14" s="53"/>
      <c r="P14" s="53"/>
      <c r="Q14" s="59">
        <f t="shared" si="17"/>
        <v>0</v>
      </c>
      <c r="R14" s="60">
        <f t="shared" si="18"/>
        <v>-313049</v>
      </c>
      <c r="S14" s="59">
        <f t="shared" si="19"/>
        <v>0</v>
      </c>
      <c r="T14" s="61">
        <f t="shared" si="20"/>
        <v>-1</v>
      </c>
    </row>
    <row r="15">
      <c r="A15" s="27"/>
      <c r="B15" s="51" t="s">
        <v>27</v>
      </c>
      <c r="C15" s="62" t="s">
        <v>402</v>
      </c>
      <c r="D15" s="53">
        <v>14576.0</v>
      </c>
      <c r="E15" s="53">
        <v>1106.0</v>
      </c>
      <c r="F15" s="54">
        <f t="shared" si="21"/>
        <v>229.6862568</v>
      </c>
      <c r="G15" s="55">
        <f t="shared" si="14"/>
        <v>0.07587815587</v>
      </c>
      <c r="H15" s="56">
        <v>254033.0</v>
      </c>
      <c r="I15" s="51">
        <v>109.0</v>
      </c>
      <c r="J15" s="57">
        <f t="shared" si="15"/>
        <v>0.09855334539</v>
      </c>
      <c r="K15" s="58">
        <f t="shared" si="16"/>
        <v>2330.577982</v>
      </c>
      <c r="L15" s="53">
        <v>540000.0</v>
      </c>
      <c r="M15" s="51">
        <v>5.0</v>
      </c>
      <c r="N15" s="53" t="s">
        <v>403</v>
      </c>
      <c r="O15" s="84">
        <v>4.5</v>
      </c>
      <c r="P15" s="53">
        <v>9.0</v>
      </c>
      <c r="Q15" s="59">
        <f t="shared" si="17"/>
        <v>0.04587155963</v>
      </c>
      <c r="R15" s="60">
        <f t="shared" si="18"/>
        <v>285967</v>
      </c>
      <c r="S15" s="59">
        <f t="shared" si="19"/>
        <v>2.125708077</v>
      </c>
      <c r="T15" s="61">
        <f t="shared" si="20"/>
        <v>1.125708077</v>
      </c>
    </row>
    <row r="16">
      <c r="A16" s="27"/>
      <c r="B16" s="51" t="s">
        <v>388</v>
      </c>
      <c r="C16" s="88"/>
      <c r="D16" s="53"/>
      <c r="E16" s="53"/>
      <c r="F16" s="54" t="str">
        <f t="shared" si="21"/>
        <v/>
      </c>
      <c r="G16" s="55" t="str">
        <f t="shared" si="14"/>
        <v/>
      </c>
      <c r="H16" s="56"/>
      <c r="I16" s="51"/>
      <c r="J16" s="57" t="str">
        <f t="shared" si="15"/>
        <v/>
      </c>
      <c r="K16" s="58" t="str">
        <f t="shared" si="16"/>
        <v/>
      </c>
      <c r="L16" s="89"/>
      <c r="M16" s="90"/>
      <c r="N16" s="89"/>
      <c r="O16" s="89"/>
      <c r="P16" s="89"/>
      <c r="Q16" s="59" t="str">
        <f t="shared" si="17"/>
        <v/>
      </c>
      <c r="R16" s="60">
        <f t="shared" si="18"/>
        <v>0</v>
      </c>
      <c r="S16" s="59" t="str">
        <f t="shared" si="19"/>
        <v/>
      </c>
      <c r="T16" s="61" t="str">
        <f t="shared" si="20"/>
        <v/>
      </c>
    </row>
    <row r="17">
      <c r="A17" s="27"/>
      <c r="B17" s="51" t="s">
        <v>28</v>
      </c>
      <c r="C17" s="63" t="s">
        <v>404</v>
      </c>
      <c r="D17" s="53">
        <v>4109.0</v>
      </c>
      <c r="E17" s="53">
        <v>181.0</v>
      </c>
      <c r="F17" s="54">
        <f t="shared" si="21"/>
        <v>498.8342541</v>
      </c>
      <c r="G17" s="55">
        <f t="shared" si="14"/>
        <v>0.04404964712</v>
      </c>
      <c r="H17" s="56">
        <v>90289.0</v>
      </c>
      <c r="I17" s="51">
        <v>20.0</v>
      </c>
      <c r="J17" s="57">
        <f t="shared" si="15"/>
        <v>0.1104972376</v>
      </c>
      <c r="K17" s="58">
        <f t="shared" si="16"/>
        <v>4514.45</v>
      </c>
      <c r="L17" s="53"/>
      <c r="M17" s="51"/>
      <c r="N17" s="53"/>
      <c r="O17" s="53"/>
      <c r="P17" s="53"/>
      <c r="Q17" s="59">
        <f t="shared" si="17"/>
        <v>0</v>
      </c>
      <c r="R17" s="60">
        <f t="shared" si="18"/>
        <v>-90289</v>
      </c>
      <c r="S17" s="59">
        <f t="shared" si="19"/>
        <v>0</v>
      </c>
      <c r="T17" s="61">
        <f t="shared" si="20"/>
        <v>-1</v>
      </c>
      <c r="U17" s="64" t="s">
        <v>405</v>
      </c>
    </row>
    <row r="18">
      <c r="A18" s="10"/>
      <c r="B18" s="51" t="s">
        <v>390</v>
      </c>
      <c r="C18" s="91"/>
      <c r="D18" s="89"/>
      <c r="E18" s="89"/>
      <c r="F18" s="54" t="str">
        <f t="shared" si="21"/>
        <v/>
      </c>
      <c r="G18" s="55" t="str">
        <f t="shared" si="14"/>
        <v/>
      </c>
      <c r="H18" s="92"/>
      <c r="I18" s="90"/>
      <c r="J18" s="57" t="str">
        <f t="shared" si="15"/>
        <v/>
      </c>
      <c r="K18" s="58" t="str">
        <f t="shared" si="16"/>
        <v/>
      </c>
      <c r="L18" s="89"/>
      <c r="M18" s="90"/>
      <c r="N18" s="89"/>
      <c r="O18" s="89"/>
      <c r="P18" s="89"/>
      <c r="Q18" s="59" t="str">
        <f t="shared" si="17"/>
        <v/>
      </c>
      <c r="R18" s="60">
        <f t="shared" si="18"/>
        <v>0</v>
      </c>
      <c r="S18" s="59" t="str">
        <f t="shared" si="19"/>
        <v/>
      </c>
      <c r="T18" s="61" t="str">
        <f t="shared" si="20"/>
        <v/>
      </c>
    </row>
    <row r="19">
      <c r="A19" s="30" t="s">
        <v>29</v>
      </c>
      <c r="B19" s="31"/>
      <c r="C19" s="31"/>
      <c r="D19" s="31"/>
      <c r="E19" s="32"/>
      <c r="F19" s="65">
        <f t="shared" ref="F19:G19" si="22">averageif(F13:F18,"&gt;0")</f>
        <v>413.4522687</v>
      </c>
      <c r="G19" s="66">
        <f t="shared" si="22"/>
        <v>0.05597549993</v>
      </c>
      <c r="H19" s="67"/>
      <c r="I19" s="68">
        <f>SUM(I13:I18)</f>
        <v>235</v>
      </c>
      <c r="J19" s="69">
        <f t="shared" ref="J19:K19" si="23">averageif(J13:J18,"&gt;0")</f>
        <v>0.1066340872</v>
      </c>
      <c r="K19" s="70">
        <f t="shared" si="23"/>
        <v>3998.504495</v>
      </c>
      <c r="L19" s="68">
        <f t="shared" ref="L19:M19" si="24">SUM(L13:L18)</f>
        <v>540000</v>
      </c>
      <c r="M19" s="71">
        <f t="shared" si="24"/>
        <v>5</v>
      </c>
      <c r="N19" s="68"/>
      <c r="O19" s="68">
        <f t="shared" ref="O19:P19" si="25">SUM(O13:O18)</f>
        <v>4.5</v>
      </c>
      <c r="P19" s="68">
        <f t="shared" si="25"/>
        <v>9</v>
      </c>
      <c r="Q19" s="72">
        <f>averageif(Q13:Q18,"&gt;0")</f>
        <v>0.04587155963</v>
      </c>
      <c r="R19" s="67"/>
      <c r="S19" s="72">
        <f t="shared" ref="S19:T19" si="26">averageif(S13:S18,"&gt;0")</f>
        <v>2.125708077</v>
      </c>
      <c r="T19" s="73">
        <f t="shared" si="26"/>
        <v>1.125708077</v>
      </c>
    </row>
    <row r="21">
      <c r="A21" s="1" t="s">
        <v>391</v>
      </c>
      <c r="B21" s="2" t="s">
        <v>1</v>
      </c>
      <c r="C21" s="3" t="s">
        <v>2</v>
      </c>
      <c r="D21" s="4"/>
      <c r="E21" s="4"/>
      <c r="F21" s="4"/>
      <c r="G21" s="4"/>
      <c r="H21" s="5"/>
      <c r="I21" s="6" t="s">
        <v>3</v>
      </c>
      <c r="J21" s="4"/>
      <c r="K21" s="5"/>
      <c r="L21" s="7" t="s">
        <v>4</v>
      </c>
      <c r="M21" s="4"/>
      <c r="N21" s="4"/>
      <c r="O21" s="4"/>
      <c r="P21" s="4"/>
      <c r="Q21" s="4"/>
      <c r="R21" s="4"/>
      <c r="S21" s="4"/>
      <c r="T21" s="8"/>
    </row>
    <row r="22">
      <c r="A22" s="10"/>
      <c r="B22" s="11"/>
      <c r="C22" s="12" t="s">
        <v>5</v>
      </c>
      <c r="D22" s="12" t="s">
        <v>6</v>
      </c>
      <c r="E22" s="12" t="s">
        <v>7</v>
      </c>
      <c r="F22" s="12" t="s">
        <v>406</v>
      </c>
      <c r="G22" s="12" t="s">
        <v>407</v>
      </c>
      <c r="H22" s="12" t="s">
        <v>10</v>
      </c>
      <c r="I22" s="12" t="s">
        <v>11</v>
      </c>
      <c r="J22" s="12" t="s">
        <v>408</v>
      </c>
      <c r="K22" s="12" t="s">
        <v>409</v>
      </c>
      <c r="L22" s="12" t="s">
        <v>16</v>
      </c>
      <c r="M22" s="12" t="s">
        <v>223</v>
      </c>
      <c r="N22" s="12" t="s">
        <v>410</v>
      </c>
      <c r="O22" s="12" t="s">
        <v>225</v>
      </c>
      <c r="P22" s="12" t="s">
        <v>226</v>
      </c>
      <c r="Q22" s="12" t="s">
        <v>411</v>
      </c>
      <c r="R22" s="12" t="s">
        <v>20</v>
      </c>
      <c r="S22" s="12" t="s">
        <v>412</v>
      </c>
      <c r="T22" s="14" t="s">
        <v>413</v>
      </c>
    </row>
    <row r="23">
      <c r="A23" s="15" t="s">
        <v>414</v>
      </c>
      <c r="B23" s="51" t="s">
        <v>24</v>
      </c>
      <c r="C23" s="93">
        <v>45544.95138888889</v>
      </c>
      <c r="D23" s="53">
        <v>3535.0</v>
      </c>
      <c r="E23" s="53">
        <v>150.0</v>
      </c>
      <c r="F23" s="74">
        <v>519.0</v>
      </c>
      <c r="G23" s="55">
        <f t="shared" ref="G23:G28" si="27">iferror(E23/D23,"")</f>
        <v>0.04243281471</v>
      </c>
      <c r="H23" s="56">
        <v>77843.0</v>
      </c>
      <c r="I23" s="51">
        <v>18.0</v>
      </c>
      <c r="J23" s="57">
        <f t="shared" ref="J23:J28" si="28">iferror(I23/E23,"")</f>
        <v>0.12</v>
      </c>
      <c r="K23" s="58">
        <f t="shared" ref="K23:K28" si="29">iferror(H23/I23,"")</f>
        <v>4324.611111</v>
      </c>
      <c r="L23" s="53"/>
      <c r="M23" s="51"/>
      <c r="N23" s="53"/>
      <c r="O23" s="53"/>
      <c r="P23" s="53"/>
      <c r="Q23" s="59">
        <f t="shared" ref="Q23:Q28" si="30">iferror(M23/I23,"")</f>
        <v>0</v>
      </c>
      <c r="R23" s="60">
        <f t="shared" ref="R23:R28" si="31">iferror(L23-H23,"")</f>
        <v>-77843</v>
      </c>
      <c r="S23" s="59">
        <f t="shared" ref="S23:S28" si="32">iferror(L23/H23,"")</f>
        <v>0</v>
      </c>
      <c r="T23" s="61">
        <f t="shared" ref="T23:T28" si="33">iferror(R23/H23,"")</f>
        <v>-1</v>
      </c>
    </row>
    <row r="24">
      <c r="A24" s="27"/>
      <c r="B24" s="51" t="s">
        <v>25</v>
      </c>
      <c r="C24" s="63" t="s">
        <v>415</v>
      </c>
      <c r="D24" s="53">
        <v>11104.0</v>
      </c>
      <c r="E24" s="53">
        <v>429.0</v>
      </c>
      <c r="F24" s="54">
        <f t="shared" ref="F24:F28" si="34">iferror(H24/E24,"")</f>
        <v>367.8391608</v>
      </c>
      <c r="G24" s="55">
        <f t="shared" si="27"/>
        <v>0.03863472622</v>
      </c>
      <c r="H24" s="56">
        <v>157803.0</v>
      </c>
      <c r="I24" s="51">
        <v>29.0</v>
      </c>
      <c r="J24" s="57">
        <f t="shared" si="28"/>
        <v>0.0675990676</v>
      </c>
      <c r="K24" s="58">
        <f t="shared" si="29"/>
        <v>5441.482759</v>
      </c>
      <c r="L24" s="53">
        <v>300000.0</v>
      </c>
      <c r="M24" s="51">
        <v>2.0</v>
      </c>
      <c r="N24" s="53" t="s">
        <v>416</v>
      </c>
      <c r="O24" s="53">
        <v>2.0</v>
      </c>
      <c r="P24" s="53">
        <v>4.0</v>
      </c>
      <c r="Q24" s="59">
        <f t="shared" si="30"/>
        <v>0.06896551724</v>
      </c>
      <c r="R24" s="60">
        <f t="shared" si="31"/>
        <v>142197</v>
      </c>
      <c r="S24" s="59">
        <f t="shared" si="32"/>
        <v>1.901104542</v>
      </c>
      <c r="T24" s="61">
        <f t="shared" si="33"/>
        <v>0.9011045417</v>
      </c>
    </row>
    <row r="25">
      <c r="A25" s="27"/>
      <c r="B25" s="51" t="s">
        <v>27</v>
      </c>
      <c r="C25" s="62" t="s">
        <v>417</v>
      </c>
      <c r="D25" s="53">
        <v>11581.0</v>
      </c>
      <c r="E25" s="53">
        <v>692.0</v>
      </c>
      <c r="F25" s="54">
        <f t="shared" si="34"/>
        <v>309.0549133</v>
      </c>
      <c r="G25" s="55">
        <f t="shared" si="27"/>
        <v>0.05975304378</v>
      </c>
      <c r="H25" s="56">
        <v>213866.0</v>
      </c>
      <c r="I25" s="51">
        <v>69.0</v>
      </c>
      <c r="J25" s="57">
        <f t="shared" si="28"/>
        <v>0.09971098266</v>
      </c>
      <c r="K25" s="58">
        <f t="shared" si="29"/>
        <v>3099.507246</v>
      </c>
      <c r="L25" s="53">
        <v>360000.0</v>
      </c>
      <c r="M25" s="51">
        <v>3.0</v>
      </c>
      <c r="N25" s="53" t="s">
        <v>418</v>
      </c>
      <c r="O25" s="53">
        <v>3.0</v>
      </c>
      <c r="P25" s="53">
        <v>6.0</v>
      </c>
      <c r="Q25" s="59">
        <f t="shared" si="30"/>
        <v>0.04347826087</v>
      </c>
      <c r="R25" s="60">
        <f t="shared" si="31"/>
        <v>146134</v>
      </c>
      <c r="S25" s="59">
        <f t="shared" si="32"/>
        <v>1.683297018</v>
      </c>
      <c r="T25" s="61">
        <f t="shared" si="33"/>
        <v>0.6832970178</v>
      </c>
    </row>
    <row r="26">
      <c r="A26" s="27"/>
      <c r="B26" s="51" t="s">
        <v>388</v>
      </c>
      <c r="C26" s="88"/>
      <c r="D26" s="53"/>
      <c r="E26" s="53"/>
      <c r="F26" s="54" t="str">
        <f t="shared" si="34"/>
        <v/>
      </c>
      <c r="G26" s="55" t="str">
        <f t="shared" si="27"/>
        <v/>
      </c>
      <c r="H26" s="56"/>
      <c r="I26" s="51"/>
      <c r="J26" s="57" t="str">
        <f t="shared" si="28"/>
        <v/>
      </c>
      <c r="K26" s="58" t="str">
        <f t="shared" si="29"/>
        <v/>
      </c>
      <c r="L26" s="89"/>
      <c r="M26" s="90"/>
      <c r="N26" s="89"/>
      <c r="O26" s="89"/>
      <c r="P26" s="89"/>
      <c r="Q26" s="59" t="str">
        <f t="shared" si="30"/>
        <v/>
      </c>
      <c r="R26" s="60">
        <f t="shared" si="31"/>
        <v>0</v>
      </c>
      <c r="S26" s="59" t="str">
        <f t="shared" si="32"/>
        <v/>
      </c>
      <c r="T26" s="61" t="str">
        <f t="shared" si="33"/>
        <v/>
      </c>
    </row>
    <row r="27">
      <c r="A27" s="27"/>
      <c r="B27" s="51" t="s">
        <v>28</v>
      </c>
      <c r="C27" s="63" t="s">
        <v>419</v>
      </c>
      <c r="D27" s="53">
        <v>10109.0</v>
      </c>
      <c r="E27" s="53">
        <v>431.0</v>
      </c>
      <c r="F27" s="54">
        <f t="shared" si="34"/>
        <v>426.5800464</v>
      </c>
      <c r="G27" s="55">
        <f t="shared" si="27"/>
        <v>0.0426352755</v>
      </c>
      <c r="H27" s="56">
        <v>183856.0</v>
      </c>
      <c r="I27" s="51">
        <v>32.0</v>
      </c>
      <c r="J27" s="57">
        <f t="shared" si="28"/>
        <v>0.07424593968</v>
      </c>
      <c r="K27" s="58">
        <f t="shared" si="29"/>
        <v>5745.5</v>
      </c>
      <c r="L27" s="53">
        <v>120000.0</v>
      </c>
      <c r="M27" s="51">
        <v>1.0</v>
      </c>
      <c r="N27" s="53" t="s">
        <v>420</v>
      </c>
      <c r="O27" s="53">
        <v>1.0</v>
      </c>
      <c r="P27" s="53">
        <v>2.0</v>
      </c>
      <c r="Q27" s="59">
        <f t="shared" si="30"/>
        <v>0.03125</v>
      </c>
      <c r="R27" s="60">
        <f t="shared" si="31"/>
        <v>-63856</v>
      </c>
      <c r="S27" s="59">
        <f t="shared" si="32"/>
        <v>0.6526847098</v>
      </c>
      <c r="T27" s="61">
        <f t="shared" si="33"/>
        <v>-0.3473152902</v>
      </c>
    </row>
    <row r="28">
      <c r="A28" s="10"/>
      <c r="B28" s="51" t="s">
        <v>390</v>
      </c>
      <c r="C28" s="91"/>
      <c r="D28" s="89"/>
      <c r="E28" s="89"/>
      <c r="F28" s="54" t="str">
        <f t="shared" si="34"/>
        <v/>
      </c>
      <c r="G28" s="55" t="str">
        <f t="shared" si="27"/>
        <v/>
      </c>
      <c r="H28" s="92"/>
      <c r="I28" s="90"/>
      <c r="J28" s="57" t="str">
        <f t="shared" si="28"/>
        <v/>
      </c>
      <c r="K28" s="58" t="str">
        <f t="shared" si="29"/>
        <v/>
      </c>
      <c r="L28" s="89"/>
      <c r="M28" s="90"/>
      <c r="N28" s="89"/>
      <c r="O28" s="89"/>
      <c r="P28" s="89"/>
      <c r="Q28" s="59" t="str">
        <f t="shared" si="30"/>
        <v/>
      </c>
      <c r="R28" s="60">
        <f t="shared" si="31"/>
        <v>0</v>
      </c>
      <c r="S28" s="59" t="str">
        <f t="shared" si="32"/>
        <v/>
      </c>
      <c r="T28" s="61" t="str">
        <f t="shared" si="33"/>
        <v/>
      </c>
    </row>
    <row r="29">
      <c r="A29" s="30" t="s">
        <v>29</v>
      </c>
      <c r="B29" s="31"/>
      <c r="C29" s="31"/>
      <c r="D29" s="31"/>
      <c r="E29" s="32"/>
      <c r="F29" s="65">
        <f t="shared" ref="F29:G29" si="35">averageif(F23:F28,"&gt;0")</f>
        <v>405.6185301</v>
      </c>
      <c r="G29" s="66">
        <f t="shared" si="35"/>
        <v>0.04586396505</v>
      </c>
      <c r="H29" s="67"/>
      <c r="I29" s="68">
        <f>SUM(I23:I28)</f>
        <v>148</v>
      </c>
      <c r="J29" s="69">
        <f t="shared" ref="J29:K29" si="36">averageif(J23:J28,"&gt;0")</f>
        <v>0.09038899748</v>
      </c>
      <c r="K29" s="70">
        <f t="shared" si="36"/>
        <v>4652.775279</v>
      </c>
      <c r="L29" s="68">
        <f t="shared" ref="L29:M29" si="37">SUM(L23:L28)</f>
        <v>780000</v>
      </c>
      <c r="M29" s="71">
        <f t="shared" si="37"/>
        <v>6</v>
      </c>
      <c r="N29" s="68"/>
      <c r="O29" s="68">
        <f t="shared" ref="O29:P29" si="38">SUM(O23:O28)</f>
        <v>6</v>
      </c>
      <c r="P29" s="68">
        <f t="shared" si="38"/>
        <v>12</v>
      </c>
      <c r="Q29" s="72">
        <f>averageif(Q23:Q28,"&gt;0")</f>
        <v>0.04789792604</v>
      </c>
      <c r="R29" s="67"/>
      <c r="S29" s="72">
        <f t="shared" ref="S29:T29" si="39">averageif(S23:S28,"&gt;0")</f>
        <v>1.41236209</v>
      </c>
      <c r="T29" s="73">
        <f t="shared" si="39"/>
        <v>0.7922007797</v>
      </c>
    </row>
    <row r="31">
      <c r="A31" s="1" t="s">
        <v>391</v>
      </c>
      <c r="B31" s="2" t="s">
        <v>1</v>
      </c>
      <c r="C31" s="3" t="s">
        <v>2</v>
      </c>
      <c r="D31" s="4"/>
      <c r="E31" s="4"/>
      <c r="F31" s="4"/>
      <c r="G31" s="4"/>
      <c r="H31" s="5"/>
      <c r="I31" s="6" t="s">
        <v>3</v>
      </c>
      <c r="J31" s="4"/>
      <c r="K31" s="5"/>
      <c r="L31" s="7" t="s">
        <v>4</v>
      </c>
      <c r="M31" s="4"/>
      <c r="N31" s="4"/>
      <c r="O31" s="4"/>
      <c r="P31" s="4"/>
      <c r="Q31" s="4"/>
      <c r="R31" s="4"/>
      <c r="S31" s="4"/>
      <c r="T31" s="8"/>
    </row>
    <row r="32">
      <c r="A32" s="10"/>
      <c r="B32" s="11"/>
      <c r="C32" s="12" t="s">
        <v>5</v>
      </c>
      <c r="D32" s="12" t="s">
        <v>6</v>
      </c>
      <c r="E32" s="12" t="s">
        <v>7</v>
      </c>
      <c r="F32" s="12" t="s">
        <v>421</v>
      </c>
      <c r="G32" s="12" t="s">
        <v>422</v>
      </c>
      <c r="H32" s="12" t="s">
        <v>10</v>
      </c>
      <c r="I32" s="12" t="s">
        <v>11</v>
      </c>
      <c r="J32" s="12" t="s">
        <v>423</v>
      </c>
      <c r="K32" s="12" t="s">
        <v>424</v>
      </c>
      <c r="L32" s="12" t="s">
        <v>16</v>
      </c>
      <c r="M32" s="12" t="s">
        <v>223</v>
      </c>
      <c r="N32" s="12" t="s">
        <v>425</v>
      </c>
      <c r="O32" s="12" t="s">
        <v>225</v>
      </c>
      <c r="P32" s="12" t="s">
        <v>226</v>
      </c>
      <c r="Q32" s="12" t="s">
        <v>426</v>
      </c>
      <c r="R32" s="12" t="s">
        <v>20</v>
      </c>
      <c r="S32" s="12" t="s">
        <v>427</v>
      </c>
      <c r="T32" s="14" t="s">
        <v>428</v>
      </c>
    </row>
    <row r="33">
      <c r="A33" s="15" t="s">
        <v>429</v>
      </c>
      <c r="B33" s="51" t="s">
        <v>24</v>
      </c>
      <c r="C33" s="52">
        <v>45551.0</v>
      </c>
      <c r="D33" s="53">
        <v>4263.0</v>
      </c>
      <c r="E33" s="53">
        <v>211.0</v>
      </c>
      <c r="F33" s="74">
        <v>334.0</v>
      </c>
      <c r="G33" s="55">
        <f t="shared" ref="G33:G38" si="40">iferror(E33/D33,"")</f>
        <v>0.04949566033</v>
      </c>
      <c r="H33" s="56">
        <v>70538.0</v>
      </c>
      <c r="I33" s="51">
        <v>18.0</v>
      </c>
      <c r="J33" s="57">
        <f t="shared" ref="J33:J38" si="41">iferror(I33/E33,"")</f>
        <v>0.08530805687</v>
      </c>
      <c r="K33" s="58">
        <f t="shared" ref="K33:K38" si="42">iferror(H33/I33,"")</f>
        <v>3918.777778</v>
      </c>
      <c r="L33" s="53">
        <v>320000.0</v>
      </c>
      <c r="M33" s="51">
        <v>2.0</v>
      </c>
      <c r="N33" s="53" t="s">
        <v>430</v>
      </c>
      <c r="O33" s="53">
        <v>2.0</v>
      </c>
      <c r="P33" s="53">
        <v>4.0</v>
      </c>
      <c r="Q33" s="59">
        <f t="shared" ref="Q33:Q38" si="43">iferror(M33/I33,"")</f>
        <v>0.1111111111</v>
      </c>
      <c r="R33" s="60">
        <f t="shared" ref="R33:R38" si="44">iferror(L33-H33,"")</f>
        <v>249462</v>
      </c>
      <c r="S33" s="59">
        <f t="shared" ref="S33:S38" si="45">iferror(L33/H33,"")</f>
        <v>4.536561853</v>
      </c>
      <c r="T33" s="61">
        <f t="shared" ref="T33:T38" si="46">iferror(R33/H33,"")</f>
        <v>3.536561853</v>
      </c>
    </row>
    <row r="34">
      <c r="A34" s="27"/>
      <c r="B34" s="51" t="s">
        <v>25</v>
      </c>
      <c r="C34" s="52">
        <v>45556.0</v>
      </c>
      <c r="D34" s="53">
        <v>0.0</v>
      </c>
      <c r="E34" s="53">
        <v>0.0</v>
      </c>
      <c r="F34" s="54" t="str">
        <f t="shared" ref="F34:F38" si="47">iferror(H34/E34,"")</f>
        <v/>
      </c>
      <c r="G34" s="55" t="str">
        <f t="shared" si="40"/>
        <v/>
      </c>
      <c r="H34" s="56">
        <v>0.0</v>
      </c>
      <c r="I34" s="51">
        <v>10.0</v>
      </c>
      <c r="J34" s="57" t="str">
        <f t="shared" si="41"/>
        <v/>
      </c>
      <c r="K34" s="58">
        <f t="shared" si="42"/>
        <v>0</v>
      </c>
      <c r="L34" s="53">
        <v>720000.0</v>
      </c>
      <c r="M34" s="51">
        <v>2.0</v>
      </c>
      <c r="N34" s="53" t="s">
        <v>431</v>
      </c>
      <c r="O34" s="53">
        <v>6.0</v>
      </c>
      <c r="P34" s="53">
        <v>12.0</v>
      </c>
      <c r="Q34" s="59">
        <f t="shared" si="43"/>
        <v>0.2</v>
      </c>
      <c r="R34" s="60">
        <f t="shared" si="44"/>
        <v>720000</v>
      </c>
      <c r="S34" s="59" t="str">
        <f t="shared" si="45"/>
        <v/>
      </c>
      <c r="T34" s="61" t="str">
        <f t="shared" si="46"/>
        <v/>
      </c>
    </row>
    <row r="35">
      <c r="A35" s="27"/>
      <c r="B35" s="51" t="s">
        <v>27</v>
      </c>
      <c r="C35" s="94" t="s">
        <v>432</v>
      </c>
      <c r="D35" s="79">
        <v>9388.0</v>
      </c>
      <c r="E35" s="79">
        <v>506.0</v>
      </c>
      <c r="F35" s="54">
        <f t="shared" si="47"/>
        <v>214.527668</v>
      </c>
      <c r="G35" s="55">
        <f t="shared" si="40"/>
        <v>0.05389859395</v>
      </c>
      <c r="H35" s="80">
        <v>108551.0</v>
      </c>
      <c r="I35" s="81">
        <v>50.0</v>
      </c>
      <c r="J35" s="57">
        <f t="shared" si="41"/>
        <v>0.09881422925</v>
      </c>
      <c r="K35" s="58">
        <f t="shared" si="42"/>
        <v>2171.02</v>
      </c>
      <c r="L35" s="79">
        <v>240000.0</v>
      </c>
      <c r="M35" s="81">
        <v>2.0</v>
      </c>
      <c r="N35" s="79" t="s">
        <v>433</v>
      </c>
      <c r="O35" s="79">
        <v>2.0</v>
      </c>
      <c r="P35" s="79">
        <v>4.0</v>
      </c>
      <c r="Q35" s="59">
        <f t="shared" si="43"/>
        <v>0.04</v>
      </c>
      <c r="R35" s="60">
        <f t="shared" si="44"/>
        <v>131449</v>
      </c>
      <c r="S35" s="59">
        <f t="shared" si="45"/>
        <v>2.210942322</v>
      </c>
      <c r="T35" s="61">
        <f t="shared" si="46"/>
        <v>1.210942322</v>
      </c>
    </row>
    <row r="36">
      <c r="A36" s="27"/>
      <c r="B36" s="51" t="s">
        <v>388</v>
      </c>
      <c r="C36" s="88"/>
      <c r="D36" s="53"/>
      <c r="E36" s="53"/>
      <c r="F36" s="54" t="str">
        <f t="shared" si="47"/>
        <v/>
      </c>
      <c r="G36" s="55" t="str">
        <f t="shared" si="40"/>
        <v/>
      </c>
      <c r="H36" s="56"/>
      <c r="I36" s="51"/>
      <c r="J36" s="57" t="str">
        <f t="shared" si="41"/>
        <v/>
      </c>
      <c r="K36" s="58" t="str">
        <f t="shared" si="42"/>
        <v/>
      </c>
      <c r="L36" s="89"/>
      <c r="M36" s="90"/>
      <c r="N36" s="89"/>
      <c r="O36" s="89"/>
      <c r="P36" s="89"/>
      <c r="Q36" s="59" t="str">
        <f t="shared" si="43"/>
        <v/>
      </c>
      <c r="R36" s="60">
        <f t="shared" si="44"/>
        <v>0</v>
      </c>
      <c r="S36" s="59" t="str">
        <f t="shared" si="45"/>
        <v/>
      </c>
      <c r="T36" s="61" t="str">
        <f t="shared" si="46"/>
        <v/>
      </c>
    </row>
    <row r="37">
      <c r="A37" s="27"/>
      <c r="B37" s="51" t="s">
        <v>28</v>
      </c>
      <c r="C37" s="63" t="s">
        <v>434</v>
      </c>
      <c r="D37" s="53">
        <v>16043.0</v>
      </c>
      <c r="E37" s="53">
        <v>859.0</v>
      </c>
      <c r="F37" s="54">
        <f t="shared" si="47"/>
        <v>240.1362049</v>
      </c>
      <c r="G37" s="55">
        <f t="shared" si="40"/>
        <v>0.05354360157</v>
      </c>
      <c r="H37" s="56">
        <v>206277.0</v>
      </c>
      <c r="I37" s="51">
        <v>63.0</v>
      </c>
      <c r="J37" s="57">
        <f t="shared" si="41"/>
        <v>0.0733410943</v>
      </c>
      <c r="K37" s="58">
        <f t="shared" si="42"/>
        <v>3274.238095</v>
      </c>
      <c r="L37" s="53"/>
      <c r="M37" s="51"/>
      <c r="N37" s="53"/>
      <c r="O37" s="53"/>
      <c r="P37" s="53"/>
      <c r="Q37" s="59">
        <f t="shared" si="43"/>
        <v>0</v>
      </c>
      <c r="R37" s="60">
        <f t="shared" si="44"/>
        <v>-206277</v>
      </c>
      <c r="S37" s="59">
        <f t="shared" si="45"/>
        <v>0</v>
      </c>
      <c r="T37" s="61">
        <f t="shared" si="46"/>
        <v>-1</v>
      </c>
    </row>
    <row r="38">
      <c r="A38" s="10"/>
      <c r="B38" s="51" t="s">
        <v>390</v>
      </c>
      <c r="C38" s="91"/>
      <c r="D38" s="89"/>
      <c r="E38" s="89"/>
      <c r="F38" s="54" t="str">
        <f t="shared" si="47"/>
        <v/>
      </c>
      <c r="G38" s="55" t="str">
        <f t="shared" si="40"/>
        <v/>
      </c>
      <c r="H38" s="92"/>
      <c r="I38" s="90"/>
      <c r="J38" s="57" t="str">
        <f t="shared" si="41"/>
        <v/>
      </c>
      <c r="K38" s="58" t="str">
        <f t="shared" si="42"/>
        <v/>
      </c>
      <c r="L38" s="89"/>
      <c r="M38" s="90"/>
      <c r="N38" s="89"/>
      <c r="O38" s="89"/>
      <c r="P38" s="89"/>
      <c r="Q38" s="59" t="str">
        <f t="shared" si="43"/>
        <v/>
      </c>
      <c r="R38" s="60">
        <f t="shared" si="44"/>
        <v>0</v>
      </c>
      <c r="S38" s="59" t="str">
        <f t="shared" si="45"/>
        <v/>
      </c>
      <c r="T38" s="61" t="str">
        <f t="shared" si="46"/>
        <v/>
      </c>
    </row>
    <row r="39">
      <c r="A39" s="30" t="s">
        <v>29</v>
      </c>
      <c r="B39" s="31"/>
      <c r="C39" s="31"/>
      <c r="D39" s="31"/>
      <c r="E39" s="32"/>
      <c r="F39" s="65">
        <f t="shared" ref="F39:G39" si="48">averageif(F33:F38,"&gt;0")</f>
        <v>262.8879576</v>
      </c>
      <c r="G39" s="66">
        <f t="shared" si="48"/>
        <v>0.05231261862</v>
      </c>
      <c r="H39" s="67"/>
      <c r="I39" s="68">
        <f>SUM(I33:I38)</f>
        <v>141</v>
      </c>
      <c r="J39" s="69">
        <f t="shared" ref="J39:K39" si="49">averageif(J33:J38,"&gt;0")</f>
        <v>0.08582112681</v>
      </c>
      <c r="K39" s="70">
        <f t="shared" si="49"/>
        <v>3121.345291</v>
      </c>
      <c r="L39" s="68">
        <f t="shared" ref="L39:M39" si="50">SUM(L33:L38)</f>
        <v>1280000</v>
      </c>
      <c r="M39" s="71">
        <f t="shared" si="50"/>
        <v>6</v>
      </c>
      <c r="N39" s="68"/>
      <c r="O39" s="68">
        <f t="shared" ref="O39:P39" si="51">SUM(O33:O38)</f>
        <v>10</v>
      </c>
      <c r="P39" s="68">
        <f t="shared" si="51"/>
        <v>20</v>
      </c>
      <c r="Q39" s="72">
        <f>averageif(Q33:Q38,"&gt;0")</f>
        <v>0.117037037</v>
      </c>
      <c r="R39" s="67"/>
      <c r="S39" s="72">
        <f t="shared" ref="S39:T39" si="52">averageif(S33:S38,"&gt;0")</f>
        <v>3.373752088</v>
      </c>
      <c r="T39" s="73">
        <f t="shared" si="52"/>
        <v>2.373752088</v>
      </c>
    </row>
    <row r="41">
      <c r="A41" s="1" t="s">
        <v>391</v>
      </c>
      <c r="B41" s="2" t="s">
        <v>1</v>
      </c>
      <c r="C41" s="3" t="s">
        <v>2</v>
      </c>
      <c r="D41" s="4"/>
      <c r="E41" s="4"/>
      <c r="F41" s="4"/>
      <c r="G41" s="4"/>
      <c r="H41" s="5"/>
      <c r="I41" s="6" t="s">
        <v>3</v>
      </c>
      <c r="J41" s="4"/>
      <c r="K41" s="5"/>
      <c r="L41" s="7" t="s">
        <v>4</v>
      </c>
      <c r="M41" s="4"/>
      <c r="N41" s="4"/>
      <c r="O41" s="4"/>
      <c r="P41" s="4"/>
      <c r="Q41" s="4"/>
      <c r="R41" s="4"/>
      <c r="S41" s="4"/>
      <c r="T41" s="8"/>
    </row>
    <row r="42">
      <c r="A42" s="10"/>
      <c r="B42" s="11"/>
      <c r="C42" s="12" t="s">
        <v>5</v>
      </c>
      <c r="D42" s="12" t="s">
        <v>6</v>
      </c>
      <c r="E42" s="12" t="s">
        <v>7</v>
      </c>
      <c r="F42" s="12" t="s">
        <v>435</v>
      </c>
      <c r="G42" s="12" t="s">
        <v>436</v>
      </c>
      <c r="H42" s="12" t="s">
        <v>10</v>
      </c>
      <c r="I42" s="12" t="s">
        <v>11</v>
      </c>
      <c r="J42" s="12" t="s">
        <v>437</v>
      </c>
      <c r="K42" s="12" t="s">
        <v>438</v>
      </c>
      <c r="L42" s="12" t="s">
        <v>16</v>
      </c>
      <c r="M42" s="12" t="s">
        <v>223</v>
      </c>
      <c r="N42" s="12" t="s">
        <v>439</v>
      </c>
      <c r="O42" s="12" t="s">
        <v>225</v>
      </c>
      <c r="P42" s="12" t="s">
        <v>226</v>
      </c>
      <c r="Q42" s="12" t="s">
        <v>440</v>
      </c>
      <c r="R42" s="12" t="s">
        <v>20</v>
      </c>
      <c r="S42" s="12" t="s">
        <v>441</v>
      </c>
      <c r="T42" s="14" t="s">
        <v>442</v>
      </c>
    </row>
    <row r="43">
      <c r="A43" s="15" t="s">
        <v>443</v>
      </c>
      <c r="B43" s="51" t="s">
        <v>24</v>
      </c>
      <c r="C43" s="52"/>
      <c r="D43" s="53"/>
      <c r="E43" s="53"/>
      <c r="F43" s="54" t="str">
        <f t="shared" ref="F43:F48" si="53">iferror(H43/E43,"")</f>
        <v/>
      </c>
      <c r="G43" s="55" t="str">
        <f t="shared" ref="G43:G48" si="54">iferror(E43/D43,"")</f>
        <v/>
      </c>
      <c r="H43" s="56"/>
      <c r="I43" s="51"/>
      <c r="J43" s="57" t="str">
        <f t="shared" ref="J43:J48" si="55">iferror(I43/E43,"")</f>
        <v/>
      </c>
      <c r="K43" s="58" t="str">
        <f t="shared" ref="K43:K48" si="56">iferror(H43/I43,"")</f>
        <v/>
      </c>
      <c r="L43" s="53"/>
      <c r="M43" s="51"/>
      <c r="N43" s="53"/>
      <c r="O43" s="53"/>
      <c r="P43" s="53"/>
      <c r="Q43" s="59" t="str">
        <f t="shared" ref="Q43:Q48" si="57">iferror(M43/I43,"")</f>
        <v/>
      </c>
      <c r="R43" s="60">
        <f t="shared" ref="R43:R48" si="58">iferror(L43-H43,"")</f>
        <v>0</v>
      </c>
      <c r="S43" s="59" t="str">
        <f t="shared" ref="S43:S48" si="59">iferror(L43/H43,"")</f>
        <v/>
      </c>
      <c r="T43" s="61" t="str">
        <f t="shared" ref="T43:T48" si="60">iferror(R43/H43,"")</f>
        <v/>
      </c>
    </row>
    <row r="44">
      <c r="A44" s="27"/>
      <c r="B44" s="51" t="s">
        <v>25</v>
      </c>
      <c r="C44" s="52">
        <v>45563.0</v>
      </c>
      <c r="D44" s="53">
        <v>0.0</v>
      </c>
      <c r="E44" s="53">
        <v>0.0</v>
      </c>
      <c r="F44" s="54" t="str">
        <f t="shared" si="53"/>
        <v/>
      </c>
      <c r="G44" s="55" t="str">
        <f t="shared" si="54"/>
        <v/>
      </c>
      <c r="H44" s="56">
        <v>0.0</v>
      </c>
      <c r="I44" s="51">
        <v>17.0</v>
      </c>
      <c r="J44" s="57" t="str">
        <f t="shared" si="55"/>
        <v/>
      </c>
      <c r="K44" s="58">
        <f t="shared" si="56"/>
        <v>0</v>
      </c>
      <c r="L44" s="53">
        <v>660000.0</v>
      </c>
      <c r="M44" s="51">
        <v>5.0</v>
      </c>
      <c r="N44" s="53" t="s">
        <v>444</v>
      </c>
      <c r="O44" s="53">
        <v>5.0</v>
      </c>
      <c r="P44" s="53">
        <v>10.0</v>
      </c>
      <c r="Q44" s="59">
        <f t="shared" si="57"/>
        <v>0.2941176471</v>
      </c>
      <c r="R44" s="60">
        <f t="shared" si="58"/>
        <v>660000</v>
      </c>
      <c r="S44" s="59" t="str">
        <f t="shared" si="59"/>
        <v/>
      </c>
      <c r="T44" s="61" t="str">
        <f t="shared" si="60"/>
        <v/>
      </c>
    </row>
    <row r="45">
      <c r="A45" s="27"/>
      <c r="B45" s="51" t="s">
        <v>27</v>
      </c>
      <c r="C45" s="87">
        <v>45561.666666666664</v>
      </c>
      <c r="D45" s="53">
        <v>8964.0</v>
      </c>
      <c r="E45" s="53">
        <v>566.0</v>
      </c>
      <c r="F45" s="54">
        <f t="shared" si="53"/>
        <v>203.0176678</v>
      </c>
      <c r="G45" s="55">
        <f t="shared" si="54"/>
        <v>0.06314145471</v>
      </c>
      <c r="H45" s="56">
        <v>114908.0</v>
      </c>
      <c r="I45" s="51">
        <v>50.0</v>
      </c>
      <c r="J45" s="57">
        <f t="shared" si="55"/>
        <v>0.08833922261</v>
      </c>
      <c r="K45" s="58">
        <f t="shared" si="56"/>
        <v>2298.16</v>
      </c>
      <c r="L45" s="53">
        <v>120000.0</v>
      </c>
      <c r="M45" s="51">
        <v>1.0</v>
      </c>
      <c r="N45" s="53" t="s">
        <v>445</v>
      </c>
      <c r="O45" s="53">
        <v>1.0</v>
      </c>
      <c r="P45" s="53">
        <v>2.0</v>
      </c>
      <c r="Q45" s="59">
        <f t="shared" si="57"/>
        <v>0.02</v>
      </c>
      <c r="R45" s="60">
        <f t="shared" si="58"/>
        <v>5092</v>
      </c>
      <c r="S45" s="59">
        <f t="shared" si="59"/>
        <v>1.044313712</v>
      </c>
      <c r="T45" s="61">
        <f t="shared" si="60"/>
        <v>0.04431371184</v>
      </c>
    </row>
    <row r="46">
      <c r="A46" s="27"/>
      <c r="B46" s="51" t="s">
        <v>388</v>
      </c>
      <c r="C46" s="88"/>
      <c r="D46" s="53"/>
      <c r="E46" s="53"/>
      <c r="F46" s="54" t="str">
        <f t="shared" si="53"/>
        <v/>
      </c>
      <c r="G46" s="55" t="str">
        <f t="shared" si="54"/>
        <v/>
      </c>
      <c r="H46" s="56"/>
      <c r="I46" s="51"/>
      <c r="J46" s="57" t="str">
        <f t="shared" si="55"/>
        <v/>
      </c>
      <c r="K46" s="58" t="str">
        <f t="shared" si="56"/>
        <v/>
      </c>
      <c r="L46" s="89"/>
      <c r="M46" s="90"/>
      <c r="N46" s="89"/>
      <c r="O46" s="89"/>
      <c r="P46" s="89"/>
      <c r="Q46" s="59" t="str">
        <f t="shared" si="57"/>
        <v/>
      </c>
      <c r="R46" s="60">
        <f t="shared" si="58"/>
        <v>0</v>
      </c>
      <c r="S46" s="59" t="str">
        <f t="shared" si="59"/>
        <v/>
      </c>
      <c r="T46" s="61" t="str">
        <f t="shared" si="60"/>
        <v/>
      </c>
    </row>
    <row r="47">
      <c r="A47" s="27"/>
      <c r="B47" s="51" t="s">
        <v>28</v>
      </c>
      <c r="C47" s="63"/>
      <c r="D47" s="53"/>
      <c r="E47" s="53"/>
      <c r="F47" s="54" t="str">
        <f t="shared" si="53"/>
        <v/>
      </c>
      <c r="G47" s="55" t="str">
        <f t="shared" si="54"/>
        <v/>
      </c>
      <c r="H47" s="56"/>
      <c r="I47" s="51"/>
      <c r="J47" s="57" t="str">
        <f t="shared" si="55"/>
        <v/>
      </c>
      <c r="K47" s="58" t="str">
        <f t="shared" si="56"/>
        <v/>
      </c>
      <c r="L47" s="53"/>
      <c r="M47" s="51"/>
      <c r="N47" s="53"/>
      <c r="O47" s="53"/>
      <c r="P47" s="53"/>
      <c r="Q47" s="59" t="str">
        <f t="shared" si="57"/>
        <v/>
      </c>
      <c r="R47" s="60">
        <f t="shared" si="58"/>
        <v>0</v>
      </c>
      <c r="S47" s="59" t="str">
        <f t="shared" si="59"/>
        <v/>
      </c>
      <c r="T47" s="61" t="str">
        <f t="shared" si="60"/>
        <v/>
      </c>
    </row>
    <row r="48">
      <c r="A48" s="10"/>
      <c r="B48" s="51" t="s">
        <v>390</v>
      </c>
      <c r="C48" s="91"/>
      <c r="D48" s="89"/>
      <c r="E48" s="89"/>
      <c r="F48" s="54" t="str">
        <f t="shared" si="53"/>
        <v/>
      </c>
      <c r="G48" s="55" t="str">
        <f t="shared" si="54"/>
        <v/>
      </c>
      <c r="H48" s="92"/>
      <c r="I48" s="90"/>
      <c r="J48" s="57" t="str">
        <f t="shared" si="55"/>
        <v/>
      </c>
      <c r="K48" s="58" t="str">
        <f t="shared" si="56"/>
        <v/>
      </c>
      <c r="L48" s="89"/>
      <c r="M48" s="90"/>
      <c r="N48" s="89"/>
      <c r="O48" s="89"/>
      <c r="P48" s="89"/>
      <c r="Q48" s="59" t="str">
        <f t="shared" si="57"/>
        <v/>
      </c>
      <c r="R48" s="60">
        <f t="shared" si="58"/>
        <v>0</v>
      </c>
      <c r="S48" s="59" t="str">
        <f t="shared" si="59"/>
        <v/>
      </c>
      <c r="T48" s="61" t="str">
        <f t="shared" si="60"/>
        <v/>
      </c>
    </row>
    <row r="49">
      <c r="A49" s="30" t="s">
        <v>29</v>
      </c>
      <c r="B49" s="31"/>
      <c r="C49" s="31"/>
      <c r="D49" s="31"/>
      <c r="E49" s="32"/>
      <c r="F49" s="65">
        <f t="shared" ref="F49:G49" si="61">averageif(F43:F48,"&gt;0")</f>
        <v>203.0176678</v>
      </c>
      <c r="G49" s="66">
        <f t="shared" si="61"/>
        <v>0.06314145471</v>
      </c>
      <c r="H49" s="67"/>
      <c r="I49" s="68">
        <f>SUM(I43:I48)</f>
        <v>67</v>
      </c>
      <c r="J49" s="69">
        <f t="shared" ref="J49:K49" si="62">averageif(J43:J48,"&gt;0")</f>
        <v>0.08833922261</v>
      </c>
      <c r="K49" s="70">
        <f t="shared" si="62"/>
        <v>2298.16</v>
      </c>
      <c r="L49" s="68">
        <f t="shared" ref="L49:M49" si="63">SUM(L43:L48)</f>
        <v>780000</v>
      </c>
      <c r="M49" s="71">
        <f t="shared" si="63"/>
        <v>6</v>
      </c>
      <c r="N49" s="68"/>
      <c r="O49" s="68">
        <f t="shared" ref="O49:P49" si="64">SUM(O43:O48)</f>
        <v>6</v>
      </c>
      <c r="P49" s="68">
        <f t="shared" si="64"/>
        <v>12</v>
      </c>
      <c r="Q49" s="72">
        <f>averageif(Q43:Q48,"&gt;0")</f>
        <v>0.1570588235</v>
      </c>
      <c r="R49" s="67"/>
      <c r="S49" s="72">
        <f t="shared" ref="S49:T49" si="65">averageif(S43:S48,"&gt;0")</f>
        <v>1.044313712</v>
      </c>
      <c r="T49" s="73">
        <f t="shared" si="65"/>
        <v>0.04431371184</v>
      </c>
    </row>
    <row r="51">
      <c r="A51" s="1" t="s">
        <v>391</v>
      </c>
      <c r="B51" s="2" t="s">
        <v>1</v>
      </c>
      <c r="C51" s="3" t="s">
        <v>2</v>
      </c>
      <c r="D51" s="4"/>
      <c r="E51" s="4"/>
      <c r="F51" s="4"/>
      <c r="G51" s="4"/>
      <c r="H51" s="5"/>
      <c r="I51" s="6" t="s">
        <v>3</v>
      </c>
      <c r="J51" s="4"/>
      <c r="K51" s="5"/>
      <c r="L51" s="7" t="s">
        <v>4</v>
      </c>
      <c r="M51" s="4"/>
      <c r="N51" s="4"/>
      <c r="O51" s="4"/>
      <c r="P51" s="4"/>
      <c r="Q51" s="4"/>
      <c r="R51" s="4"/>
      <c r="S51" s="4"/>
      <c r="T51" s="8"/>
    </row>
    <row r="52">
      <c r="A52" s="10"/>
      <c r="B52" s="11"/>
      <c r="C52" s="12" t="s">
        <v>5</v>
      </c>
      <c r="D52" s="12" t="s">
        <v>6</v>
      </c>
      <c r="E52" s="12" t="s">
        <v>7</v>
      </c>
      <c r="F52" s="12" t="s">
        <v>446</v>
      </c>
      <c r="G52" s="12" t="s">
        <v>447</v>
      </c>
      <c r="H52" s="12" t="s">
        <v>63</v>
      </c>
      <c r="I52" s="12" t="s">
        <v>11</v>
      </c>
      <c r="J52" s="12" t="s">
        <v>448</v>
      </c>
      <c r="K52" s="12" t="s">
        <v>449</v>
      </c>
      <c r="L52" s="12" t="s">
        <v>16</v>
      </c>
      <c r="M52" s="12" t="s">
        <v>223</v>
      </c>
      <c r="N52" s="12" t="s">
        <v>450</v>
      </c>
      <c r="O52" s="12" t="s">
        <v>225</v>
      </c>
      <c r="P52" s="12" t="s">
        <v>226</v>
      </c>
      <c r="Q52" s="12" t="s">
        <v>451</v>
      </c>
      <c r="R52" s="12" t="s">
        <v>20</v>
      </c>
      <c r="S52" s="12" t="s">
        <v>452</v>
      </c>
      <c r="T52" s="14" t="s">
        <v>453</v>
      </c>
    </row>
    <row r="53">
      <c r="A53" s="49" t="s">
        <v>454</v>
      </c>
      <c r="B53" s="51" t="s">
        <v>24</v>
      </c>
      <c r="C53" s="52"/>
      <c r="D53" s="53">
        <f t="shared" ref="D53:E53" si="66">SUM(D3,D13,D23,D33,D43)</f>
        <v>8992</v>
      </c>
      <c r="E53" s="53">
        <f t="shared" si="66"/>
        <v>432</v>
      </c>
      <c r="F53" s="54">
        <f t="shared" ref="F53:F58" si="71">iferror(H53/E53,"")</f>
        <v>427.0648148</v>
      </c>
      <c r="G53" s="55">
        <f t="shared" ref="G53:G58" si="72">iferror(E53/D53,"")</f>
        <v>0.04804270463</v>
      </c>
      <c r="H53" s="53">
        <f t="shared" ref="H53:I53" si="67">SUM(H3,H13,H23,H33,H43)</f>
        <v>184492</v>
      </c>
      <c r="I53" s="53">
        <f t="shared" si="67"/>
        <v>42</v>
      </c>
      <c r="J53" s="57">
        <f t="shared" ref="J53:J58" si="74">iferror(I53/E53,"")</f>
        <v>0.09722222222</v>
      </c>
      <c r="K53" s="58">
        <f t="shared" ref="K53:K58" si="75">iferror(H53/I53,"")</f>
        <v>4392.666667</v>
      </c>
      <c r="L53" s="53">
        <f t="shared" ref="L53:M53" si="68">SUM(L3,L13,L23,L33,L43)</f>
        <v>320000</v>
      </c>
      <c r="M53" s="53">
        <f t="shared" si="68"/>
        <v>2</v>
      </c>
      <c r="N53" s="53"/>
      <c r="O53" s="53">
        <f t="shared" ref="O53:P53" si="69">SUM(O3,O13,O23,O33,O43)</f>
        <v>2</v>
      </c>
      <c r="P53" s="53">
        <f t="shared" si="69"/>
        <v>4</v>
      </c>
      <c r="Q53" s="59">
        <f t="shared" ref="Q53:Q58" si="78">iferror(M53/I53,"")</f>
        <v>0.04761904762</v>
      </c>
      <c r="R53" s="60">
        <f t="shared" ref="R53:R58" si="79">iferror(L53-H53,"")</f>
        <v>135508</v>
      </c>
      <c r="S53" s="59">
        <f t="shared" ref="S53:S58" si="80">iferror(L53/H53,"")</f>
        <v>1.734492553</v>
      </c>
      <c r="T53" s="61">
        <f t="shared" ref="T53:T58" si="81">iferror(R53/H53,"")</f>
        <v>0.7344925525</v>
      </c>
    </row>
    <row r="54">
      <c r="A54" s="27"/>
      <c r="B54" s="51" t="s">
        <v>25</v>
      </c>
      <c r="C54" s="52"/>
      <c r="D54" s="53">
        <f t="shared" ref="D54:E54" si="70">SUM(D4,D14,D24,D34,D44)</f>
        <v>27999</v>
      </c>
      <c r="E54" s="53">
        <f t="shared" si="70"/>
        <v>1181</v>
      </c>
      <c r="F54" s="54">
        <f t="shared" si="71"/>
        <v>398.6892464</v>
      </c>
      <c r="G54" s="55">
        <f t="shared" si="72"/>
        <v>0.04218007786</v>
      </c>
      <c r="H54" s="53">
        <f t="shared" ref="H54:I54" si="73">SUM(H4,H14,H24,H34,H44)</f>
        <v>470852</v>
      </c>
      <c r="I54" s="53">
        <f t="shared" si="73"/>
        <v>156</v>
      </c>
      <c r="J54" s="57">
        <f t="shared" si="74"/>
        <v>0.1320914479</v>
      </c>
      <c r="K54" s="58">
        <f t="shared" si="75"/>
        <v>3018.282051</v>
      </c>
      <c r="L54" s="53">
        <f t="shared" ref="L54:M54" si="76">SUM(L4,L14,L24,L34,L44)</f>
        <v>1680000</v>
      </c>
      <c r="M54" s="53">
        <f t="shared" si="76"/>
        <v>9</v>
      </c>
      <c r="N54" s="53"/>
      <c r="O54" s="53">
        <f t="shared" ref="O54:P54" si="77">SUM(O4,O14,O24,O34,O44)</f>
        <v>13</v>
      </c>
      <c r="P54" s="53">
        <f t="shared" si="77"/>
        <v>26</v>
      </c>
      <c r="Q54" s="59">
        <f t="shared" si="78"/>
        <v>0.05769230769</v>
      </c>
      <c r="R54" s="60">
        <f t="shared" si="79"/>
        <v>1209148</v>
      </c>
      <c r="S54" s="59">
        <f t="shared" si="80"/>
        <v>3.568000136</v>
      </c>
      <c r="T54" s="61">
        <f t="shared" si="81"/>
        <v>2.568000136</v>
      </c>
    </row>
    <row r="55">
      <c r="A55" s="27"/>
      <c r="B55" s="51" t="s">
        <v>27</v>
      </c>
      <c r="C55" s="62"/>
      <c r="D55" s="53">
        <f t="shared" ref="D55:E55" si="82">SUM(D5,D15,D25,D35,D45)</f>
        <v>50244</v>
      </c>
      <c r="E55" s="53">
        <f t="shared" si="82"/>
        <v>3323</v>
      </c>
      <c r="F55" s="54">
        <f t="shared" si="71"/>
        <v>237.5883238</v>
      </c>
      <c r="G55" s="55">
        <f t="shared" si="72"/>
        <v>0.06613725022</v>
      </c>
      <c r="H55" s="53">
        <f t="shared" ref="H55:I55" si="83">SUM(H5,H15,H25,H35,H45)</f>
        <v>789506</v>
      </c>
      <c r="I55" s="53">
        <f t="shared" si="83"/>
        <v>311</v>
      </c>
      <c r="J55" s="57">
        <f t="shared" si="74"/>
        <v>0.0935901294</v>
      </c>
      <c r="K55" s="58">
        <f t="shared" si="75"/>
        <v>2538.604502</v>
      </c>
      <c r="L55" s="53">
        <f t="shared" ref="L55:M55" si="84">SUM(L5,L15,L25,L35,L45)</f>
        <v>1320000</v>
      </c>
      <c r="M55" s="53">
        <f t="shared" si="84"/>
        <v>12</v>
      </c>
      <c r="N55" s="53"/>
      <c r="O55" s="53">
        <f t="shared" ref="O55:P55" si="85">SUM(O5,O15,O25,O35,O45)</f>
        <v>11</v>
      </c>
      <c r="P55" s="53">
        <f t="shared" si="85"/>
        <v>22</v>
      </c>
      <c r="Q55" s="59">
        <f t="shared" si="78"/>
        <v>0.038585209</v>
      </c>
      <c r="R55" s="60">
        <f t="shared" si="79"/>
        <v>530494</v>
      </c>
      <c r="S55" s="59">
        <f t="shared" si="80"/>
        <v>1.671931562</v>
      </c>
      <c r="T55" s="61">
        <f t="shared" si="81"/>
        <v>0.6719315623</v>
      </c>
    </row>
    <row r="56">
      <c r="A56" s="27"/>
      <c r="B56" s="51" t="s">
        <v>388</v>
      </c>
      <c r="C56" s="88"/>
      <c r="D56" s="53">
        <f t="shared" ref="D56:E56" si="86">SUM(D6,D16,D26,D36,D46)</f>
        <v>0</v>
      </c>
      <c r="E56" s="53">
        <f t="shared" si="86"/>
        <v>0</v>
      </c>
      <c r="F56" s="54" t="str">
        <f t="shared" si="71"/>
        <v/>
      </c>
      <c r="G56" s="55" t="str">
        <f t="shared" si="72"/>
        <v/>
      </c>
      <c r="H56" s="53">
        <f t="shared" ref="H56:I56" si="87">SUM(H6,H16,H26,H36,H46)</f>
        <v>0</v>
      </c>
      <c r="I56" s="53">
        <f t="shared" si="87"/>
        <v>0</v>
      </c>
      <c r="J56" s="57" t="str">
        <f t="shared" si="74"/>
        <v/>
      </c>
      <c r="K56" s="58" t="str">
        <f t="shared" si="75"/>
        <v/>
      </c>
      <c r="L56" s="53">
        <f t="shared" ref="L56:M56" si="88">SUM(L6,L16,L26,L36,L46)</f>
        <v>0</v>
      </c>
      <c r="M56" s="53">
        <f t="shared" si="88"/>
        <v>0</v>
      </c>
      <c r="N56" s="89"/>
      <c r="O56" s="53">
        <f t="shared" ref="O56:P56" si="89">SUM(O6,O16,O26,O36,O46)</f>
        <v>0</v>
      </c>
      <c r="P56" s="53">
        <f t="shared" si="89"/>
        <v>0</v>
      </c>
      <c r="Q56" s="59" t="str">
        <f t="shared" si="78"/>
        <v/>
      </c>
      <c r="R56" s="60">
        <f t="shared" si="79"/>
        <v>0</v>
      </c>
      <c r="S56" s="59" t="str">
        <f t="shared" si="80"/>
        <v/>
      </c>
      <c r="T56" s="61" t="str">
        <f t="shared" si="81"/>
        <v/>
      </c>
    </row>
    <row r="57">
      <c r="A57" s="27"/>
      <c r="B57" s="51" t="s">
        <v>28</v>
      </c>
      <c r="C57" s="63"/>
      <c r="D57" s="53">
        <f t="shared" ref="D57:E57" si="90">SUM(D7,D17,D27,D37,D47)</f>
        <v>30261</v>
      </c>
      <c r="E57" s="53">
        <f t="shared" si="90"/>
        <v>1471</v>
      </c>
      <c r="F57" s="54">
        <f t="shared" si="71"/>
        <v>326.5955133</v>
      </c>
      <c r="G57" s="55">
        <f t="shared" si="72"/>
        <v>0.04861042266</v>
      </c>
      <c r="H57" s="53">
        <f t="shared" ref="H57:I57" si="91">SUM(H7,H17,H27,H37,H47)</f>
        <v>480422</v>
      </c>
      <c r="I57" s="53">
        <f t="shared" si="91"/>
        <v>115</v>
      </c>
      <c r="J57" s="57">
        <f t="shared" si="74"/>
        <v>0.07817811013</v>
      </c>
      <c r="K57" s="58">
        <f t="shared" si="75"/>
        <v>4177.582609</v>
      </c>
      <c r="L57" s="53">
        <f t="shared" ref="L57:M57" si="92">SUM(L7,L17,L27,L37,L47)</f>
        <v>120000</v>
      </c>
      <c r="M57" s="53">
        <f t="shared" si="92"/>
        <v>1</v>
      </c>
      <c r="N57" s="53"/>
      <c r="O57" s="53">
        <f t="shared" ref="O57:P57" si="93">SUM(O7,O17,O27,O37,O47)</f>
        <v>1</v>
      </c>
      <c r="P57" s="53">
        <f t="shared" si="93"/>
        <v>2</v>
      </c>
      <c r="Q57" s="59">
        <f t="shared" si="78"/>
        <v>0.008695652174</v>
      </c>
      <c r="R57" s="60">
        <f t="shared" si="79"/>
        <v>-360422</v>
      </c>
      <c r="S57" s="59">
        <f t="shared" si="80"/>
        <v>0.2497804014</v>
      </c>
      <c r="T57" s="61">
        <f t="shared" si="81"/>
        <v>-0.7502195986</v>
      </c>
    </row>
    <row r="58">
      <c r="A58" s="10"/>
      <c r="B58" s="51" t="s">
        <v>390</v>
      </c>
      <c r="C58" s="91"/>
      <c r="D58" s="53">
        <f t="shared" ref="D58:E58" si="94">SUM(D8,D18,D28,D38,D48)</f>
        <v>0</v>
      </c>
      <c r="E58" s="53">
        <f t="shared" si="94"/>
        <v>0</v>
      </c>
      <c r="F58" s="54" t="str">
        <f t="shared" si="71"/>
        <v/>
      </c>
      <c r="G58" s="55" t="str">
        <f t="shared" si="72"/>
        <v/>
      </c>
      <c r="H58" s="53">
        <f t="shared" ref="H58:I58" si="95">SUM(H8,H18,H28,H38,H48)</f>
        <v>0</v>
      </c>
      <c r="I58" s="53">
        <f t="shared" si="95"/>
        <v>0</v>
      </c>
      <c r="J58" s="57" t="str">
        <f t="shared" si="74"/>
        <v/>
      </c>
      <c r="K58" s="58" t="str">
        <f t="shared" si="75"/>
        <v/>
      </c>
      <c r="L58" s="53">
        <f t="shared" ref="L58:M58" si="96">SUM(L8,L18,L28,L38,L48)</f>
        <v>0</v>
      </c>
      <c r="M58" s="53">
        <f t="shared" si="96"/>
        <v>0</v>
      </c>
      <c r="N58" s="89"/>
      <c r="O58" s="53">
        <f t="shared" ref="O58:P58" si="97">SUM(O8,O18,O28,O38,O48)</f>
        <v>0</v>
      </c>
      <c r="P58" s="53">
        <f t="shared" si="97"/>
        <v>0</v>
      </c>
      <c r="Q58" s="59" t="str">
        <f t="shared" si="78"/>
        <v/>
      </c>
      <c r="R58" s="60">
        <f t="shared" si="79"/>
        <v>0</v>
      </c>
      <c r="S58" s="59" t="str">
        <f t="shared" si="80"/>
        <v/>
      </c>
      <c r="T58" s="61" t="str">
        <f t="shared" si="81"/>
        <v/>
      </c>
    </row>
    <row r="59">
      <c r="A59" s="30" t="s">
        <v>29</v>
      </c>
      <c r="B59" s="31"/>
      <c r="C59" s="31"/>
      <c r="D59" s="31"/>
      <c r="E59" s="32"/>
      <c r="F59" s="65">
        <f t="shared" ref="F59:G59" si="98">averageif(F53:F58,"&gt;0")</f>
        <v>347.4844746</v>
      </c>
      <c r="G59" s="66">
        <f t="shared" si="98"/>
        <v>0.05124261384</v>
      </c>
      <c r="H59" s="67"/>
      <c r="I59" s="68">
        <f>SUM(I53:I58)</f>
        <v>624</v>
      </c>
      <c r="J59" s="69">
        <f t="shared" ref="J59:K59" si="99">averageif(J53:J58,"&gt;0")</f>
        <v>0.1002704774</v>
      </c>
      <c r="K59" s="70">
        <f t="shared" si="99"/>
        <v>3531.783957</v>
      </c>
      <c r="L59" s="68">
        <f t="shared" ref="L59:M59" si="100">SUM(L53:L58)</f>
        <v>3440000</v>
      </c>
      <c r="M59" s="68">
        <f t="shared" si="100"/>
        <v>24</v>
      </c>
      <c r="N59" s="68"/>
      <c r="O59" s="68">
        <f t="shared" ref="O59:P59" si="101">SUM(O53:O58)</f>
        <v>27</v>
      </c>
      <c r="P59" s="68">
        <f t="shared" si="101"/>
        <v>54</v>
      </c>
      <c r="Q59" s="72">
        <f>averageif(Q53:Q58,"&gt;0")</f>
        <v>0.03814805412</v>
      </c>
      <c r="R59" s="67"/>
      <c r="S59" s="72">
        <f t="shared" ref="S59:T59" si="102">averageif(S53:S58,"&gt;0")</f>
        <v>1.806051163</v>
      </c>
      <c r="T59" s="73">
        <f t="shared" si="102"/>
        <v>1.324808084</v>
      </c>
    </row>
    <row r="61">
      <c r="A61" s="1" t="s">
        <v>455</v>
      </c>
      <c r="B61" s="2" t="s">
        <v>1</v>
      </c>
      <c r="C61" s="3" t="s">
        <v>2</v>
      </c>
      <c r="D61" s="4"/>
      <c r="E61" s="4"/>
      <c r="F61" s="4"/>
      <c r="G61" s="4"/>
      <c r="H61" s="5"/>
      <c r="I61" s="6" t="s">
        <v>3</v>
      </c>
      <c r="J61" s="4"/>
      <c r="K61" s="5"/>
      <c r="L61" s="7" t="s">
        <v>4</v>
      </c>
      <c r="M61" s="4"/>
      <c r="N61" s="4"/>
      <c r="O61" s="4"/>
      <c r="P61" s="4"/>
      <c r="Q61" s="4"/>
      <c r="R61" s="4"/>
      <c r="S61" s="4"/>
      <c r="T61" s="8"/>
    </row>
    <row r="62">
      <c r="A62" s="10"/>
      <c r="B62" s="11"/>
      <c r="C62" s="12" t="s">
        <v>5</v>
      </c>
      <c r="D62" s="12" t="s">
        <v>6</v>
      </c>
      <c r="E62" s="12" t="s">
        <v>7</v>
      </c>
      <c r="F62" s="12" t="s">
        <v>456</v>
      </c>
      <c r="G62" s="12" t="s">
        <v>457</v>
      </c>
      <c r="H62" s="12" t="s">
        <v>286</v>
      </c>
      <c r="I62" s="12" t="s">
        <v>11</v>
      </c>
      <c r="J62" s="12" t="s">
        <v>458</v>
      </c>
      <c r="K62" s="12" t="s">
        <v>459</v>
      </c>
      <c r="L62" s="12" t="s">
        <v>16</v>
      </c>
      <c r="M62" s="12" t="s">
        <v>223</v>
      </c>
      <c r="N62" s="12" t="s">
        <v>460</v>
      </c>
      <c r="O62" s="12" t="s">
        <v>225</v>
      </c>
      <c r="P62" s="12" t="s">
        <v>226</v>
      </c>
      <c r="Q62" s="12" t="s">
        <v>461</v>
      </c>
      <c r="R62" s="12" t="s">
        <v>20</v>
      </c>
      <c r="S62" s="12" t="s">
        <v>462</v>
      </c>
      <c r="T62" s="14" t="s">
        <v>463</v>
      </c>
    </row>
    <row r="63">
      <c r="A63" s="95" t="s">
        <v>464</v>
      </c>
      <c r="B63" s="51" t="s">
        <v>24</v>
      </c>
      <c r="C63" s="52"/>
      <c r="D63" s="53">
        <f>D53+'8월'!E63</f>
        <v>265992</v>
      </c>
      <c r="E63" s="53">
        <f>E53+'8월'!F63</f>
        <v>14295</v>
      </c>
      <c r="F63" s="54">
        <f t="shared" ref="F63:F68" si="103">iferror(H63/E63,"")</f>
        <v>179.6155299</v>
      </c>
      <c r="G63" s="55">
        <f t="shared" ref="G63:G68" si="104">iferror(E63/D63,"")</f>
        <v>0.05374221781</v>
      </c>
      <c r="H63" s="53">
        <f>H53+'8월'!I63</f>
        <v>2567604</v>
      </c>
      <c r="I63" s="53">
        <f>I53+'8월'!J63</f>
        <v>265</v>
      </c>
      <c r="J63" s="57">
        <f t="shared" ref="J63:J68" si="105">iferror(I63/E63,"")</f>
        <v>0.01853795033</v>
      </c>
      <c r="K63" s="58">
        <f t="shared" ref="K63:K68" si="106">iferror(H63/I63,"")</f>
        <v>9689.071698</v>
      </c>
      <c r="L63" s="53">
        <f>L53+'8월'!M63</f>
        <v>3830000</v>
      </c>
      <c r="M63" s="53">
        <f>M53+'8월'!N63</f>
        <v>10</v>
      </c>
      <c r="N63" s="53"/>
      <c r="O63" s="53">
        <f t="shared" ref="O63:O68" si="107">SUM(O13,O23,O33,O43,O53)</f>
        <v>4</v>
      </c>
      <c r="P63" s="53">
        <f>P53+'8월'!O63</f>
        <v>53</v>
      </c>
      <c r="Q63" s="59">
        <f t="shared" ref="Q63:Q68" si="108">iferror(M63/I63,"")</f>
        <v>0.03773584906</v>
      </c>
      <c r="R63" s="60">
        <f t="shared" ref="R63:R68" si="109">iferror(L63-H63,"")</f>
        <v>1262396</v>
      </c>
      <c r="S63" s="59">
        <f t="shared" ref="S63:S68" si="110">iferror(L63/H63,"")</f>
        <v>1.491663045</v>
      </c>
      <c r="T63" s="61">
        <f t="shared" ref="T63:T68" si="111">iferror(R63/H63,"")</f>
        <v>0.4916630446</v>
      </c>
    </row>
    <row r="64">
      <c r="A64" s="27"/>
      <c r="B64" s="51" t="s">
        <v>25</v>
      </c>
      <c r="C64" s="52"/>
      <c r="D64" s="53">
        <f>D54+'8월'!E64</f>
        <v>161619</v>
      </c>
      <c r="E64" s="53">
        <f>E54+'8월'!F64</f>
        <v>8786</v>
      </c>
      <c r="F64" s="54">
        <f t="shared" si="103"/>
        <v>285.8453221</v>
      </c>
      <c r="G64" s="55">
        <f t="shared" si="104"/>
        <v>0.05436242026</v>
      </c>
      <c r="H64" s="53">
        <f>H54+'8월'!I64</f>
        <v>2511437</v>
      </c>
      <c r="I64" s="53">
        <f>I54+'8월'!J64</f>
        <v>540</v>
      </c>
      <c r="J64" s="57">
        <f t="shared" si="105"/>
        <v>0.06146141589</v>
      </c>
      <c r="K64" s="58">
        <f t="shared" si="106"/>
        <v>4650.809259</v>
      </c>
      <c r="L64" s="53">
        <f>L54+'8월'!M64</f>
        <v>3180000</v>
      </c>
      <c r="M64" s="53">
        <f>M54+'8월'!N64</f>
        <v>19</v>
      </c>
      <c r="N64" s="53"/>
      <c r="O64" s="53">
        <f t="shared" si="107"/>
        <v>26</v>
      </c>
      <c r="P64" s="53">
        <f>P54+'8월'!O64</f>
        <v>56</v>
      </c>
      <c r="Q64" s="59">
        <f t="shared" si="108"/>
        <v>0.03518518519</v>
      </c>
      <c r="R64" s="60">
        <f t="shared" si="109"/>
        <v>668563</v>
      </c>
      <c r="S64" s="59">
        <f t="shared" si="110"/>
        <v>1.266207355</v>
      </c>
      <c r="T64" s="61">
        <f t="shared" si="111"/>
        <v>0.2662073546</v>
      </c>
    </row>
    <row r="65">
      <c r="A65" s="27"/>
      <c r="B65" s="51" t="s">
        <v>27</v>
      </c>
      <c r="C65" s="62"/>
      <c r="D65" s="53">
        <f>D55+'8월'!E65</f>
        <v>270120</v>
      </c>
      <c r="E65" s="53">
        <f>E55+'8월'!F65</f>
        <v>13560</v>
      </c>
      <c r="F65" s="54">
        <f t="shared" si="103"/>
        <v>172.1629056</v>
      </c>
      <c r="G65" s="55">
        <f t="shared" si="104"/>
        <v>0.05019991115</v>
      </c>
      <c r="H65" s="53">
        <f>H55+'8월'!I65</f>
        <v>2334529</v>
      </c>
      <c r="I65" s="53">
        <f>I55+'8월'!J65</f>
        <v>537</v>
      </c>
      <c r="J65" s="57">
        <f t="shared" si="105"/>
        <v>0.03960176991</v>
      </c>
      <c r="K65" s="58">
        <f t="shared" si="106"/>
        <v>4347.353818</v>
      </c>
      <c r="L65" s="53">
        <f>L55+'8월'!M65</f>
        <v>3060000</v>
      </c>
      <c r="M65" s="53">
        <f>M55+'8월'!N65</f>
        <v>21</v>
      </c>
      <c r="N65" s="53"/>
      <c r="O65" s="53">
        <f t="shared" si="107"/>
        <v>21.5</v>
      </c>
      <c r="P65" s="53">
        <f>P55+'8월'!O65</f>
        <v>49</v>
      </c>
      <c r="Q65" s="59">
        <f t="shared" si="108"/>
        <v>0.03910614525</v>
      </c>
      <c r="R65" s="60">
        <f t="shared" si="109"/>
        <v>725471</v>
      </c>
      <c r="S65" s="59">
        <f t="shared" si="110"/>
        <v>1.310756902</v>
      </c>
      <c r="T65" s="61">
        <f t="shared" si="111"/>
        <v>0.3107569021</v>
      </c>
    </row>
    <row r="66">
      <c r="A66" s="27"/>
      <c r="B66" s="51" t="s">
        <v>388</v>
      </c>
      <c r="C66" s="88"/>
      <c r="D66" s="53">
        <f>D56+'8월'!E66</f>
        <v>2533</v>
      </c>
      <c r="E66" s="53">
        <f>E56+'8월'!F66</f>
        <v>227</v>
      </c>
      <c r="F66" s="54">
        <f t="shared" si="103"/>
        <v>158.9118943</v>
      </c>
      <c r="G66" s="55">
        <f t="shared" si="104"/>
        <v>0.08961705488</v>
      </c>
      <c r="H66" s="53">
        <f>H56+'8월'!I66</f>
        <v>36073</v>
      </c>
      <c r="I66" s="53">
        <f>I56+'8월'!J66</f>
        <v>4</v>
      </c>
      <c r="J66" s="57">
        <f t="shared" si="105"/>
        <v>0.01762114537</v>
      </c>
      <c r="K66" s="58">
        <f t="shared" si="106"/>
        <v>9018.25</v>
      </c>
      <c r="L66" s="53">
        <f>L56+'8월'!M66</f>
        <v>0</v>
      </c>
      <c r="M66" s="53">
        <f>M56+'8월'!N66</f>
        <v>0</v>
      </c>
      <c r="N66" s="53"/>
      <c r="O66" s="53">
        <f t="shared" si="107"/>
        <v>0</v>
      </c>
      <c r="P66" s="53">
        <f>P56+'8월'!O66</f>
        <v>0</v>
      </c>
      <c r="Q66" s="59">
        <f t="shared" si="108"/>
        <v>0</v>
      </c>
      <c r="R66" s="60">
        <f t="shared" si="109"/>
        <v>-36073</v>
      </c>
      <c r="S66" s="59">
        <f t="shared" si="110"/>
        <v>0</v>
      </c>
      <c r="T66" s="61">
        <f t="shared" si="111"/>
        <v>-1</v>
      </c>
    </row>
    <row r="67">
      <c r="A67" s="27"/>
      <c r="B67" s="51" t="s">
        <v>28</v>
      </c>
      <c r="C67" s="63"/>
      <c r="D67" s="53">
        <f>D57+'8월'!E67</f>
        <v>234317</v>
      </c>
      <c r="E67" s="53">
        <f>E57+'8월'!F67</f>
        <v>11781</v>
      </c>
      <c r="F67" s="54">
        <f t="shared" si="103"/>
        <v>229.2333418</v>
      </c>
      <c r="G67" s="55">
        <f t="shared" si="104"/>
        <v>0.05027804214</v>
      </c>
      <c r="H67" s="53">
        <f>H57+'8월'!I67</f>
        <v>2700598</v>
      </c>
      <c r="I67" s="53">
        <f>I57+'8월'!J67</f>
        <v>428</v>
      </c>
      <c r="J67" s="57">
        <f t="shared" si="105"/>
        <v>0.03632968339</v>
      </c>
      <c r="K67" s="58">
        <f t="shared" si="106"/>
        <v>6309.808411</v>
      </c>
      <c r="L67" s="53">
        <f>L57+'8월'!M67</f>
        <v>1470000</v>
      </c>
      <c r="M67" s="53">
        <f>M57+'8월'!N67</f>
        <v>8</v>
      </c>
      <c r="N67" s="53"/>
      <c r="O67" s="53">
        <f t="shared" si="107"/>
        <v>2</v>
      </c>
      <c r="P67" s="53">
        <f>P57+'8월'!O67</f>
        <v>23</v>
      </c>
      <c r="Q67" s="59">
        <f t="shared" si="108"/>
        <v>0.01869158879</v>
      </c>
      <c r="R67" s="60">
        <f t="shared" si="109"/>
        <v>-1230598</v>
      </c>
      <c r="S67" s="59">
        <f t="shared" si="110"/>
        <v>0.5443238868</v>
      </c>
      <c r="T67" s="61">
        <f t="shared" si="111"/>
        <v>-0.4556761132</v>
      </c>
    </row>
    <row r="68">
      <c r="A68" s="10"/>
      <c r="B68" s="51" t="s">
        <v>390</v>
      </c>
      <c r="C68" s="91"/>
      <c r="D68" s="53">
        <f>D58+'8월'!E68</f>
        <v>29260</v>
      </c>
      <c r="E68" s="53">
        <f>E58+'8월'!F68</f>
        <v>1605</v>
      </c>
      <c r="F68" s="54">
        <f t="shared" si="103"/>
        <v>137.271028</v>
      </c>
      <c r="G68" s="55">
        <f t="shared" si="104"/>
        <v>0.0548530417</v>
      </c>
      <c r="H68" s="53">
        <f>H58+'8월'!I68</f>
        <v>220320</v>
      </c>
      <c r="I68" s="53">
        <f>I58+'8월'!J68</f>
        <v>29</v>
      </c>
      <c r="J68" s="57">
        <f t="shared" si="105"/>
        <v>0.01806853583</v>
      </c>
      <c r="K68" s="58">
        <f t="shared" si="106"/>
        <v>7597.241379</v>
      </c>
      <c r="L68" s="53">
        <f>L58+'8월'!M68</f>
        <v>0</v>
      </c>
      <c r="M68" s="53">
        <f>M58+'8월'!N68</f>
        <v>0</v>
      </c>
      <c r="N68" s="53"/>
      <c r="O68" s="53">
        <f t="shared" si="107"/>
        <v>0</v>
      </c>
      <c r="P68" s="53">
        <f>P58+'8월'!O68</f>
        <v>0</v>
      </c>
      <c r="Q68" s="59">
        <f t="shared" si="108"/>
        <v>0</v>
      </c>
      <c r="R68" s="60">
        <f t="shared" si="109"/>
        <v>-220320</v>
      </c>
      <c r="S68" s="59">
        <f t="shared" si="110"/>
        <v>0</v>
      </c>
      <c r="T68" s="61">
        <f t="shared" si="111"/>
        <v>-1</v>
      </c>
    </row>
    <row r="69">
      <c r="A69" s="30" t="s">
        <v>29</v>
      </c>
      <c r="B69" s="31"/>
      <c r="C69" s="31"/>
      <c r="D69" s="31"/>
      <c r="E69" s="32"/>
      <c r="F69" s="65">
        <f t="shared" ref="F69:G69" si="112">averageif(F63:F68,"&gt;0")</f>
        <v>193.8400036</v>
      </c>
      <c r="G69" s="66">
        <f t="shared" si="112"/>
        <v>0.05884211466</v>
      </c>
      <c r="H69" s="67"/>
      <c r="I69" s="68">
        <f>SUM(I63:I68)</f>
        <v>1803</v>
      </c>
      <c r="J69" s="69">
        <f t="shared" ref="J69:K69" si="113">averageif(J63:J68,"&gt;0")</f>
        <v>0.03193675012</v>
      </c>
      <c r="K69" s="70">
        <f t="shared" si="113"/>
        <v>6935.422428</v>
      </c>
      <c r="L69" s="68">
        <f t="shared" ref="L69:M69" si="114">SUM(L63:L68)</f>
        <v>11540000</v>
      </c>
      <c r="M69" s="68">
        <f t="shared" si="114"/>
        <v>58</v>
      </c>
      <c r="N69" s="68"/>
      <c r="O69" s="68">
        <f t="shared" ref="O69:P69" si="115">SUM(O63:O68)</f>
        <v>53.5</v>
      </c>
      <c r="P69" s="68">
        <f t="shared" si="115"/>
        <v>181</v>
      </c>
      <c r="Q69" s="72">
        <f>averageif(Q63:Q68,"&gt;0")</f>
        <v>0.03267969207</v>
      </c>
      <c r="R69" s="67"/>
      <c r="S69" s="72">
        <f t="shared" ref="S69:T69" si="116">averageif(S63:S68,"&gt;0")</f>
        <v>1.153237797</v>
      </c>
      <c r="T69" s="73">
        <f t="shared" si="116"/>
        <v>0.3562091004</v>
      </c>
    </row>
  </sheetData>
  <mergeCells count="49">
    <mergeCell ref="A1:A2"/>
    <mergeCell ref="B1:B2"/>
    <mergeCell ref="C1:H1"/>
    <mergeCell ref="I1:K1"/>
    <mergeCell ref="L1:T1"/>
    <mergeCell ref="A3:A8"/>
    <mergeCell ref="A9:E9"/>
    <mergeCell ref="A11:A12"/>
    <mergeCell ref="B11:B12"/>
    <mergeCell ref="C11:H11"/>
    <mergeCell ref="I11:K11"/>
    <mergeCell ref="L11:T11"/>
    <mergeCell ref="A13:A18"/>
    <mergeCell ref="A19:E19"/>
    <mergeCell ref="A21:A22"/>
    <mergeCell ref="B21:B22"/>
    <mergeCell ref="C21:H21"/>
    <mergeCell ref="I21:K21"/>
    <mergeCell ref="L21:T21"/>
    <mergeCell ref="A23:A28"/>
    <mergeCell ref="A29:E29"/>
    <mergeCell ref="A31:A32"/>
    <mergeCell ref="B31:B32"/>
    <mergeCell ref="C31:H31"/>
    <mergeCell ref="I31:K31"/>
    <mergeCell ref="L31:T31"/>
    <mergeCell ref="A33:A38"/>
    <mergeCell ref="A39:E39"/>
    <mergeCell ref="A41:A42"/>
    <mergeCell ref="B41:B42"/>
    <mergeCell ref="C41:H41"/>
    <mergeCell ref="I41:K41"/>
    <mergeCell ref="L41:T41"/>
    <mergeCell ref="A43:A48"/>
    <mergeCell ref="A49:E49"/>
    <mergeCell ref="A61:A62"/>
    <mergeCell ref="B61:B62"/>
    <mergeCell ref="C61:H61"/>
    <mergeCell ref="I61:K61"/>
    <mergeCell ref="L61:T61"/>
    <mergeCell ref="A63:A68"/>
    <mergeCell ref="A69:E69"/>
    <mergeCell ref="A51:A52"/>
    <mergeCell ref="B51:B52"/>
    <mergeCell ref="C51:H51"/>
    <mergeCell ref="I51:K51"/>
    <mergeCell ref="L51:T51"/>
    <mergeCell ref="A53:A58"/>
    <mergeCell ref="A59:E59"/>
  </mergeCell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5.25"/>
    <col customWidth="1" min="4" max="4" width="18.75"/>
    <col customWidth="1" min="5" max="5" width="9.63"/>
    <col customWidth="1" min="6" max="6" width="8.38"/>
    <col customWidth="1" min="10" max="10" width="9.13"/>
    <col customWidth="1" min="15" max="15" width="10.25"/>
    <col customWidth="1" min="18" max="18" width="12.38"/>
  </cols>
  <sheetData>
    <row r="1">
      <c r="A1" s="1" t="s">
        <v>376</v>
      </c>
      <c r="B1" s="2" t="s">
        <v>1</v>
      </c>
      <c r="C1" s="96" t="s">
        <v>2</v>
      </c>
      <c r="D1" s="4"/>
      <c r="E1" s="4"/>
      <c r="F1" s="4"/>
      <c r="G1" s="4"/>
      <c r="H1" s="4"/>
      <c r="I1" s="5"/>
      <c r="J1" s="6" t="s">
        <v>3</v>
      </c>
      <c r="K1" s="4"/>
      <c r="L1" s="5"/>
      <c r="M1" s="7" t="s">
        <v>4</v>
      </c>
      <c r="N1" s="4"/>
      <c r="O1" s="4"/>
      <c r="P1" s="4"/>
      <c r="Q1" s="4"/>
      <c r="R1" s="4"/>
      <c r="S1" s="8"/>
    </row>
    <row r="2">
      <c r="A2" s="10"/>
      <c r="B2" s="11"/>
      <c r="C2" s="13" t="s">
        <v>465</v>
      </c>
      <c r="D2" s="12" t="s">
        <v>5</v>
      </c>
      <c r="E2" s="12" t="s">
        <v>6</v>
      </c>
      <c r="F2" s="12" t="s">
        <v>7</v>
      </c>
      <c r="G2" s="12" t="s">
        <v>466</v>
      </c>
      <c r="H2" s="12" t="s">
        <v>467</v>
      </c>
      <c r="I2" s="12" t="s">
        <v>10</v>
      </c>
      <c r="J2" s="12" t="s">
        <v>11</v>
      </c>
      <c r="K2" s="12" t="s">
        <v>468</v>
      </c>
      <c r="L2" s="12" t="s">
        <v>469</v>
      </c>
      <c r="M2" s="12" t="s">
        <v>16</v>
      </c>
      <c r="N2" s="12" t="s">
        <v>223</v>
      </c>
      <c r="O2" s="12" t="s">
        <v>226</v>
      </c>
      <c r="P2" s="12" t="s">
        <v>470</v>
      </c>
      <c r="Q2" s="12" t="s">
        <v>20</v>
      </c>
      <c r="R2" s="12" t="s">
        <v>471</v>
      </c>
      <c r="S2" s="14" t="s">
        <v>472</v>
      </c>
    </row>
    <row r="3">
      <c r="A3" s="15" t="s">
        <v>473</v>
      </c>
      <c r="B3" s="51" t="s">
        <v>24</v>
      </c>
      <c r="C3" s="51" t="s">
        <v>474</v>
      </c>
      <c r="D3" s="52">
        <v>45512.0</v>
      </c>
      <c r="E3" s="53">
        <v>3125.0</v>
      </c>
      <c r="F3" s="53">
        <v>277.0</v>
      </c>
      <c r="G3" s="74">
        <v>388.0</v>
      </c>
      <c r="H3" s="55">
        <f t="shared" ref="H3:H10" si="1">iferror(F3/E3,"")</f>
        <v>0.08864</v>
      </c>
      <c r="I3" s="56">
        <v>106010.0</v>
      </c>
      <c r="J3" s="51">
        <v>32.0</v>
      </c>
      <c r="K3" s="57">
        <f t="shared" ref="K3:K10" si="2">iferror(J3/F3,"")</f>
        <v>0.1155234657</v>
      </c>
      <c r="L3" s="58">
        <f t="shared" ref="L3:L10" si="3">iferror(I3/J3,"")</f>
        <v>3312.8125</v>
      </c>
      <c r="M3" s="53">
        <v>1140000.0</v>
      </c>
      <c r="N3" s="51">
        <v>2.0</v>
      </c>
      <c r="O3" s="53">
        <v>16.0</v>
      </c>
      <c r="P3" s="59">
        <f t="shared" ref="P3:P10" si="4">iferror(N3/J3,"")</f>
        <v>0.0625</v>
      </c>
      <c r="Q3" s="60">
        <f t="shared" ref="Q3:Q10" si="5">iferror(M3-I3,"")</f>
        <v>1033990</v>
      </c>
      <c r="R3" s="59">
        <f t="shared" ref="R3:R10" si="6">iferror(M3/I3,"")</f>
        <v>10.75370248</v>
      </c>
      <c r="S3" s="61">
        <f t="shared" ref="S3:S10" si="7">iferror(Q3/I3,"")</f>
        <v>9.753702481</v>
      </c>
    </row>
    <row r="4">
      <c r="A4" s="27"/>
      <c r="B4" s="51" t="s">
        <v>25</v>
      </c>
      <c r="C4" s="51" t="s">
        <v>474</v>
      </c>
      <c r="D4" s="52">
        <v>45515.0</v>
      </c>
      <c r="E4" s="53">
        <v>9308.0</v>
      </c>
      <c r="F4" s="53">
        <v>576.0</v>
      </c>
      <c r="G4" s="54">
        <f t="shared" ref="G4:G10" si="8">iferror(I4/F4,"")</f>
        <v>335.5399306</v>
      </c>
      <c r="H4" s="55">
        <f t="shared" si="1"/>
        <v>0.06188225183</v>
      </c>
      <c r="I4" s="56">
        <v>193271.0</v>
      </c>
      <c r="J4" s="51">
        <v>56.0</v>
      </c>
      <c r="K4" s="57">
        <f t="shared" si="2"/>
        <v>0.09722222222</v>
      </c>
      <c r="L4" s="58">
        <f t="shared" si="3"/>
        <v>3451.267857</v>
      </c>
      <c r="M4" s="53">
        <v>240000.0</v>
      </c>
      <c r="N4" s="51">
        <v>1.0</v>
      </c>
      <c r="O4" s="53">
        <v>5.0</v>
      </c>
      <c r="P4" s="59">
        <f t="shared" si="4"/>
        <v>0.01785714286</v>
      </c>
      <c r="Q4" s="60">
        <f t="shared" si="5"/>
        <v>46729</v>
      </c>
      <c r="R4" s="59">
        <f t="shared" si="6"/>
        <v>1.241779677</v>
      </c>
      <c r="S4" s="61">
        <f t="shared" si="7"/>
        <v>0.2417796772</v>
      </c>
    </row>
    <row r="5">
      <c r="A5" s="27"/>
      <c r="B5" s="51" t="s">
        <v>27</v>
      </c>
      <c r="C5" s="51">
        <v>3.0</v>
      </c>
      <c r="D5" s="62" t="s">
        <v>475</v>
      </c>
      <c r="E5" s="53">
        <v>27002.0</v>
      </c>
      <c r="F5" s="53">
        <v>1279.0</v>
      </c>
      <c r="G5" s="54">
        <f t="shared" si="8"/>
        <v>185.2994527</v>
      </c>
      <c r="H5" s="55">
        <f t="shared" si="1"/>
        <v>0.04736686171</v>
      </c>
      <c r="I5" s="56">
        <v>236998.0</v>
      </c>
      <c r="J5" s="51">
        <v>46.0</v>
      </c>
      <c r="K5" s="57">
        <f t="shared" si="2"/>
        <v>0.03596559812</v>
      </c>
      <c r="L5" s="58">
        <f t="shared" si="3"/>
        <v>5152.130435</v>
      </c>
      <c r="M5" s="53">
        <v>300000.0</v>
      </c>
      <c r="N5" s="51">
        <v>3.0</v>
      </c>
      <c r="O5" s="53">
        <v>5.0</v>
      </c>
      <c r="P5" s="59">
        <f t="shared" si="4"/>
        <v>0.0652173913</v>
      </c>
      <c r="Q5" s="60">
        <f t="shared" si="5"/>
        <v>63002</v>
      </c>
      <c r="R5" s="59">
        <f t="shared" si="6"/>
        <v>1.265833467</v>
      </c>
      <c r="S5" s="61">
        <f t="shared" si="7"/>
        <v>0.2658334669</v>
      </c>
    </row>
    <row r="6">
      <c r="A6" s="27"/>
      <c r="B6" s="51" t="s">
        <v>388</v>
      </c>
      <c r="C6" s="51" t="s">
        <v>474</v>
      </c>
      <c r="D6" s="88"/>
      <c r="E6" s="53"/>
      <c r="F6" s="53"/>
      <c r="G6" s="54" t="str">
        <f t="shared" si="8"/>
        <v/>
      </c>
      <c r="H6" s="55" t="str">
        <f t="shared" si="1"/>
        <v/>
      </c>
      <c r="I6" s="56"/>
      <c r="J6" s="51"/>
      <c r="K6" s="57" t="str">
        <f t="shared" si="2"/>
        <v/>
      </c>
      <c r="L6" s="58" t="str">
        <f t="shared" si="3"/>
        <v/>
      </c>
      <c r="M6" s="89"/>
      <c r="N6" s="90"/>
      <c r="O6" s="89"/>
      <c r="P6" s="59" t="str">
        <f t="shared" si="4"/>
        <v/>
      </c>
      <c r="Q6" s="60">
        <f t="shared" si="5"/>
        <v>0</v>
      </c>
      <c r="R6" s="59" t="str">
        <f t="shared" si="6"/>
        <v/>
      </c>
      <c r="S6" s="61" t="str">
        <f t="shared" si="7"/>
        <v/>
      </c>
    </row>
    <row r="7">
      <c r="A7" s="27"/>
      <c r="B7" s="51" t="s">
        <v>28</v>
      </c>
      <c r="C7" s="51" t="s">
        <v>474</v>
      </c>
      <c r="D7" s="63" t="s">
        <v>476</v>
      </c>
      <c r="E7" s="53">
        <v>13796.0</v>
      </c>
      <c r="F7" s="53">
        <v>630.0</v>
      </c>
      <c r="G7" s="54">
        <f t="shared" si="8"/>
        <v>427.5460317</v>
      </c>
      <c r="H7" s="55">
        <f t="shared" si="1"/>
        <v>0.04566541026</v>
      </c>
      <c r="I7" s="56">
        <v>269354.0</v>
      </c>
      <c r="J7" s="51">
        <v>66.0</v>
      </c>
      <c r="K7" s="57">
        <f t="shared" si="2"/>
        <v>0.1047619048</v>
      </c>
      <c r="L7" s="58">
        <f t="shared" si="3"/>
        <v>4081.121212</v>
      </c>
      <c r="M7" s="53">
        <v>450000.0</v>
      </c>
      <c r="N7" s="51">
        <v>2.0</v>
      </c>
      <c r="O7" s="53">
        <v>6.0</v>
      </c>
      <c r="P7" s="59">
        <f t="shared" si="4"/>
        <v>0.0303030303</v>
      </c>
      <c r="Q7" s="60">
        <f t="shared" si="5"/>
        <v>180646</v>
      </c>
      <c r="R7" s="59">
        <f t="shared" si="6"/>
        <v>1.670663885</v>
      </c>
      <c r="S7" s="61">
        <f t="shared" si="7"/>
        <v>0.6706638847</v>
      </c>
    </row>
    <row r="8">
      <c r="A8" s="27"/>
      <c r="B8" s="51" t="s">
        <v>390</v>
      </c>
      <c r="C8" s="51" t="s">
        <v>474</v>
      </c>
      <c r="D8" s="91"/>
      <c r="E8" s="89"/>
      <c r="F8" s="89"/>
      <c r="G8" s="54" t="str">
        <f t="shared" si="8"/>
        <v/>
      </c>
      <c r="H8" s="55" t="str">
        <f t="shared" si="1"/>
        <v/>
      </c>
      <c r="I8" s="92"/>
      <c r="J8" s="90"/>
      <c r="K8" s="57" t="str">
        <f t="shared" si="2"/>
        <v/>
      </c>
      <c r="L8" s="58" t="str">
        <f t="shared" si="3"/>
        <v/>
      </c>
      <c r="M8" s="89"/>
      <c r="N8" s="90"/>
      <c r="O8" s="89"/>
      <c r="P8" s="59" t="str">
        <f t="shared" si="4"/>
        <v/>
      </c>
      <c r="Q8" s="60">
        <f t="shared" si="5"/>
        <v>0</v>
      </c>
      <c r="R8" s="59" t="str">
        <f t="shared" si="6"/>
        <v/>
      </c>
      <c r="S8" s="61" t="str">
        <f t="shared" si="7"/>
        <v/>
      </c>
    </row>
    <row r="9">
      <c r="A9" s="27"/>
      <c r="B9" s="51" t="s">
        <v>477</v>
      </c>
      <c r="C9" s="51" t="s">
        <v>474</v>
      </c>
      <c r="D9" s="91"/>
      <c r="E9" s="89"/>
      <c r="F9" s="89"/>
      <c r="G9" s="54" t="str">
        <f t="shared" si="8"/>
        <v/>
      </c>
      <c r="H9" s="55" t="str">
        <f t="shared" si="1"/>
        <v/>
      </c>
      <c r="I9" s="92"/>
      <c r="J9" s="90"/>
      <c r="K9" s="57" t="str">
        <f t="shared" si="2"/>
        <v/>
      </c>
      <c r="L9" s="58" t="str">
        <f t="shared" si="3"/>
        <v/>
      </c>
      <c r="M9" s="89"/>
      <c r="N9" s="90"/>
      <c r="O9" s="89"/>
      <c r="P9" s="59" t="str">
        <f t="shared" si="4"/>
        <v/>
      </c>
      <c r="Q9" s="60">
        <f t="shared" si="5"/>
        <v>0</v>
      </c>
      <c r="R9" s="59" t="str">
        <f t="shared" si="6"/>
        <v/>
      </c>
      <c r="S9" s="61" t="str">
        <f t="shared" si="7"/>
        <v/>
      </c>
    </row>
    <row r="10">
      <c r="A10" s="10"/>
      <c r="B10" s="51" t="s">
        <v>478</v>
      </c>
      <c r="C10" s="51" t="s">
        <v>474</v>
      </c>
      <c r="D10" s="91"/>
      <c r="E10" s="89"/>
      <c r="F10" s="89"/>
      <c r="G10" s="54" t="str">
        <f t="shared" si="8"/>
        <v/>
      </c>
      <c r="H10" s="55" t="str">
        <f t="shared" si="1"/>
        <v/>
      </c>
      <c r="I10" s="92"/>
      <c r="J10" s="90"/>
      <c r="K10" s="57" t="str">
        <f t="shared" si="2"/>
        <v/>
      </c>
      <c r="L10" s="58" t="str">
        <f t="shared" si="3"/>
        <v/>
      </c>
      <c r="M10" s="89"/>
      <c r="N10" s="90"/>
      <c r="O10" s="89"/>
      <c r="P10" s="59" t="str">
        <f t="shared" si="4"/>
        <v/>
      </c>
      <c r="Q10" s="60">
        <f t="shared" si="5"/>
        <v>0</v>
      </c>
      <c r="R10" s="59" t="str">
        <f t="shared" si="6"/>
        <v/>
      </c>
      <c r="S10" s="61" t="str">
        <f t="shared" si="7"/>
        <v/>
      </c>
    </row>
    <row r="11">
      <c r="A11" s="30" t="s">
        <v>29</v>
      </c>
      <c r="B11" s="31"/>
      <c r="C11" s="31"/>
      <c r="D11" s="31"/>
      <c r="E11" s="31"/>
      <c r="F11" s="32"/>
      <c r="G11" s="65">
        <f t="shared" ref="G11:H11" si="9">averageif(G3:G10,"&gt;0")</f>
        <v>334.0963537</v>
      </c>
      <c r="H11" s="66">
        <f t="shared" si="9"/>
        <v>0.06088863095</v>
      </c>
      <c r="I11" s="67"/>
      <c r="J11" s="68">
        <f>SUM(J3:J10)</f>
        <v>200</v>
      </c>
      <c r="K11" s="69">
        <f t="shared" ref="K11:L11" si="10">averageif(K3:K10,"&gt;0")</f>
        <v>0.0883682977</v>
      </c>
      <c r="L11" s="70">
        <f t="shared" si="10"/>
        <v>3999.333001</v>
      </c>
      <c r="M11" s="68">
        <f t="shared" ref="M11:O11" si="11">SUM(M3:M10)</f>
        <v>2130000</v>
      </c>
      <c r="N11" s="71">
        <f t="shared" si="11"/>
        <v>8</v>
      </c>
      <c r="O11" s="68">
        <f t="shared" si="11"/>
        <v>32</v>
      </c>
      <c r="P11" s="72">
        <f>averageif(P3:P10,"&gt;0")</f>
        <v>0.04396939112</v>
      </c>
      <c r="Q11" s="67"/>
      <c r="R11" s="72">
        <f t="shared" ref="R11:S11" si="12">averageif(R3:R10,"&gt;0")</f>
        <v>3.732994877</v>
      </c>
      <c r="S11" s="73">
        <f t="shared" si="12"/>
        <v>2.732994877</v>
      </c>
    </row>
    <row r="13">
      <c r="A13" s="1" t="s">
        <v>376</v>
      </c>
      <c r="B13" s="2" t="s">
        <v>1</v>
      </c>
      <c r="C13" s="96" t="s">
        <v>2</v>
      </c>
      <c r="D13" s="4"/>
      <c r="E13" s="4"/>
      <c r="F13" s="4"/>
      <c r="G13" s="4"/>
      <c r="H13" s="4"/>
      <c r="I13" s="5"/>
      <c r="J13" s="6" t="s">
        <v>3</v>
      </c>
      <c r="K13" s="4"/>
      <c r="L13" s="5"/>
      <c r="M13" s="7" t="s">
        <v>4</v>
      </c>
      <c r="N13" s="4"/>
      <c r="O13" s="4"/>
      <c r="P13" s="4"/>
      <c r="Q13" s="4"/>
      <c r="R13" s="4"/>
      <c r="S13" s="8"/>
    </row>
    <row r="14">
      <c r="A14" s="10"/>
      <c r="B14" s="11"/>
      <c r="C14" s="13" t="s">
        <v>465</v>
      </c>
      <c r="D14" s="12" t="s">
        <v>5</v>
      </c>
      <c r="E14" s="12" t="s">
        <v>6</v>
      </c>
      <c r="F14" s="12" t="s">
        <v>7</v>
      </c>
      <c r="G14" s="12" t="s">
        <v>479</v>
      </c>
      <c r="H14" s="12" t="s">
        <v>480</v>
      </c>
      <c r="I14" s="12" t="s">
        <v>10</v>
      </c>
      <c r="J14" s="12" t="s">
        <v>11</v>
      </c>
      <c r="K14" s="12" t="s">
        <v>481</v>
      </c>
      <c r="L14" s="12" t="s">
        <v>482</v>
      </c>
      <c r="M14" s="12" t="s">
        <v>16</v>
      </c>
      <c r="N14" s="12" t="s">
        <v>223</v>
      </c>
      <c r="O14" s="12" t="s">
        <v>226</v>
      </c>
      <c r="P14" s="12" t="s">
        <v>483</v>
      </c>
      <c r="Q14" s="12" t="s">
        <v>20</v>
      </c>
      <c r="R14" s="12" t="s">
        <v>484</v>
      </c>
      <c r="S14" s="14" t="s">
        <v>485</v>
      </c>
    </row>
    <row r="15">
      <c r="A15" s="15" t="s">
        <v>486</v>
      </c>
      <c r="B15" s="51" t="s">
        <v>24</v>
      </c>
      <c r="C15" s="51" t="s">
        <v>474</v>
      </c>
      <c r="D15" s="52">
        <v>45520.0</v>
      </c>
      <c r="E15" s="53">
        <v>4817.0</v>
      </c>
      <c r="F15" s="53">
        <v>425.0</v>
      </c>
      <c r="G15" s="74">
        <v>330.0</v>
      </c>
      <c r="H15" s="55">
        <f t="shared" ref="H15:H22" si="13">iferror(F15/E15,"")</f>
        <v>0.08822918829</v>
      </c>
      <c r="I15" s="56">
        <v>140441.0</v>
      </c>
      <c r="J15" s="51">
        <v>16.0</v>
      </c>
      <c r="K15" s="57">
        <f t="shared" ref="K15:K22" si="14">iferror(J15/F15,"")</f>
        <v>0.03764705882</v>
      </c>
      <c r="L15" s="58">
        <f t="shared" ref="L15:L22" si="15">iferror(I15/J15,"")</f>
        <v>8777.5625</v>
      </c>
      <c r="M15" s="53">
        <v>120000.0</v>
      </c>
      <c r="N15" s="51">
        <v>0.0</v>
      </c>
      <c r="O15" s="53">
        <v>2.0</v>
      </c>
      <c r="P15" s="59">
        <f>iferror(N15/J15,"")</f>
        <v>0</v>
      </c>
      <c r="Q15" s="60">
        <f t="shared" ref="Q15:Q22" si="16">iferror(M15-I15,"")</f>
        <v>-20441</v>
      </c>
      <c r="R15" s="59">
        <f t="shared" ref="R15:R22" si="17">iferror(M15/I15,"")</f>
        <v>0.8544513354</v>
      </c>
      <c r="S15" s="61">
        <f t="shared" ref="S15:S22" si="18">iferror(Q15/I15,"")</f>
        <v>-0.1455486646</v>
      </c>
    </row>
    <row r="16">
      <c r="A16" s="27"/>
      <c r="B16" s="51" t="s">
        <v>25</v>
      </c>
      <c r="C16" s="51" t="s">
        <v>474</v>
      </c>
      <c r="D16" s="52">
        <v>45522.0</v>
      </c>
      <c r="E16" s="53">
        <v>10448.0</v>
      </c>
      <c r="F16" s="53">
        <v>580.0</v>
      </c>
      <c r="G16" s="54">
        <f t="shared" ref="G16:G22" si="19">iferror(I16/F16,"")</f>
        <v>393.4948276</v>
      </c>
      <c r="H16" s="55">
        <f t="shared" si="13"/>
        <v>0.05551301685</v>
      </c>
      <c r="I16" s="56">
        <v>228227.0</v>
      </c>
      <c r="J16" s="51">
        <v>57.0</v>
      </c>
      <c r="K16" s="57">
        <f t="shared" si="14"/>
        <v>0.09827586207</v>
      </c>
      <c r="L16" s="58">
        <f t="shared" si="15"/>
        <v>4003.982456</v>
      </c>
      <c r="M16" s="53">
        <v>0.0</v>
      </c>
      <c r="N16" s="51">
        <v>0.0</v>
      </c>
      <c r="O16" s="53">
        <v>0.0</v>
      </c>
      <c r="P16" s="59">
        <f>iferror(O16/J16,"")</f>
        <v>0</v>
      </c>
      <c r="Q16" s="60">
        <f t="shared" si="16"/>
        <v>-228227</v>
      </c>
      <c r="R16" s="59">
        <f t="shared" si="17"/>
        <v>0</v>
      </c>
      <c r="S16" s="61">
        <f t="shared" si="18"/>
        <v>-1</v>
      </c>
    </row>
    <row r="17">
      <c r="A17" s="27"/>
      <c r="B17" s="51" t="s">
        <v>27</v>
      </c>
      <c r="C17" s="51">
        <v>4.0</v>
      </c>
      <c r="D17" s="62" t="s">
        <v>487</v>
      </c>
      <c r="E17" s="53">
        <v>23206.0</v>
      </c>
      <c r="F17" s="53">
        <v>1326.0</v>
      </c>
      <c r="G17" s="54">
        <f t="shared" si="19"/>
        <v>139.3084465</v>
      </c>
      <c r="H17" s="55">
        <f t="shared" si="13"/>
        <v>0.05714039473</v>
      </c>
      <c r="I17" s="56">
        <v>184723.0</v>
      </c>
      <c r="J17" s="51">
        <v>44.0</v>
      </c>
      <c r="K17" s="57">
        <f t="shared" si="14"/>
        <v>0.03318250377</v>
      </c>
      <c r="L17" s="58">
        <f t="shared" si="15"/>
        <v>4198.25</v>
      </c>
      <c r="M17" s="53">
        <v>480000.0</v>
      </c>
      <c r="N17" s="51">
        <v>2.0</v>
      </c>
      <c r="O17" s="53">
        <v>6.0</v>
      </c>
      <c r="P17" s="59">
        <f t="shared" ref="P17:P22" si="20">iferror(N17/J17,"")</f>
        <v>0.04545454545</v>
      </c>
      <c r="Q17" s="60">
        <f t="shared" si="16"/>
        <v>295277</v>
      </c>
      <c r="R17" s="59">
        <f t="shared" si="17"/>
        <v>2.5984853</v>
      </c>
      <c r="S17" s="61">
        <f t="shared" si="18"/>
        <v>1.5984853</v>
      </c>
    </row>
    <row r="18">
      <c r="A18" s="27"/>
      <c r="B18" s="51" t="s">
        <v>388</v>
      </c>
      <c r="C18" s="51" t="s">
        <v>474</v>
      </c>
      <c r="D18" s="88"/>
      <c r="E18" s="53"/>
      <c r="F18" s="53"/>
      <c r="G18" s="54" t="str">
        <f t="shared" si="19"/>
        <v/>
      </c>
      <c r="H18" s="55" t="str">
        <f t="shared" si="13"/>
        <v/>
      </c>
      <c r="I18" s="56"/>
      <c r="J18" s="51"/>
      <c r="K18" s="57" t="str">
        <f t="shared" si="14"/>
        <v/>
      </c>
      <c r="L18" s="58" t="str">
        <f t="shared" si="15"/>
        <v/>
      </c>
      <c r="M18" s="89"/>
      <c r="N18" s="90"/>
      <c r="O18" s="89"/>
      <c r="P18" s="59" t="str">
        <f t="shared" si="20"/>
        <v/>
      </c>
      <c r="Q18" s="60">
        <f t="shared" si="16"/>
        <v>0</v>
      </c>
      <c r="R18" s="59" t="str">
        <f t="shared" si="17"/>
        <v/>
      </c>
      <c r="S18" s="61" t="str">
        <f t="shared" si="18"/>
        <v/>
      </c>
    </row>
    <row r="19">
      <c r="A19" s="27"/>
      <c r="B19" s="51" t="s">
        <v>28</v>
      </c>
      <c r="C19" s="51" t="s">
        <v>474</v>
      </c>
      <c r="D19" s="63" t="s">
        <v>488</v>
      </c>
      <c r="E19" s="53">
        <v>10833.0</v>
      </c>
      <c r="F19" s="53">
        <v>508.0</v>
      </c>
      <c r="G19" s="54">
        <f t="shared" si="19"/>
        <v>445.0531496</v>
      </c>
      <c r="H19" s="55">
        <f t="shared" si="13"/>
        <v>0.04689375058</v>
      </c>
      <c r="I19" s="56">
        <v>226087.0</v>
      </c>
      <c r="J19" s="51">
        <v>55.0</v>
      </c>
      <c r="K19" s="57">
        <f t="shared" si="14"/>
        <v>0.1082677165</v>
      </c>
      <c r="L19" s="58">
        <f t="shared" si="15"/>
        <v>4110.672727</v>
      </c>
      <c r="M19" s="53">
        <v>480000.0</v>
      </c>
      <c r="N19" s="51">
        <v>2.0</v>
      </c>
      <c r="O19" s="53">
        <v>6.0</v>
      </c>
      <c r="P19" s="59">
        <f t="shared" si="20"/>
        <v>0.03636363636</v>
      </c>
      <c r="Q19" s="60">
        <f t="shared" si="16"/>
        <v>253913</v>
      </c>
      <c r="R19" s="59">
        <f t="shared" si="17"/>
        <v>2.123076515</v>
      </c>
      <c r="S19" s="61">
        <f t="shared" si="18"/>
        <v>1.123076515</v>
      </c>
    </row>
    <row r="20">
      <c r="A20" s="27"/>
      <c r="B20" s="51" t="s">
        <v>390</v>
      </c>
      <c r="C20" s="51" t="s">
        <v>474</v>
      </c>
      <c r="D20" s="91"/>
      <c r="E20" s="89"/>
      <c r="F20" s="89"/>
      <c r="G20" s="54" t="str">
        <f t="shared" si="19"/>
        <v/>
      </c>
      <c r="H20" s="55" t="str">
        <f t="shared" si="13"/>
        <v/>
      </c>
      <c r="I20" s="92"/>
      <c r="J20" s="90"/>
      <c r="K20" s="57" t="str">
        <f t="shared" si="14"/>
        <v/>
      </c>
      <c r="L20" s="58" t="str">
        <f t="shared" si="15"/>
        <v/>
      </c>
      <c r="M20" s="89"/>
      <c r="N20" s="90"/>
      <c r="O20" s="89"/>
      <c r="P20" s="59" t="str">
        <f t="shared" si="20"/>
        <v/>
      </c>
      <c r="Q20" s="60">
        <f t="shared" si="16"/>
        <v>0</v>
      </c>
      <c r="R20" s="59" t="str">
        <f t="shared" si="17"/>
        <v/>
      </c>
      <c r="S20" s="61" t="str">
        <f t="shared" si="18"/>
        <v/>
      </c>
    </row>
    <row r="21">
      <c r="A21" s="27"/>
      <c r="B21" s="51" t="s">
        <v>477</v>
      </c>
      <c r="C21" s="51" t="s">
        <v>474</v>
      </c>
      <c r="D21" s="91"/>
      <c r="E21" s="89"/>
      <c r="F21" s="89"/>
      <c r="G21" s="54" t="str">
        <f t="shared" si="19"/>
        <v/>
      </c>
      <c r="H21" s="55" t="str">
        <f t="shared" si="13"/>
        <v/>
      </c>
      <c r="I21" s="92"/>
      <c r="J21" s="90"/>
      <c r="K21" s="57" t="str">
        <f t="shared" si="14"/>
        <v/>
      </c>
      <c r="L21" s="58" t="str">
        <f t="shared" si="15"/>
        <v/>
      </c>
      <c r="M21" s="89"/>
      <c r="N21" s="90"/>
      <c r="O21" s="89"/>
      <c r="P21" s="59" t="str">
        <f t="shared" si="20"/>
        <v/>
      </c>
      <c r="Q21" s="60">
        <f t="shared" si="16"/>
        <v>0</v>
      </c>
      <c r="R21" s="59" t="str">
        <f t="shared" si="17"/>
        <v/>
      </c>
      <c r="S21" s="61" t="str">
        <f t="shared" si="18"/>
        <v/>
      </c>
    </row>
    <row r="22">
      <c r="A22" s="10"/>
      <c r="B22" s="51" t="s">
        <v>478</v>
      </c>
      <c r="C22" s="51" t="s">
        <v>474</v>
      </c>
      <c r="D22" s="91"/>
      <c r="E22" s="89"/>
      <c r="F22" s="89"/>
      <c r="G22" s="54" t="str">
        <f t="shared" si="19"/>
        <v/>
      </c>
      <c r="H22" s="55" t="str">
        <f t="shared" si="13"/>
        <v/>
      </c>
      <c r="I22" s="92"/>
      <c r="J22" s="90"/>
      <c r="K22" s="57" t="str">
        <f t="shared" si="14"/>
        <v/>
      </c>
      <c r="L22" s="58" t="str">
        <f t="shared" si="15"/>
        <v/>
      </c>
      <c r="M22" s="89"/>
      <c r="N22" s="90"/>
      <c r="O22" s="89"/>
      <c r="P22" s="59" t="str">
        <f t="shared" si="20"/>
        <v/>
      </c>
      <c r="Q22" s="60">
        <f t="shared" si="16"/>
        <v>0</v>
      </c>
      <c r="R22" s="59" t="str">
        <f t="shared" si="17"/>
        <v/>
      </c>
      <c r="S22" s="61" t="str">
        <f t="shared" si="18"/>
        <v/>
      </c>
    </row>
    <row r="23">
      <c r="A23" s="30" t="s">
        <v>29</v>
      </c>
      <c r="B23" s="31"/>
      <c r="C23" s="31"/>
      <c r="D23" s="31"/>
      <c r="E23" s="31"/>
      <c r="F23" s="32"/>
      <c r="G23" s="65">
        <f t="shared" ref="G23:H23" si="21">averageif(G15:G22,"&gt;0")</f>
        <v>326.9641059</v>
      </c>
      <c r="H23" s="66">
        <f t="shared" si="21"/>
        <v>0.06194408761</v>
      </c>
      <c r="I23" s="67"/>
      <c r="J23" s="68">
        <f>SUM(J15:J22)</f>
        <v>172</v>
      </c>
      <c r="K23" s="69">
        <f t="shared" ref="K23:L23" si="22">averageif(K15:K22,"&gt;0")</f>
        <v>0.0693432853</v>
      </c>
      <c r="L23" s="70">
        <f t="shared" si="22"/>
        <v>5272.616921</v>
      </c>
      <c r="M23" s="68">
        <f t="shared" ref="M23:O23" si="23">SUM(M15:M22)</f>
        <v>1080000</v>
      </c>
      <c r="N23" s="71">
        <f t="shared" si="23"/>
        <v>4</v>
      </c>
      <c r="O23" s="68">
        <f t="shared" si="23"/>
        <v>14</v>
      </c>
      <c r="P23" s="72">
        <f>averageif(P15:P22,"&gt;0")</f>
        <v>0.04090909091</v>
      </c>
      <c r="Q23" s="67"/>
      <c r="R23" s="72">
        <f t="shared" ref="R23:S23" si="24">averageif(R15:R22,"&gt;0")</f>
        <v>1.85867105</v>
      </c>
      <c r="S23" s="73">
        <f t="shared" si="24"/>
        <v>1.360780907</v>
      </c>
    </row>
    <row r="25">
      <c r="A25" s="1" t="s">
        <v>376</v>
      </c>
      <c r="B25" s="2" t="s">
        <v>1</v>
      </c>
      <c r="C25" s="96" t="s">
        <v>2</v>
      </c>
      <c r="D25" s="4"/>
      <c r="E25" s="4"/>
      <c r="F25" s="4"/>
      <c r="G25" s="4"/>
      <c r="H25" s="4"/>
      <c r="I25" s="5"/>
      <c r="J25" s="6" t="s">
        <v>3</v>
      </c>
      <c r="K25" s="4"/>
      <c r="L25" s="5"/>
      <c r="M25" s="7" t="s">
        <v>4</v>
      </c>
      <c r="N25" s="4"/>
      <c r="O25" s="4"/>
      <c r="P25" s="4"/>
      <c r="Q25" s="4"/>
      <c r="R25" s="4"/>
      <c r="S25" s="8"/>
    </row>
    <row r="26">
      <c r="A26" s="10"/>
      <c r="B26" s="11"/>
      <c r="C26" s="13" t="s">
        <v>465</v>
      </c>
      <c r="D26" s="12" t="s">
        <v>5</v>
      </c>
      <c r="E26" s="12" t="s">
        <v>6</v>
      </c>
      <c r="F26" s="12" t="s">
        <v>7</v>
      </c>
      <c r="G26" s="12" t="s">
        <v>489</v>
      </c>
      <c r="H26" s="12" t="s">
        <v>490</v>
      </c>
      <c r="I26" s="12" t="s">
        <v>10</v>
      </c>
      <c r="J26" s="12" t="s">
        <v>11</v>
      </c>
      <c r="K26" s="12" t="s">
        <v>491</v>
      </c>
      <c r="L26" s="12" t="s">
        <v>492</v>
      </c>
      <c r="M26" s="12" t="s">
        <v>16</v>
      </c>
      <c r="N26" s="12" t="s">
        <v>223</v>
      </c>
      <c r="O26" s="12" t="s">
        <v>226</v>
      </c>
      <c r="P26" s="12" t="s">
        <v>493</v>
      </c>
      <c r="Q26" s="12" t="s">
        <v>20</v>
      </c>
      <c r="R26" s="12" t="s">
        <v>494</v>
      </c>
      <c r="S26" s="14" t="s">
        <v>495</v>
      </c>
    </row>
    <row r="27">
      <c r="A27" s="15" t="s">
        <v>496</v>
      </c>
      <c r="B27" s="51" t="s">
        <v>24</v>
      </c>
      <c r="C27" s="51" t="s">
        <v>474</v>
      </c>
      <c r="D27" s="52">
        <v>45527.0</v>
      </c>
      <c r="E27" s="53">
        <v>4023.0</v>
      </c>
      <c r="F27" s="53">
        <v>321.0</v>
      </c>
      <c r="G27" s="74">
        <v>319.0</v>
      </c>
      <c r="H27" s="55">
        <f t="shared" ref="H27:H34" si="25">iferror(F27/E27,"")</f>
        <v>0.0797912006</v>
      </c>
      <c r="I27" s="56">
        <v>102412.0</v>
      </c>
      <c r="J27" s="51">
        <v>14.0</v>
      </c>
      <c r="K27" s="57">
        <f t="shared" ref="K27:K34" si="26">iferror(J27/F27,"")</f>
        <v>0.04361370717</v>
      </c>
      <c r="L27" s="58">
        <f t="shared" ref="L27:L34" si="27">iferror(I27/J27,"")</f>
        <v>7315.142857</v>
      </c>
      <c r="M27" s="53">
        <v>720000.0</v>
      </c>
      <c r="N27" s="51">
        <v>1.0</v>
      </c>
      <c r="O27" s="53">
        <v>12.0</v>
      </c>
      <c r="P27" s="59">
        <f t="shared" ref="P27:P34" si="28">iferror(N27/J27,"")</f>
        <v>0.07142857143</v>
      </c>
      <c r="Q27" s="60">
        <f t="shared" ref="Q27:Q34" si="29">iferror(M27-I27,"")</f>
        <v>617588</v>
      </c>
      <c r="R27" s="59">
        <f t="shared" ref="R27:R34" si="30">iferror(M27/I27,"")</f>
        <v>7.030426122</v>
      </c>
      <c r="S27" s="61">
        <f t="shared" ref="S27:S34" si="31">iferror(Q27/I27,"")</f>
        <v>6.030426122</v>
      </c>
    </row>
    <row r="28">
      <c r="A28" s="27"/>
      <c r="B28" s="51" t="s">
        <v>25</v>
      </c>
      <c r="C28" s="51" t="s">
        <v>474</v>
      </c>
      <c r="D28" s="52">
        <v>45527.0</v>
      </c>
      <c r="E28" s="53">
        <v>6486.0</v>
      </c>
      <c r="F28" s="53">
        <v>371.0</v>
      </c>
      <c r="G28" s="54">
        <f t="shared" ref="G28:G34" si="32">iferror(I28/F28,"")</f>
        <v>366.2075472</v>
      </c>
      <c r="H28" s="55">
        <f t="shared" si="25"/>
        <v>0.05720012334</v>
      </c>
      <c r="I28" s="56">
        <v>135863.0</v>
      </c>
      <c r="J28" s="51">
        <v>26.0</v>
      </c>
      <c r="K28" s="57">
        <f t="shared" si="26"/>
        <v>0.07008086253</v>
      </c>
      <c r="L28" s="58">
        <f t="shared" si="27"/>
        <v>5225.5</v>
      </c>
      <c r="M28" s="53">
        <v>120000.0</v>
      </c>
      <c r="N28" s="51">
        <v>2.0</v>
      </c>
      <c r="O28" s="53">
        <v>2.0</v>
      </c>
      <c r="P28" s="59">
        <f t="shared" si="28"/>
        <v>0.07692307692</v>
      </c>
      <c r="Q28" s="60">
        <f t="shared" si="29"/>
        <v>-15863</v>
      </c>
      <c r="R28" s="59">
        <f t="shared" si="30"/>
        <v>0.8832426783</v>
      </c>
      <c r="S28" s="61">
        <f t="shared" si="31"/>
        <v>-0.1167573217</v>
      </c>
    </row>
    <row r="29">
      <c r="A29" s="27"/>
      <c r="B29" s="51" t="s">
        <v>27</v>
      </c>
      <c r="C29" s="51" t="s">
        <v>474</v>
      </c>
      <c r="D29" s="62" t="s">
        <v>497</v>
      </c>
      <c r="E29" s="53">
        <v>13568.0</v>
      </c>
      <c r="F29" s="53">
        <v>744.0</v>
      </c>
      <c r="G29" s="54">
        <f t="shared" si="32"/>
        <v>121.1021505</v>
      </c>
      <c r="H29" s="55">
        <f t="shared" si="25"/>
        <v>0.05483490566</v>
      </c>
      <c r="I29" s="56">
        <v>90100.0</v>
      </c>
      <c r="J29" s="51">
        <v>6.0</v>
      </c>
      <c r="K29" s="57">
        <f t="shared" si="26"/>
        <v>0.008064516129</v>
      </c>
      <c r="L29" s="58">
        <f t="shared" si="27"/>
        <v>15016.66667</v>
      </c>
      <c r="M29" s="53"/>
      <c r="N29" s="51"/>
      <c r="O29" s="53"/>
      <c r="P29" s="59">
        <f t="shared" si="28"/>
        <v>0</v>
      </c>
      <c r="Q29" s="60">
        <f t="shared" si="29"/>
        <v>-90100</v>
      </c>
      <c r="R29" s="59">
        <f t="shared" si="30"/>
        <v>0</v>
      </c>
      <c r="S29" s="61">
        <f t="shared" si="31"/>
        <v>-1</v>
      </c>
    </row>
    <row r="30">
      <c r="A30" s="27"/>
      <c r="B30" s="51" t="s">
        <v>388</v>
      </c>
      <c r="C30" s="51" t="s">
        <v>474</v>
      </c>
      <c r="D30" s="88"/>
      <c r="E30" s="53"/>
      <c r="F30" s="53"/>
      <c r="G30" s="54" t="str">
        <f t="shared" si="32"/>
        <v/>
      </c>
      <c r="H30" s="55" t="str">
        <f t="shared" si="25"/>
        <v/>
      </c>
      <c r="I30" s="56"/>
      <c r="J30" s="51"/>
      <c r="K30" s="57" t="str">
        <f t="shared" si="26"/>
        <v/>
      </c>
      <c r="L30" s="58" t="str">
        <f t="shared" si="27"/>
        <v/>
      </c>
      <c r="M30" s="89"/>
      <c r="N30" s="90"/>
      <c r="O30" s="89"/>
      <c r="P30" s="59" t="str">
        <f t="shared" si="28"/>
        <v/>
      </c>
      <c r="Q30" s="60">
        <f t="shared" si="29"/>
        <v>0</v>
      </c>
      <c r="R30" s="59" t="str">
        <f t="shared" si="30"/>
        <v/>
      </c>
      <c r="S30" s="61" t="str">
        <f t="shared" si="31"/>
        <v/>
      </c>
    </row>
    <row r="31">
      <c r="A31" s="27"/>
      <c r="B31" s="51" t="s">
        <v>28</v>
      </c>
      <c r="C31" s="51" t="s">
        <v>474</v>
      </c>
      <c r="D31" s="63" t="s">
        <v>498</v>
      </c>
      <c r="E31" s="53">
        <v>9052.0</v>
      </c>
      <c r="F31" s="53">
        <v>434.0</v>
      </c>
      <c r="G31" s="54">
        <f t="shared" si="32"/>
        <v>388.5460829</v>
      </c>
      <c r="H31" s="55">
        <f t="shared" si="25"/>
        <v>0.04794520548</v>
      </c>
      <c r="I31" s="56">
        <v>168629.0</v>
      </c>
      <c r="J31" s="51">
        <v>43.0</v>
      </c>
      <c r="K31" s="57">
        <f t="shared" si="26"/>
        <v>0.09907834101</v>
      </c>
      <c r="L31" s="58">
        <f t="shared" si="27"/>
        <v>3921.604651</v>
      </c>
      <c r="M31" s="53">
        <v>300000.0</v>
      </c>
      <c r="N31" s="51">
        <v>2.0</v>
      </c>
      <c r="O31" s="53">
        <v>6.0</v>
      </c>
      <c r="P31" s="59">
        <f t="shared" si="28"/>
        <v>0.04651162791</v>
      </c>
      <c r="Q31" s="60">
        <f t="shared" si="29"/>
        <v>131371</v>
      </c>
      <c r="R31" s="59">
        <f t="shared" si="30"/>
        <v>1.779053425</v>
      </c>
      <c r="S31" s="61">
        <f t="shared" si="31"/>
        <v>0.779053425</v>
      </c>
    </row>
    <row r="32">
      <c r="A32" s="27"/>
      <c r="B32" s="51" t="s">
        <v>390</v>
      </c>
      <c r="C32" s="51" t="s">
        <v>474</v>
      </c>
      <c r="D32" s="91"/>
      <c r="E32" s="89"/>
      <c r="F32" s="89"/>
      <c r="G32" s="54" t="str">
        <f t="shared" si="32"/>
        <v/>
      </c>
      <c r="H32" s="55" t="str">
        <f t="shared" si="25"/>
        <v/>
      </c>
      <c r="I32" s="92"/>
      <c r="J32" s="90"/>
      <c r="K32" s="57" t="str">
        <f t="shared" si="26"/>
        <v/>
      </c>
      <c r="L32" s="58" t="str">
        <f t="shared" si="27"/>
        <v/>
      </c>
      <c r="M32" s="89"/>
      <c r="N32" s="90"/>
      <c r="O32" s="89"/>
      <c r="P32" s="59" t="str">
        <f t="shared" si="28"/>
        <v/>
      </c>
      <c r="Q32" s="60">
        <f t="shared" si="29"/>
        <v>0</v>
      </c>
      <c r="R32" s="59" t="str">
        <f t="shared" si="30"/>
        <v/>
      </c>
      <c r="S32" s="61" t="str">
        <f t="shared" si="31"/>
        <v/>
      </c>
    </row>
    <row r="33">
      <c r="A33" s="27"/>
      <c r="B33" s="51" t="s">
        <v>477</v>
      </c>
      <c r="C33" s="51" t="s">
        <v>474</v>
      </c>
      <c r="D33" s="91"/>
      <c r="E33" s="89"/>
      <c r="F33" s="89"/>
      <c r="G33" s="54" t="str">
        <f t="shared" si="32"/>
        <v/>
      </c>
      <c r="H33" s="55" t="str">
        <f t="shared" si="25"/>
        <v/>
      </c>
      <c r="I33" s="92"/>
      <c r="J33" s="90"/>
      <c r="K33" s="57" t="str">
        <f t="shared" si="26"/>
        <v/>
      </c>
      <c r="L33" s="58" t="str">
        <f t="shared" si="27"/>
        <v/>
      </c>
      <c r="M33" s="89"/>
      <c r="N33" s="90"/>
      <c r="O33" s="89"/>
      <c r="P33" s="59" t="str">
        <f t="shared" si="28"/>
        <v/>
      </c>
      <c r="Q33" s="60">
        <f t="shared" si="29"/>
        <v>0</v>
      </c>
      <c r="R33" s="59" t="str">
        <f t="shared" si="30"/>
        <v/>
      </c>
      <c r="S33" s="61" t="str">
        <f t="shared" si="31"/>
        <v/>
      </c>
    </row>
    <row r="34">
      <c r="A34" s="10"/>
      <c r="B34" s="51" t="s">
        <v>478</v>
      </c>
      <c r="C34" s="51" t="s">
        <v>474</v>
      </c>
      <c r="D34" s="91"/>
      <c r="E34" s="89"/>
      <c r="F34" s="89"/>
      <c r="G34" s="54" t="str">
        <f t="shared" si="32"/>
        <v/>
      </c>
      <c r="H34" s="55" t="str">
        <f t="shared" si="25"/>
        <v/>
      </c>
      <c r="I34" s="92"/>
      <c r="J34" s="90"/>
      <c r="K34" s="57" t="str">
        <f t="shared" si="26"/>
        <v/>
      </c>
      <c r="L34" s="58" t="str">
        <f t="shared" si="27"/>
        <v/>
      </c>
      <c r="M34" s="89"/>
      <c r="N34" s="90"/>
      <c r="O34" s="89"/>
      <c r="P34" s="59" t="str">
        <f t="shared" si="28"/>
        <v/>
      </c>
      <c r="Q34" s="60">
        <f t="shared" si="29"/>
        <v>0</v>
      </c>
      <c r="R34" s="59" t="str">
        <f t="shared" si="30"/>
        <v/>
      </c>
      <c r="S34" s="61" t="str">
        <f t="shared" si="31"/>
        <v/>
      </c>
    </row>
    <row r="35">
      <c r="A35" s="30" t="s">
        <v>29</v>
      </c>
      <c r="B35" s="31"/>
      <c r="C35" s="31"/>
      <c r="D35" s="31"/>
      <c r="E35" s="31"/>
      <c r="F35" s="32"/>
      <c r="G35" s="65">
        <f t="shared" ref="G35:H35" si="33">averageif(G27:G34,"&gt;0")</f>
        <v>298.7139452</v>
      </c>
      <c r="H35" s="66">
        <f t="shared" si="33"/>
        <v>0.05994285877</v>
      </c>
      <c r="I35" s="67"/>
      <c r="J35" s="68">
        <f>SUM(J27:J34)</f>
        <v>89</v>
      </c>
      <c r="K35" s="69">
        <f t="shared" ref="K35:L35" si="34">averageif(K27:K34,"&gt;0")</f>
        <v>0.05520935671</v>
      </c>
      <c r="L35" s="70">
        <f t="shared" si="34"/>
        <v>7869.728544</v>
      </c>
      <c r="M35" s="68">
        <f t="shared" ref="M35:O35" si="35">SUM(M27:M34)</f>
        <v>1140000</v>
      </c>
      <c r="N35" s="71">
        <f t="shared" si="35"/>
        <v>5</v>
      </c>
      <c r="O35" s="68">
        <f t="shared" si="35"/>
        <v>20</v>
      </c>
      <c r="P35" s="72">
        <f>averageif(P27:P34,"&gt;0")</f>
        <v>0.06495442542</v>
      </c>
      <c r="Q35" s="67"/>
      <c r="R35" s="72">
        <f t="shared" ref="R35:S35" si="36">averageif(R27:R34,"&gt;0")</f>
        <v>3.230907408</v>
      </c>
      <c r="S35" s="73">
        <f t="shared" si="36"/>
        <v>3.404739773</v>
      </c>
    </row>
    <row r="37">
      <c r="A37" s="1" t="s">
        <v>376</v>
      </c>
      <c r="B37" s="2" t="s">
        <v>1</v>
      </c>
      <c r="C37" s="96" t="s">
        <v>2</v>
      </c>
      <c r="D37" s="4"/>
      <c r="E37" s="4"/>
      <c r="F37" s="4"/>
      <c r="G37" s="4"/>
      <c r="H37" s="4"/>
      <c r="I37" s="5"/>
      <c r="J37" s="6" t="s">
        <v>3</v>
      </c>
      <c r="K37" s="4"/>
      <c r="L37" s="5"/>
      <c r="M37" s="7" t="s">
        <v>4</v>
      </c>
      <c r="N37" s="4"/>
      <c r="O37" s="4"/>
      <c r="P37" s="4"/>
      <c r="Q37" s="4"/>
      <c r="R37" s="4"/>
      <c r="S37" s="8"/>
    </row>
    <row r="38">
      <c r="A38" s="10"/>
      <c r="B38" s="11"/>
      <c r="C38" s="13" t="s">
        <v>465</v>
      </c>
      <c r="D38" s="12" t="s">
        <v>5</v>
      </c>
      <c r="E38" s="12" t="s">
        <v>6</v>
      </c>
      <c r="F38" s="12" t="s">
        <v>7</v>
      </c>
      <c r="G38" s="12" t="s">
        <v>499</v>
      </c>
      <c r="H38" s="12" t="s">
        <v>500</v>
      </c>
      <c r="I38" s="12" t="s">
        <v>10</v>
      </c>
      <c r="J38" s="12" t="s">
        <v>11</v>
      </c>
      <c r="K38" s="12" t="s">
        <v>501</v>
      </c>
      <c r="L38" s="12" t="s">
        <v>502</v>
      </c>
      <c r="M38" s="12" t="s">
        <v>16</v>
      </c>
      <c r="N38" s="12" t="s">
        <v>223</v>
      </c>
      <c r="O38" s="12" t="s">
        <v>226</v>
      </c>
      <c r="P38" s="12" t="s">
        <v>503</v>
      </c>
      <c r="Q38" s="12" t="s">
        <v>20</v>
      </c>
      <c r="R38" s="12" t="s">
        <v>504</v>
      </c>
      <c r="S38" s="14" t="s">
        <v>505</v>
      </c>
    </row>
    <row r="39">
      <c r="A39" s="15" t="s">
        <v>506</v>
      </c>
      <c r="B39" s="51" t="s">
        <v>24</v>
      </c>
      <c r="C39" s="51" t="s">
        <v>474</v>
      </c>
      <c r="D39" s="52"/>
      <c r="E39" s="53"/>
      <c r="F39" s="53"/>
      <c r="G39" s="74"/>
      <c r="H39" s="55" t="str">
        <f t="shared" ref="H39:H46" si="37">iferror(F39/E39,"")</f>
        <v/>
      </c>
      <c r="I39" s="56"/>
      <c r="J39" s="51"/>
      <c r="K39" s="57" t="str">
        <f t="shared" ref="K39:K46" si="38">iferror(J39/F39,"")</f>
        <v/>
      </c>
      <c r="L39" s="58" t="str">
        <f t="shared" ref="L39:L46" si="39">iferror(I39/J39,"")</f>
        <v/>
      </c>
      <c r="M39" s="53"/>
      <c r="N39" s="51"/>
      <c r="O39" s="53"/>
      <c r="P39" s="59" t="str">
        <f>iferror(N39/J39,"")</f>
        <v/>
      </c>
      <c r="Q39" s="60">
        <f t="shared" ref="Q39:Q46" si="40">iferror(M39-I39,"")</f>
        <v>0</v>
      </c>
      <c r="R39" s="59" t="str">
        <f t="shared" ref="R39:R46" si="41">iferror(M39/I39,"")</f>
        <v/>
      </c>
      <c r="S39" s="61" t="str">
        <f t="shared" ref="S39:S46" si="42">iferror(Q39/I39,"")</f>
        <v/>
      </c>
    </row>
    <row r="40">
      <c r="A40" s="27"/>
      <c r="B40" s="51" t="s">
        <v>25</v>
      </c>
      <c r="C40" s="51" t="s">
        <v>474</v>
      </c>
      <c r="D40" s="52">
        <v>45531.0</v>
      </c>
      <c r="E40" s="53">
        <v>0.0</v>
      </c>
      <c r="F40" s="53">
        <v>0.0</v>
      </c>
      <c r="G40" s="54" t="str">
        <f t="shared" ref="G40:G46" si="43">iferror(I40/F40,"")</f>
        <v/>
      </c>
      <c r="H40" s="55" t="str">
        <f t="shared" si="37"/>
        <v/>
      </c>
      <c r="I40" s="56">
        <v>0.0</v>
      </c>
      <c r="J40" s="51">
        <v>1.0</v>
      </c>
      <c r="K40" s="57" t="str">
        <f t="shared" si="38"/>
        <v/>
      </c>
      <c r="L40" s="58">
        <f t="shared" si="39"/>
        <v>0</v>
      </c>
      <c r="M40" s="53">
        <v>120000.0</v>
      </c>
      <c r="N40" s="51">
        <v>1.0</v>
      </c>
      <c r="O40" s="53">
        <v>2.0</v>
      </c>
      <c r="P40" s="59">
        <f>iferror(O40/J40,"")</f>
        <v>2</v>
      </c>
      <c r="Q40" s="60">
        <f t="shared" si="40"/>
        <v>120000</v>
      </c>
      <c r="R40" s="59" t="str">
        <f t="shared" si="41"/>
        <v/>
      </c>
      <c r="S40" s="61" t="str">
        <f t="shared" si="42"/>
        <v/>
      </c>
    </row>
    <row r="41">
      <c r="A41" s="27"/>
      <c r="B41" s="51" t="s">
        <v>27</v>
      </c>
      <c r="C41" s="51"/>
      <c r="D41" s="62"/>
      <c r="E41" s="53"/>
      <c r="F41" s="53"/>
      <c r="G41" s="54" t="str">
        <f t="shared" si="43"/>
        <v/>
      </c>
      <c r="H41" s="55" t="str">
        <f t="shared" si="37"/>
        <v/>
      </c>
      <c r="I41" s="56"/>
      <c r="J41" s="51"/>
      <c r="K41" s="57" t="str">
        <f t="shared" si="38"/>
        <v/>
      </c>
      <c r="L41" s="58" t="str">
        <f t="shared" si="39"/>
        <v/>
      </c>
      <c r="M41" s="53"/>
      <c r="N41" s="51"/>
      <c r="O41" s="53"/>
      <c r="P41" s="59" t="str">
        <f t="shared" ref="P41:P46" si="44">iferror(N41/J41,"")</f>
        <v/>
      </c>
      <c r="Q41" s="60">
        <f t="shared" si="40"/>
        <v>0</v>
      </c>
      <c r="R41" s="59" t="str">
        <f t="shared" si="41"/>
        <v/>
      </c>
      <c r="S41" s="61" t="str">
        <f t="shared" si="42"/>
        <v/>
      </c>
    </row>
    <row r="42">
      <c r="A42" s="27"/>
      <c r="B42" s="51" t="s">
        <v>388</v>
      </c>
      <c r="C42" s="51" t="s">
        <v>474</v>
      </c>
      <c r="D42" s="88"/>
      <c r="E42" s="53"/>
      <c r="F42" s="53"/>
      <c r="G42" s="54" t="str">
        <f t="shared" si="43"/>
        <v/>
      </c>
      <c r="H42" s="55" t="str">
        <f t="shared" si="37"/>
        <v/>
      </c>
      <c r="I42" s="56"/>
      <c r="J42" s="51"/>
      <c r="K42" s="57" t="str">
        <f t="shared" si="38"/>
        <v/>
      </c>
      <c r="L42" s="58" t="str">
        <f t="shared" si="39"/>
        <v/>
      </c>
      <c r="M42" s="89"/>
      <c r="N42" s="90"/>
      <c r="O42" s="89"/>
      <c r="P42" s="59" t="str">
        <f t="shared" si="44"/>
        <v/>
      </c>
      <c r="Q42" s="60">
        <f t="shared" si="40"/>
        <v>0</v>
      </c>
      <c r="R42" s="59" t="str">
        <f t="shared" si="41"/>
        <v/>
      </c>
      <c r="S42" s="61" t="str">
        <f t="shared" si="42"/>
        <v/>
      </c>
    </row>
    <row r="43">
      <c r="A43" s="27"/>
      <c r="B43" s="51" t="s">
        <v>28</v>
      </c>
      <c r="C43" s="51" t="s">
        <v>474</v>
      </c>
      <c r="D43" s="97"/>
      <c r="E43" s="53"/>
      <c r="F43" s="53"/>
      <c r="G43" s="54" t="str">
        <f t="shared" si="43"/>
        <v/>
      </c>
      <c r="H43" s="55" t="str">
        <f t="shared" si="37"/>
        <v/>
      </c>
      <c r="I43" s="56"/>
      <c r="J43" s="51"/>
      <c r="K43" s="57" t="str">
        <f t="shared" si="38"/>
        <v/>
      </c>
      <c r="L43" s="58" t="str">
        <f t="shared" si="39"/>
        <v/>
      </c>
      <c r="M43" s="53"/>
      <c r="N43" s="51"/>
      <c r="O43" s="89"/>
      <c r="P43" s="59" t="str">
        <f t="shared" si="44"/>
        <v/>
      </c>
      <c r="Q43" s="60">
        <f t="shared" si="40"/>
        <v>0</v>
      </c>
      <c r="R43" s="59" t="str">
        <f t="shared" si="41"/>
        <v/>
      </c>
      <c r="S43" s="61" t="str">
        <f t="shared" si="42"/>
        <v/>
      </c>
    </row>
    <row r="44">
      <c r="A44" s="27"/>
      <c r="B44" s="51" t="s">
        <v>390</v>
      </c>
      <c r="C44" s="51" t="s">
        <v>474</v>
      </c>
      <c r="D44" s="91"/>
      <c r="E44" s="89"/>
      <c r="F44" s="89"/>
      <c r="G44" s="54" t="str">
        <f t="shared" si="43"/>
        <v/>
      </c>
      <c r="H44" s="55" t="str">
        <f t="shared" si="37"/>
        <v/>
      </c>
      <c r="I44" s="92"/>
      <c r="J44" s="90"/>
      <c r="K44" s="57" t="str">
        <f t="shared" si="38"/>
        <v/>
      </c>
      <c r="L44" s="58" t="str">
        <f t="shared" si="39"/>
        <v/>
      </c>
      <c r="M44" s="89"/>
      <c r="N44" s="90"/>
      <c r="O44" s="89"/>
      <c r="P44" s="59" t="str">
        <f t="shared" si="44"/>
        <v/>
      </c>
      <c r="Q44" s="60">
        <f t="shared" si="40"/>
        <v>0</v>
      </c>
      <c r="R44" s="59" t="str">
        <f t="shared" si="41"/>
        <v/>
      </c>
      <c r="S44" s="61" t="str">
        <f t="shared" si="42"/>
        <v/>
      </c>
    </row>
    <row r="45">
      <c r="A45" s="27"/>
      <c r="B45" s="51" t="s">
        <v>477</v>
      </c>
      <c r="C45" s="51" t="s">
        <v>474</v>
      </c>
      <c r="D45" s="91"/>
      <c r="E45" s="89"/>
      <c r="F45" s="89"/>
      <c r="G45" s="54" t="str">
        <f t="shared" si="43"/>
        <v/>
      </c>
      <c r="H45" s="55" t="str">
        <f t="shared" si="37"/>
        <v/>
      </c>
      <c r="I45" s="92"/>
      <c r="J45" s="90"/>
      <c r="K45" s="57" t="str">
        <f t="shared" si="38"/>
        <v/>
      </c>
      <c r="L45" s="58" t="str">
        <f t="shared" si="39"/>
        <v/>
      </c>
      <c r="M45" s="89"/>
      <c r="N45" s="90"/>
      <c r="O45" s="89"/>
      <c r="P45" s="59" t="str">
        <f t="shared" si="44"/>
        <v/>
      </c>
      <c r="Q45" s="60">
        <f t="shared" si="40"/>
        <v>0</v>
      </c>
      <c r="R45" s="59" t="str">
        <f t="shared" si="41"/>
        <v/>
      </c>
      <c r="S45" s="61" t="str">
        <f t="shared" si="42"/>
        <v/>
      </c>
    </row>
    <row r="46">
      <c r="A46" s="10"/>
      <c r="B46" s="51" t="s">
        <v>478</v>
      </c>
      <c r="C46" s="51" t="s">
        <v>474</v>
      </c>
      <c r="D46" s="91"/>
      <c r="E46" s="89"/>
      <c r="F46" s="89"/>
      <c r="G46" s="54" t="str">
        <f t="shared" si="43"/>
        <v/>
      </c>
      <c r="H46" s="55" t="str">
        <f t="shared" si="37"/>
        <v/>
      </c>
      <c r="I46" s="92"/>
      <c r="J46" s="90"/>
      <c r="K46" s="57" t="str">
        <f t="shared" si="38"/>
        <v/>
      </c>
      <c r="L46" s="58" t="str">
        <f t="shared" si="39"/>
        <v/>
      </c>
      <c r="M46" s="89"/>
      <c r="N46" s="90"/>
      <c r="O46" s="89"/>
      <c r="P46" s="59" t="str">
        <f t="shared" si="44"/>
        <v/>
      </c>
      <c r="Q46" s="60">
        <f t="shared" si="40"/>
        <v>0</v>
      </c>
      <c r="R46" s="59" t="str">
        <f t="shared" si="41"/>
        <v/>
      </c>
      <c r="S46" s="61" t="str">
        <f t="shared" si="42"/>
        <v/>
      </c>
    </row>
    <row r="47">
      <c r="A47" s="30" t="s">
        <v>29</v>
      </c>
      <c r="B47" s="31"/>
      <c r="C47" s="31"/>
      <c r="D47" s="31"/>
      <c r="E47" s="31"/>
      <c r="F47" s="32"/>
      <c r="G47" s="65" t="str">
        <f t="shared" ref="G47:H47" si="45">averageif(G39:G46,"&gt;0")</f>
        <v>#DIV/0!</v>
      </c>
      <c r="H47" s="66" t="str">
        <f t="shared" si="45"/>
        <v>#DIV/0!</v>
      </c>
      <c r="I47" s="67"/>
      <c r="J47" s="68">
        <f>SUM(J39:J46)</f>
        <v>1</v>
      </c>
      <c r="K47" s="69" t="str">
        <f t="shared" ref="K47:L47" si="46">averageif(K39:K46,"&gt;0")</f>
        <v>#DIV/0!</v>
      </c>
      <c r="L47" s="70" t="str">
        <f t="shared" si="46"/>
        <v>#DIV/0!</v>
      </c>
      <c r="M47" s="68">
        <f t="shared" ref="M47:O47" si="47">SUM(M39:M46)</f>
        <v>120000</v>
      </c>
      <c r="N47" s="71">
        <f t="shared" si="47"/>
        <v>1</v>
      </c>
      <c r="O47" s="68">
        <f t="shared" si="47"/>
        <v>2</v>
      </c>
      <c r="P47" s="72">
        <f>averageif(P39:P46,"&gt;0")</f>
        <v>2</v>
      </c>
      <c r="Q47" s="67"/>
      <c r="R47" s="72" t="str">
        <f t="shared" ref="R47:S47" si="48">averageif(R39:R46,"&gt;0")</f>
        <v>#DIV/0!</v>
      </c>
      <c r="S47" s="73" t="str">
        <f t="shared" si="48"/>
        <v>#DIV/0!</v>
      </c>
    </row>
    <row r="49">
      <c r="A49" s="98" t="s">
        <v>507</v>
      </c>
      <c r="B49" s="2" t="s">
        <v>1</v>
      </c>
      <c r="C49" s="96" t="s">
        <v>2</v>
      </c>
      <c r="D49" s="4"/>
      <c r="E49" s="4"/>
      <c r="F49" s="4"/>
      <c r="G49" s="4"/>
      <c r="H49" s="4"/>
      <c r="I49" s="5"/>
      <c r="J49" s="6" t="s">
        <v>3</v>
      </c>
      <c r="K49" s="4"/>
      <c r="L49" s="5"/>
      <c r="M49" s="7" t="s">
        <v>4</v>
      </c>
      <c r="N49" s="4"/>
      <c r="O49" s="4"/>
      <c r="P49" s="4"/>
      <c r="Q49" s="4"/>
      <c r="R49" s="4"/>
      <c r="S49" s="8"/>
    </row>
    <row r="50">
      <c r="A50" s="27"/>
      <c r="B50" s="11"/>
      <c r="C50" s="13" t="s">
        <v>465</v>
      </c>
      <c r="D50" s="12" t="s">
        <v>5</v>
      </c>
      <c r="E50" s="12" t="s">
        <v>6</v>
      </c>
      <c r="F50" s="12" t="s">
        <v>7</v>
      </c>
      <c r="G50" s="12" t="s">
        <v>508</v>
      </c>
      <c r="H50" s="12" t="s">
        <v>509</v>
      </c>
      <c r="I50" s="12" t="s">
        <v>510</v>
      </c>
      <c r="J50" s="12" t="s">
        <v>11</v>
      </c>
      <c r="K50" s="12" t="s">
        <v>511</v>
      </c>
      <c r="L50" s="12" t="s">
        <v>512</v>
      </c>
      <c r="M50" s="12" t="s">
        <v>16</v>
      </c>
      <c r="N50" s="12" t="s">
        <v>223</v>
      </c>
      <c r="O50" s="12" t="s">
        <v>226</v>
      </c>
      <c r="P50" s="12" t="s">
        <v>513</v>
      </c>
      <c r="Q50" s="12" t="s">
        <v>20</v>
      </c>
      <c r="R50" s="12" t="s">
        <v>514</v>
      </c>
      <c r="S50" s="14" t="s">
        <v>515</v>
      </c>
    </row>
    <row r="51">
      <c r="A51" s="27"/>
      <c r="B51" s="51" t="s">
        <v>24</v>
      </c>
      <c r="C51" s="51" t="s">
        <v>474</v>
      </c>
      <c r="D51" s="52"/>
      <c r="E51" s="53">
        <f t="shared" ref="E51:F51" si="49">SUM(E3,E15,E27,E39)</f>
        <v>11965</v>
      </c>
      <c r="F51" s="53">
        <f t="shared" si="49"/>
        <v>1023</v>
      </c>
      <c r="G51" s="54">
        <f t="shared" ref="G51:G58" si="53">iferror(I51/F51,"")</f>
        <v>341.0195503</v>
      </c>
      <c r="H51" s="55">
        <f t="shared" ref="H51:H58" si="54">iferror(F51/E51,"")</f>
        <v>0.08549937317</v>
      </c>
      <c r="I51" s="99">
        <f t="shared" ref="I51:J51" si="50">SUM(I3,I15,I27,I39)</f>
        <v>348863</v>
      </c>
      <c r="J51" s="53">
        <f t="shared" si="50"/>
        <v>62</v>
      </c>
      <c r="K51" s="57">
        <f t="shared" ref="K51:K58" si="56">iferror(J51/F51,"")</f>
        <v>0.06060606061</v>
      </c>
      <c r="L51" s="58">
        <f t="shared" ref="L51:L58" si="57">iferror(I51/J51,"")</f>
        <v>5626.822581</v>
      </c>
      <c r="M51" s="53">
        <f t="shared" ref="M51:O51" si="51">SUM(M3,M15,M27,M39)</f>
        <v>1980000</v>
      </c>
      <c r="N51" s="53">
        <f t="shared" si="51"/>
        <v>3</v>
      </c>
      <c r="O51" s="53">
        <f t="shared" si="51"/>
        <v>30</v>
      </c>
      <c r="P51" s="59">
        <f t="shared" ref="P51:P58" si="59">iferror(N51/J51,"")</f>
        <v>0.04838709677</v>
      </c>
      <c r="Q51" s="60">
        <f t="shared" ref="Q51:Q58" si="60">iferror(M51-I51,"")</f>
        <v>1631137</v>
      </c>
      <c r="R51" s="100">
        <f t="shared" ref="R51:R58" si="61">iferror(M51/I51,"")</f>
        <v>5.675580385</v>
      </c>
      <c r="S51" s="101">
        <f t="shared" ref="S51:S58" si="62">iferror(Q51/I51,"")</f>
        <v>4.675580385</v>
      </c>
    </row>
    <row r="52">
      <c r="A52" s="27"/>
      <c r="B52" s="51" t="s">
        <v>25</v>
      </c>
      <c r="C52" s="51" t="s">
        <v>474</v>
      </c>
      <c r="D52" s="52"/>
      <c r="E52" s="53">
        <f t="shared" ref="E52:F52" si="52">SUM(E4,E16,E28,E40)</f>
        <v>26242</v>
      </c>
      <c r="F52" s="53">
        <f t="shared" si="52"/>
        <v>1527</v>
      </c>
      <c r="G52" s="54">
        <f t="shared" si="53"/>
        <v>365.0039293</v>
      </c>
      <c r="H52" s="55">
        <f t="shared" si="54"/>
        <v>0.05818916241</v>
      </c>
      <c r="I52" s="99">
        <f t="shared" ref="I52:J52" si="55">SUM(I4,I16,I28,I40)</f>
        <v>557361</v>
      </c>
      <c r="J52" s="53">
        <f t="shared" si="55"/>
        <v>140</v>
      </c>
      <c r="K52" s="57">
        <f t="shared" si="56"/>
        <v>0.09168303864</v>
      </c>
      <c r="L52" s="58">
        <f t="shared" si="57"/>
        <v>3981.15</v>
      </c>
      <c r="M52" s="53">
        <f t="shared" ref="M52:O52" si="58">SUM(M4,M16,M28,M40)</f>
        <v>480000</v>
      </c>
      <c r="N52" s="53">
        <f t="shared" si="58"/>
        <v>4</v>
      </c>
      <c r="O52" s="53">
        <f t="shared" si="58"/>
        <v>9</v>
      </c>
      <c r="P52" s="59">
        <f t="shared" si="59"/>
        <v>0.02857142857</v>
      </c>
      <c r="Q52" s="60">
        <f t="shared" si="60"/>
        <v>-77361</v>
      </c>
      <c r="R52" s="59">
        <f t="shared" si="61"/>
        <v>0.8612012681</v>
      </c>
      <c r="S52" s="61">
        <f t="shared" si="62"/>
        <v>-0.1387987319</v>
      </c>
    </row>
    <row r="53">
      <c r="A53" s="27"/>
      <c r="B53" s="51" t="s">
        <v>27</v>
      </c>
      <c r="C53" s="53">
        <f>SUM(C5,C17,C29,C41)</f>
        <v>7</v>
      </c>
      <c r="D53" s="62"/>
      <c r="E53" s="53">
        <f t="shared" ref="E53:F53" si="63">SUM(E5,E17,E29,E41)</f>
        <v>63776</v>
      </c>
      <c r="F53" s="53">
        <f t="shared" si="63"/>
        <v>3349</v>
      </c>
      <c r="G53" s="54">
        <f t="shared" si="53"/>
        <v>152.8280084</v>
      </c>
      <c r="H53" s="55">
        <f t="shared" si="54"/>
        <v>0.05251191671</v>
      </c>
      <c r="I53" s="99">
        <f t="shared" ref="I53:J53" si="64">SUM(I5,I17,I29,I41)</f>
        <v>511821</v>
      </c>
      <c r="J53" s="53">
        <f t="shared" si="64"/>
        <v>96</v>
      </c>
      <c r="K53" s="57">
        <f t="shared" si="56"/>
        <v>0.02866527322</v>
      </c>
      <c r="L53" s="58">
        <f t="shared" si="57"/>
        <v>5331.46875</v>
      </c>
      <c r="M53" s="53">
        <f t="shared" ref="M53:O53" si="65">SUM(M5,M17,M29,M41)</f>
        <v>780000</v>
      </c>
      <c r="N53" s="53">
        <f t="shared" si="65"/>
        <v>5</v>
      </c>
      <c r="O53" s="53">
        <f t="shared" si="65"/>
        <v>11</v>
      </c>
      <c r="P53" s="59">
        <f t="shared" si="59"/>
        <v>0.05208333333</v>
      </c>
      <c r="Q53" s="60">
        <f t="shared" si="60"/>
        <v>268179</v>
      </c>
      <c r="R53" s="59">
        <f t="shared" si="61"/>
        <v>1.523970294</v>
      </c>
      <c r="S53" s="61">
        <f t="shared" si="62"/>
        <v>0.5239702943</v>
      </c>
    </row>
    <row r="54">
      <c r="A54" s="27"/>
      <c r="B54" s="51" t="s">
        <v>388</v>
      </c>
      <c r="C54" s="51" t="s">
        <v>474</v>
      </c>
      <c r="D54" s="88"/>
      <c r="E54" s="53"/>
      <c r="F54" s="53"/>
      <c r="G54" s="54" t="str">
        <f t="shared" si="53"/>
        <v/>
      </c>
      <c r="H54" s="55" t="str">
        <f t="shared" si="54"/>
        <v/>
      </c>
      <c r="I54" s="99"/>
      <c r="J54" s="53"/>
      <c r="K54" s="57" t="str">
        <f t="shared" si="56"/>
        <v/>
      </c>
      <c r="L54" s="58" t="str">
        <f t="shared" si="57"/>
        <v/>
      </c>
      <c r="M54" s="53"/>
      <c r="N54" s="53"/>
      <c r="O54" s="53"/>
      <c r="P54" s="59" t="str">
        <f t="shared" si="59"/>
        <v/>
      </c>
      <c r="Q54" s="60">
        <f t="shared" si="60"/>
        <v>0</v>
      </c>
      <c r="R54" s="59" t="str">
        <f t="shared" si="61"/>
        <v/>
      </c>
      <c r="S54" s="61" t="str">
        <f t="shared" si="62"/>
        <v/>
      </c>
    </row>
    <row r="55">
      <c r="A55" s="27"/>
      <c r="B55" s="51" t="s">
        <v>28</v>
      </c>
      <c r="C55" s="51" t="s">
        <v>474</v>
      </c>
      <c r="D55" s="97"/>
      <c r="E55" s="53">
        <f t="shared" ref="E55:F55" si="66">SUM(E7,E19,E31,E43)</f>
        <v>33681</v>
      </c>
      <c r="F55" s="53">
        <f t="shared" si="66"/>
        <v>1572</v>
      </c>
      <c r="G55" s="54">
        <f t="shared" si="53"/>
        <v>422.4363868</v>
      </c>
      <c r="H55" s="55">
        <f t="shared" si="54"/>
        <v>0.04667319854</v>
      </c>
      <c r="I55" s="99">
        <f t="shared" ref="I55:J55" si="67">SUM(I7,I19,I31,I43)</f>
        <v>664070</v>
      </c>
      <c r="J55" s="53">
        <f t="shared" si="67"/>
        <v>164</v>
      </c>
      <c r="K55" s="57">
        <f t="shared" si="56"/>
        <v>0.1043256997</v>
      </c>
      <c r="L55" s="58">
        <f t="shared" si="57"/>
        <v>4049.207317</v>
      </c>
      <c r="M55" s="53">
        <f t="shared" ref="M55:O55" si="68">SUM(M7,M19,M31,M43)</f>
        <v>1230000</v>
      </c>
      <c r="N55" s="53">
        <f t="shared" si="68"/>
        <v>6</v>
      </c>
      <c r="O55" s="53">
        <f t="shared" si="68"/>
        <v>18</v>
      </c>
      <c r="P55" s="59">
        <f t="shared" si="59"/>
        <v>0.03658536585</v>
      </c>
      <c r="Q55" s="60">
        <f t="shared" si="60"/>
        <v>565930</v>
      </c>
      <c r="R55" s="59">
        <f t="shared" si="61"/>
        <v>1.852214375</v>
      </c>
      <c r="S55" s="61">
        <f t="shared" si="62"/>
        <v>0.852214375</v>
      </c>
    </row>
    <row r="56">
      <c r="A56" s="27"/>
      <c r="B56" s="51" t="s">
        <v>390</v>
      </c>
      <c r="C56" s="51" t="s">
        <v>474</v>
      </c>
      <c r="D56" s="91"/>
      <c r="E56" s="53"/>
      <c r="F56" s="53"/>
      <c r="G56" s="54" t="str">
        <f t="shared" si="53"/>
        <v/>
      </c>
      <c r="H56" s="55" t="str">
        <f t="shared" si="54"/>
        <v/>
      </c>
      <c r="I56" s="99"/>
      <c r="J56" s="53"/>
      <c r="K56" s="57" t="str">
        <f t="shared" si="56"/>
        <v/>
      </c>
      <c r="L56" s="58" t="str">
        <f t="shared" si="57"/>
        <v/>
      </c>
      <c r="M56" s="53"/>
      <c r="N56" s="53"/>
      <c r="O56" s="53"/>
      <c r="P56" s="59" t="str">
        <f t="shared" si="59"/>
        <v/>
      </c>
      <c r="Q56" s="60">
        <f t="shared" si="60"/>
        <v>0</v>
      </c>
      <c r="R56" s="59" t="str">
        <f t="shared" si="61"/>
        <v/>
      </c>
      <c r="S56" s="61" t="str">
        <f t="shared" si="62"/>
        <v/>
      </c>
    </row>
    <row r="57">
      <c r="A57" s="27"/>
      <c r="B57" s="51" t="s">
        <v>477</v>
      </c>
      <c r="C57" s="51" t="s">
        <v>474</v>
      </c>
      <c r="D57" s="91"/>
      <c r="E57" s="53"/>
      <c r="F57" s="53"/>
      <c r="G57" s="54" t="str">
        <f t="shared" si="53"/>
        <v/>
      </c>
      <c r="H57" s="55" t="str">
        <f t="shared" si="54"/>
        <v/>
      </c>
      <c r="I57" s="99"/>
      <c r="J57" s="53"/>
      <c r="K57" s="57" t="str">
        <f t="shared" si="56"/>
        <v/>
      </c>
      <c r="L57" s="58" t="str">
        <f t="shared" si="57"/>
        <v/>
      </c>
      <c r="M57" s="53"/>
      <c r="N57" s="53"/>
      <c r="O57" s="53"/>
      <c r="P57" s="59" t="str">
        <f t="shared" si="59"/>
        <v/>
      </c>
      <c r="Q57" s="60">
        <f t="shared" si="60"/>
        <v>0</v>
      </c>
      <c r="R57" s="59" t="str">
        <f t="shared" si="61"/>
        <v/>
      </c>
      <c r="S57" s="61" t="str">
        <f t="shared" si="62"/>
        <v/>
      </c>
    </row>
    <row r="58">
      <c r="A58" s="10"/>
      <c r="B58" s="51" t="s">
        <v>478</v>
      </c>
      <c r="C58" s="51" t="s">
        <v>474</v>
      </c>
      <c r="D58" s="91"/>
      <c r="E58" s="53"/>
      <c r="F58" s="53"/>
      <c r="G58" s="54" t="str">
        <f t="shared" si="53"/>
        <v/>
      </c>
      <c r="H58" s="55" t="str">
        <f t="shared" si="54"/>
        <v/>
      </c>
      <c r="I58" s="99"/>
      <c r="J58" s="53"/>
      <c r="K58" s="57" t="str">
        <f t="shared" si="56"/>
        <v/>
      </c>
      <c r="L58" s="58" t="str">
        <f t="shared" si="57"/>
        <v/>
      </c>
      <c r="M58" s="53"/>
      <c r="N58" s="53"/>
      <c r="O58" s="53"/>
      <c r="P58" s="59" t="str">
        <f t="shared" si="59"/>
        <v/>
      </c>
      <c r="Q58" s="60">
        <f t="shared" si="60"/>
        <v>0</v>
      </c>
      <c r="R58" s="59" t="str">
        <f t="shared" si="61"/>
        <v/>
      </c>
      <c r="S58" s="61" t="str">
        <f t="shared" si="62"/>
        <v/>
      </c>
    </row>
    <row r="59">
      <c r="A59" s="30" t="s">
        <v>29</v>
      </c>
      <c r="B59" s="31"/>
      <c r="C59" s="31"/>
      <c r="D59" s="31"/>
      <c r="E59" s="31"/>
      <c r="F59" s="32"/>
      <c r="G59" s="65">
        <f t="shared" ref="G59:H59" si="69">averageif(G51:G58,"&gt;0")</f>
        <v>320.3219687</v>
      </c>
      <c r="H59" s="66">
        <f t="shared" si="69"/>
        <v>0.06071841271</v>
      </c>
      <c r="I59" s="67"/>
      <c r="J59" s="68">
        <f>SUM(J51:J58)</f>
        <v>462</v>
      </c>
      <c r="K59" s="69">
        <f t="shared" ref="K59:L59" si="70">averageif(K51:K58,"&gt;0")</f>
        <v>0.07132001805</v>
      </c>
      <c r="L59" s="70">
        <f t="shared" si="70"/>
        <v>4747.162162</v>
      </c>
      <c r="M59" s="68">
        <f t="shared" ref="M59:O59" si="71">SUM(M51:M58)</f>
        <v>4470000</v>
      </c>
      <c r="N59" s="68">
        <f t="shared" si="71"/>
        <v>18</v>
      </c>
      <c r="O59" s="68">
        <f t="shared" si="71"/>
        <v>68</v>
      </c>
      <c r="P59" s="72">
        <f>averageif(P51:P58,"&gt;0")</f>
        <v>0.04140680613</v>
      </c>
      <c r="Q59" s="67"/>
      <c r="R59" s="72">
        <f t="shared" ref="R59:S59" si="72">averageif(R51:R58,"&gt;0")</f>
        <v>2.478241581</v>
      </c>
      <c r="S59" s="73">
        <f t="shared" si="72"/>
        <v>2.017255018</v>
      </c>
    </row>
    <row r="61">
      <c r="A61" s="102" t="s">
        <v>516</v>
      </c>
      <c r="B61" s="2" t="s">
        <v>1</v>
      </c>
      <c r="C61" s="96" t="s">
        <v>2</v>
      </c>
      <c r="D61" s="4"/>
      <c r="E61" s="4"/>
      <c r="F61" s="4"/>
      <c r="G61" s="4"/>
      <c r="H61" s="4"/>
      <c r="I61" s="5"/>
      <c r="J61" s="6" t="s">
        <v>3</v>
      </c>
      <c r="K61" s="4"/>
      <c r="L61" s="5"/>
      <c r="M61" s="7" t="s">
        <v>4</v>
      </c>
      <c r="N61" s="4"/>
      <c r="O61" s="4"/>
      <c r="P61" s="4"/>
      <c r="Q61" s="4"/>
      <c r="R61" s="4"/>
      <c r="S61" s="8"/>
    </row>
    <row r="62">
      <c r="A62" s="27"/>
      <c r="B62" s="11"/>
      <c r="C62" s="13" t="s">
        <v>465</v>
      </c>
      <c r="D62" s="12" t="s">
        <v>5</v>
      </c>
      <c r="E62" s="12" t="s">
        <v>6</v>
      </c>
      <c r="F62" s="12" t="s">
        <v>7</v>
      </c>
      <c r="G62" s="12" t="s">
        <v>517</v>
      </c>
      <c r="H62" s="12" t="s">
        <v>518</v>
      </c>
      <c r="I62" s="12" t="s">
        <v>10</v>
      </c>
      <c r="J62" s="12" t="s">
        <v>11</v>
      </c>
      <c r="K62" s="12" t="s">
        <v>519</v>
      </c>
      <c r="L62" s="12" t="s">
        <v>520</v>
      </c>
      <c r="M62" s="12" t="s">
        <v>16</v>
      </c>
      <c r="N62" s="12" t="s">
        <v>223</v>
      </c>
      <c r="O62" s="12" t="s">
        <v>226</v>
      </c>
      <c r="P62" s="12" t="s">
        <v>521</v>
      </c>
      <c r="Q62" s="12" t="s">
        <v>20</v>
      </c>
      <c r="R62" s="12" t="s">
        <v>522</v>
      </c>
      <c r="S62" s="14" t="s">
        <v>523</v>
      </c>
    </row>
    <row r="63">
      <c r="A63" s="27"/>
      <c r="B63" s="51" t="s">
        <v>24</v>
      </c>
      <c r="C63" s="51"/>
      <c r="D63" s="52"/>
      <c r="E63" s="53">
        <f>E51+'7월'!E78</f>
        <v>257000</v>
      </c>
      <c r="F63" s="53">
        <f>F51+'7월'!F78</f>
        <v>13863</v>
      </c>
      <c r="G63" s="54">
        <f t="shared" ref="G63:G71" si="73">iferror(I63/F63,"")</f>
        <v>171.904494</v>
      </c>
      <c r="H63" s="55">
        <f t="shared" ref="H63:H71" si="74">iferror(F63/E63,"")</f>
        <v>0.05394163424</v>
      </c>
      <c r="I63" s="53">
        <f>I51+'7월'!I78</f>
        <v>2383112</v>
      </c>
      <c r="J63" s="53">
        <f>J51+'7월'!J78</f>
        <v>223</v>
      </c>
      <c r="K63" s="57">
        <f t="shared" ref="K63:K71" si="75">iferror(J63/F63,"")</f>
        <v>0.01608598427</v>
      </c>
      <c r="L63" s="58">
        <f t="shared" ref="L63:L71" si="76">iferror(I63/J63,"")</f>
        <v>10686.6009</v>
      </c>
      <c r="M63" s="53">
        <f>M51+'7월'!M78</f>
        <v>3510000</v>
      </c>
      <c r="N63" s="53">
        <f>N51+'7월'!N78</f>
        <v>8</v>
      </c>
      <c r="O63" s="53">
        <f>O51+'7월'!O78</f>
        <v>49</v>
      </c>
      <c r="P63" s="59">
        <f t="shared" ref="P63:P71" si="77">iferror(N63/J63,"")</f>
        <v>0.03587443946</v>
      </c>
      <c r="Q63" s="60">
        <f t="shared" ref="Q63:Q71" si="78">iferror(M63-I63,"")</f>
        <v>1126888</v>
      </c>
      <c r="R63" s="100">
        <f t="shared" ref="R63:R71" si="79">iferror(M63/I63,"")</f>
        <v>1.472864053</v>
      </c>
      <c r="S63" s="101">
        <f t="shared" ref="S63:S71" si="80">iferror(Q63/I63,"")</f>
        <v>0.4728640534</v>
      </c>
    </row>
    <row r="64">
      <c r="A64" s="27"/>
      <c r="B64" s="51" t="s">
        <v>25</v>
      </c>
      <c r="C64" s="51"/>
      <c r="D64" s="52"/>
      <c r="E64" s="53">
        <f>E52+'7월'!E79</f>
        <v>133620</v>
      </c>
      <c r="F64" s="53">
        <f>F52+'7월'!F79</f>
        <v>7605</v>
      </c>
      <c r="G64" s="54">
        <f t="shared" si="73"/>
        <v>268.321499</v>
      </c>
      <c r="H64" s="55">
        <f t="shared" si="74"/>
        <v>0.05691513247</v>
      </c>
      <c r="I64" s="53">
        <f>I52+'7월'!I79</f>
        <v>2040585</v>
      </c>
      <c r="J64" s="53">
        <f>J52+'7월'!J79</f>
        <v>384</v>
      </c>
      <c r="K64" s="57">
        <f t="shared" si="75"/>
        <v>0.05049309665</v>
      </c>
      <c r="L64" s="58">
        <f t="shared" si="76"/>
        <v>5314.023438</v>
      </c>
      <c r="M64" s="53">
        <f>M52+'7월'!M79</f>
        <v>1500000</v>
      </c>
      <c r="N64" s="53">
        <v>10.0</v>
      </c>
      <c r="O64" s="53">
        <v>30.0</v>
      </c>
      <c r="P64" s="59">
        <f t="shared" si="77"/>
        <v>0.02604166667</v>
      </c>
      <c r="Q64" s="60">
        <f t="shared" si="78"/>
        <v>-540585</v>
      </c>
      <c r="R64" s="59">
        <f t="shared" si="79"/>
        <v>0.7350833217</v>
      </c>
      <c r="S64" s="61">
        <f t="shared" si="80"/>
        <v>-0.2649166783</v>
      </c>
    </row>
    <row r="65">
      <c r="A65" s="27"/>
      <c r="B65" s="51" t="s">
        <v>27</v>
      </c>
      <c r="C65" s="53">
        <f>C53+'7월'!C80</f>
        <v>15</v>
      </c>
      <c r="D65" s="62"/>
      <c r="E65" s="53">
        <f>E53+'7월'!E80</f>
        <v>219876</v>
      </c>
      <c r="F65" s="53">
        <f>F53+'7월'!F80</f>
        <v>10237</v>
      </c>
      <c r="G65" s="54">
        <f t="shared" si="73"/>
        <v>150.9253688</v>
      </c>
      <c r="H65" s="55">
        <f t="shared" si="74"/>
        <v>0.04655806</v>
      </c>
      <c r="I65" s="53">
        <f>I53+'7월'!I80</f>
        <v>1545023</v>
      </c>
      <c r="J65" s="53">
        <f>J53+'7월'!J80</f>
        <v>226</v>
      </c>
      <c r="K65" s="57">
        <f t="shared" si="75"/>
        <v>0.02207678031</v>
      </c>
      <c r="L65" s="58">
        <f t="shared" si="76"/>
        <v>6836.384956</v>
      </c>
      <c r="M65" s="53">
        <f>M53+'7월'!M80</f>
        <v>1740000</v>
      </c>
      <c r="N65" s="53">
        <f>N53+'7월'!N80</f>
        <v>9</v>
      </c>
      <c r="O65" s="53">
        <f>O53+'7월'!O80</f>
        <v>27</v>
      </c>
      <c r="P65" s="59">
        <f t="shared" si="77"/>
        <v>0.03982300885</v>
      </c>
      <c r="Q65" s="60">
        <f t="shared" si="78"/>
        <v>194977</v>
      </c>
      <c r="R65" s="59">
        <f t="shared" si="79"/>
        <v>1.126196827</v>
      </c>
      <c r="S65" s="61">
        <f t="shared" si="80"/>
        <v>0.1261968268</v>
      </c>
    </row>
    <row r="66">
      <c r="A66" s="27"/>
      <c r="B66" s="51" t="s">
        <v>388</v>
      </c>
      <c r="C66" s="51"/>
      <c r="D66" s="88"/>
      <c r="E66" s="53">
        <f>E54+'7월'!E81</f>
        <v>2533</v>
      </c>
      <c r="F66" s="53">
        <f>F54+'7월'!F81</f>
        <v>227</v>
      </c>
      <c r="G66" s="54">
        <f t="shared" si="73"/>
        <v>158.9118943</v>
      </c>
      <c r="H66" s="55">
        <f t="shared" si="74"/>
        <v>0.08961705488</v>
      </c>
      <c r="I66" s="53">
        <f>I54+'7월'!I81</f>
        <v>36073</v>
      </c>
      <c r="J66" s="53">
        <f>J54+'7월'!J81</f>
        <v>4</v>
      </c>
      <c r="K66" s="57">
        <f t="shared" si="75"/>
        <v>0.01762114537</v>
      </c>
      <c r="L66" s="58">
        <f t="shared" si="76"/>
        <v>9018.25</v>
      </c>
      <c r="M66" s="53">
        <f>M54+'7월'!M81</f>
        <v>0</v>
      </c>
      <c r="N66" s="53">
        <f>N54+'7월'!N81</f>
        <v>0</v>
      </c>
      <c r="O66" s="53">
        <f>O54+'7월'!O81</f>
        <v>0</v>
      </c>
      <c r="P66" s="59">
        <f t="shared" si="77"/>
        <v>0</v>
      </c>
      <c r="Q66" s="60">
        <f t="shared" si="78"/>
        <v>-36073</v>
      </c>
      <c r="R66" s="59">
        <f t="shared" si="79"/>
        <v>0</v>
      </c>
      <c r="S66" s="61">
        <f t="shared" si="80"/>
        <v>-1</v>
      </c>
    </row>
    <row r="67">
      <c r="A67" s="27"/>
      <c r="B67" s="51" t="s">
        <v>28</v>
      </c>
      <c r="C67" s="51"/>
      <c r="D67" s="97"/>
      <c r="E67" s="53">
        <f>E55+'7월'!E82</f>
        <v>204056</v>
      </c>
      <c r="F67" s="53">
        <f>F55+'7월'!F82</f>
        <v>10310</v>
      </c>
      <c r="G67" s="54">
        <f t="shared" si="73"/>
        <v>215.3419981</v>
      </c>
      <c r="H67" s="55">
        <f t="shared" si="74"/>
        <v>0.05052534598</v>
      </c>
      <c r="I67" s="53">
        <f>I55+'7월'!I82</f>
        <v>2220176</v>
      </c>
      <c r="J67" s="53">
        <f>J55+'7월'!J82</f>
        <v>313</v>
      </c>
      <c r="K67" s="57">
        <f t="shared" si="75"/>
        <v>0.03035887488</v>
      </c>
      <c r="L67" s="58">
        <f t="shared" si="76"/>
        <v>7093.214058</v>
      </c>
      <c r="M67" s="85">
        <f>M55+'7월'!M82</f>
        <v>1350000</v>
      </c>
      <c r="N67" s="85">
        <f>N55+'7월'!N82</f>
        <v>7</v>
      </c>
      <c r="O67" s="85">
        <f>O55+'7월'!O82</f>
        <v>21</v>
      </c>
      <c r="P67" s="59">
        <f t="shared" si="77"/>
        <v>0.02236421725</v>
      </c>
      <c r="Q67" s="60">
        <f t="shared" si="78"/>
        <v>-870176</v>
      </c>
      <c r="R67" s="59">
        <f t="shared" si="79"/>
        <v>0.6080599016</v>
      </c>
      <c r="S67" s="61">
        <f t="shared" si="80"/>
        <v>-0.3919400984</v>
      </c>
    </row>
    <row r="68">
      <c r="A68" s="27"/>
      <c r="B68" s="51" t="s">
        <v>390</v>
      </c>
      <c r="C68" s="90"/>
      <c r="D68" s="91"/>
      <c r="E68" s="53">
        <f>E56+'7월'!E85</f>
        <v>29260</v>
      </c>
      <c r="F68" s="53">
        <f>F56+'7월'!F85</f>
        <v>1605</v>
      </c>
      <c r="G68" s="54">
        <f t="shared" si="73"/>
        <v>137.271028</v>
      </c>
      <c r="H68" s="55">
        <f t="shared" si="74"/>
        <v>0.0548530417</v>
      </c>
      <c r="I68" s="53">
        <f>I56+'7월'!I85</f>
        <v>220320</v>
      </c>
      <c r="J68" s="53">
        <f>J56+'7월'!J85</f>
        <v>29</v>
      </c>
      <c r="K68" s="57">
        <f t="shared" si="75"/>
        <v>0.01806853583</v>
      </c>
      <c r="L68" s="58">
        <f t="shared" si="76"/>
        <v>7597.241379</v>
      </c>
      <c r="M68" s="53">
        <f>M56+'7월'!M85</f>
        <v>0</v>
      </c>
      <c r="N68" s="53">
        <f>N56+'7월'!N85</f>
        <v>0</v>
      </c>
      <c r="O68" s="53">
        <f>O56+'7월'!O85</f>
        <v>0</v>
      </c>
      <c r="P68" s="59">
        <f t="shared" si="77"/>
        <v>0</v>
      </c>
      <c r="Q68" s="60">
        <f t="shared" si="78"/>
        <v>-220320</v>
      </c>
      <c r="R68" s="59">
        <f t="shared" si="79"/>
        <v>0</v>
      </c>
      <c r="S68" s="61">
        <f t="shared" si="80"/>
        <v>-1</v>
      </c>
    </row>
    <row r="69">
      <c r="A69" s="27"/>
      <c r="B69" s="51" t="s">
        <v>477</v>
      </c>
      <c r="C69" s="90"/>
      <c r="D69" s="91"/>
      <c r="E69" s="53" t="str">
        <f t="shared" ref="E69:F69" si="81">E57</f>
        <v/>
      </c>
      <c r="F69" s="53" t="str">
        <f t="shared" si="81"/>
        <v/>
      </c>
      <c r="G69" s="54" t="str">
        <f t="shared" si="73"/>
        <v/>
      </c>
      <c r="H69" s="55" t="str">
        <f t="shared" si="74"/>
        <v/>
      </c>
      <c r="I69" s="53"/>
      <c r="J69" s="53"/>
      <c r="K69" s="57" t="str">
        <f t="shared" si="75"/>
        <v/>
      </c>
      <c r="L69" s="58" t="str">
        <f t="shared" si="76"/>
        <v/>
      </c>
      <c r="M69" s="53"/>
      <c r="N69" s="53"/>
      <c r="O69" s="53"/>
      <c r="P69" s="59" t="str">
        <f t="shared" si="77"/>
        <v/>
      </c>
      <c r="Q69" s="60">
        <f t="shared" si="78"/>
        <v>0</v>
      </c>
      <c r="R69" s="59" t="str">
        <f t="shared" si="79"/>
        <v/>
      </c>
      <c r="S69" s="61" t="str">
        <f t="shared" si="80"/>
        <v/>
      </c>
    </row>
    <row r="70">
      <c r="A70" s="27"/>
      <c r="B70" s="51" t="s">
        <v>478</v>
      </c>
      <c r="C70" s="90"/>
      <c r="D70" s="91"/>
      <c r="E70" s="53"/>
      <c r="F70" s="53"/>
      <c r="G70" s="54" t="str">
        <f t="shared" si="73"/>
        <v/>
      </c>
      <c r="H70" s="55" t="str">
        <f t="shared" si="74"/>
        <v/>
      </c>
      <c r="I70" s="53"/>
      <c r="J70" s="53"/>
      <c r="K70" s="57" t="str">
        <f t="shared" si="75"/>
        <v/>
      </c>
      <c r="L70" s="58" t="str">
        <f t="shared" si="76"/>
        <v/>
      </c>
      <c r="M70" s="53"/>
      <c r="N70" s="53"/>
      <c r="O70" s="53"/>
      <c r="P70" s="59" t="str">
        <f t="shared" si="77"/>
        <v/>
      </c>
      <c r="Q70" s="60">
        <f t="shared" si="78"/>
        <v>0</v>
      </c>
      <c r="R70" s="59" t="str">
        <f t="shared" si="79"/>
        <v/>
      </c>
      <c r="S70" s="61" t="str">
        <f t="shared" si="80"/>
        <v/>
      </c>
    </row>
    <row r="71">
      <c r="A71" s="10"/>
      <c r="B71" s="51" t="s">
        <v>524</v>
      </c>
      <c r="C71" s="90"/>
      <c r="D71" s="91"/>
      <c r="E71" s="53">
        <f>'7월'!E83</f>
        <v>132181</v>
      </c>
      <c r="F71" s="53">
        <f>'7월'!F83</f>
        <v>9388</v>
      </c>
      <c r="G71" s="54">
        <f t="shared" si="73"/>
        <v>98.80027695</v>
      </c>
      <c r="H71" s="55">
        <f t="shared" si="74"/>
        <v>0.07102382339</v>
      </c>
      <c r="I71" s="53">
        <f>'7월'!I83</f>
        <v>927537</v>
      </c>
      <c r="J71" s="53">
        <f>'7월'!J83</f>
        <v>118</v>
      </c>
      <c r="K71" s="57">
        <f t="shared" si="75"/>
        <v>0.01256923732</v>
      </c>
      <c r="L71" s="58">
        <f t="shared" si="76"/>
        <v>7860.483051</v>
      </c>
      <c r="M71" s="53">
        <f>'7월'!M83</f>
        <v>1140000</v>
      </c>
      <c r="N71" s="53">
        <f>'7월'!N83</f>
        <v>7</v>
      </c>
      <c r="O71" s="53">
        <f>'7월'!O83</f>
        <v>18</v>
      </c>
      <c r="P71" s="59">
        <f t="shared" si="77"/>
        <v>0.0593220339</v>
      </c>
      <c r="Q71" s="60">
        <f t="shared" si="78"/>
        <v>212463</v>
      </c>
      <c r="R71" s="59">
        <f t="shared" si="79"/>
        <v>1.229061482</v>
      </c>
      <c r="S71" s="61">
        <f t="shared" si="80"/>
        <v>0.2290614822</v>
      </c>
    </row>
    <row r="72">
      <c r="A72" s="30" t="s">
        <v>29</v>
      </c>
      <c r="B72" s="31"/>
      <c r="C72" s="31"/>
      <c r="D72" s="31"/>
      <c r="E72" s="31"/>
      <c r="F72" s="32"/>
      <c r="G72" s="65">
        <f t="shared" ref="G72:H72" si="82">averageif(G63:G71,"&gt;0")</f>
        <v>171.6395084</v>
      </c>
      <c r="H72" s="66">
        <f t="shared" si="82"/>
        <v>0.06049058466</v>
      </c>
      <c r="I72" s="67"/>
      <c r="J72" s="68">
        <f>SUM(J63:J71)</f>
        <v>1297</v>
      </c>
      <c r="K72" s="69">
        <f t="shared" ref="K72:L72" si="83">averageif(K63:K71,"&gt;0")</f>
        <v>0.02389623638</v>
      </c>
      <c r="L72" s="70">
        <f t="shared" si="83"/>
        <v>7772.313968</v>
      </c>
      <c r="M72" s="68">
        <f t="shared" ref="M72:O72" si="84">SUM(M63:M71)</f>
        <v>9240000</v>
      </c>
      <c r="N72" s="68">
        <f t="shared" si="84"/>
        <v>41</v>
      </c>
      <c r="O72" s="68">
        <f t="shared" si="84"/>
        <v>145</v>
      </c>
      <c r="P72" s="72">
        <f>averageif(P63:P71,"&gt;0")</f>
        <v>0.03668507323</v>
      </c>
      <c r="Q72" s="67"/>
      <c r="R72" s="72">
        <f t="shared" ref="R72:S72" si="85">averageif(R63:R71,"&gt;0")</f>
        <v>1.034253117</v>
      </c>
      <c r="S72" s="73">
        <f t="shared" si="85"/>
        <v>0.2760407875</v>
      </c>
    </row>
    <row r="75">
      <c r="L75" s="103"/>
    </row>
    <row r="76">
      <c r="L76" s="103"/>
    </row>
    <row r="77">
      <c r="L77" s="103"/>
    </row>
    <row r="78">
      <c r="L78" s="103"/>
    </row>
    <row r="79">
      <c r="L79" s="103"/>
    </row>
  </sheetData>
  <mergeCells count="40">
    <mergeCell ref="A1:A2"/>
    <mergeCell ref="B1:B2"/>
    <mergeCell ref="C1:I1"/>
    <mergeCell ref="J1:L1"/>
    <mergeCell ref="M1:S1"/>
    <mergeCell ref="A3:A10"/>
    <mergeCell ref="A11:F11"/>
    <mergeCell ref="A13:A14"/>
    <mergeCell ref="B13:B14"/>
    <mergeCell ref="C13:I13"/>
    <mergeCell ref="J13:L13"/>
    <mergeCell ref="M13:S13"/>
    <mergeCell ref="A15:A22"/>
    <mergeCell ref="A23:F23"/>
    <mergeCell ref="A25:A26"/>
    <mergeCell ref="B25:B26"/>
    <mergeCell ref="C25:I25"/>
    <mergeCell ref="J25:L25"/>
    <mergeCell ref="M25:S25"/>
    <mergeCell ref="A27:A34"/>
    <mergeCell ref="A35:F35"/>
    <mergeCell ref="C49:I49"/>
    <mergeCell ref="J49:L49"/>
    <mergeCell ref="M49:S49"/>
    <mergeCell ref="A37:A38"/>
    <mergeCell ref="B37:B38"/>
    <mergeCell ref="C37:I37"/>
    <mergeCell ref="J37:L37"/>
    <mergeCell ref="M37:S37"/>
    <mergeCell ref="A39:A46"/>
    <mergeCell ref="A47:F47"/>
    <mergeCell ref="A61:A71"/>
    <mergeCell ref="A72:F72"/>
    <mergeCell ref="A49:A58"/>
    <mergeCell ref="B49:B50"/>
    <mergeCell ref="A59:F59"/>
    <mergeCell ref="B61:B62"/>
    <mergeCell ref="C61:I61"/>
    <mergeCell ref="J61:L61"/>
    <mergeCell ref="M61:S61"/>
  </mergeCells>
  <conditionalFormatting sqref="A3 A15 A27 A39">
    <cfRule type="notContainsBlanks" dxfId="0" priority="1">
      <formula>LEN(TRIM(A3))&gt;0</formula>
    </cfRule>
  </conditionalFormatting>
  <drawing r:id="rId4"/>
  <legacyDrawing r:id="rId5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38"/>
    <col customWidth="1" min="3" max="3" width="5.25"/>
    <col customWidth="1" min="4" max="4" width="18.75"/>
    <col customWidth="1" min="5" max="5" width="9.63"/>
    <col customWidth="1" min="6" max="6" width="8.38"/>
    <col customWidth="1" min="10" max="10" width="9.13"/>
    <col customWidth="1" min="15" max="15" width="10.25"/>
    <col customWidth="1" min="18" max="18" width="12.38"/>
  </cols>
  <sheetData>
    <row r="1">
      <c r="A1" s="1" t="s">
        <v>525</v>
      </c>
      <c r="B1" s="2" t="s">
        <v>1</v>
      </c>
      <c r="C1" s="96" t="s">
        <v>2</v>
      </c>
      <c r="D1" s="4"/>
      <c r="E1" s="4"/>
      <c r="F1" s="4"/>
      <c r="G1" s="4"/>
      <c r="H1" s="4"/>
      <c r="I1" s="5"/>
      <c r="J1" s="6" t="s">
        <v>3</v>
      </c>
      <c r="K1" s="4"/>
      <c r="L1" s="5"/>
      <c r="M1" s="7" t="s">
        <v>4</v>
      </c>
      <c r="N1" s="4"/>
      <c r="O1" s="4"/>
      <c r="P1" s="4"/>
      <c r="Q1" s="4"/>
      <c r="R1" s="4"/>
      <c r="S1" s="8"/>
    </row>
    <row r="2">
      <c r="A2" s="10"/>
      <c r="B2" s="11"/>
      <c r="C2" s="13" t="s">
        <v>465</v>
      </c>
      <c r="D2" s="12" t="s">
        <v>5</v>
      </c>
      <c r="E2" s="12" t="s">
        <v>6</v>
      </c>
      <c r="F2" s="12" t="s">
        <v>7</v>
      </c>
      <c r="G2" s="12" t="s">
        <v>526</v>
      </c>
      <c r="H2" s="12" t="s">
        <v>527</v>
      </c>
      <c r="I2" s="12" t="s">
        <v>10</v>
      </c>
      <c r="J2" s="12" t="s">
        <v>11</v>
      </c>
      <c r="K2" s="12" t="s">
        <v>528</v>
      </c>
      <c r="L2" s="12" t="s">
        <v>529</v>
      </c>
      <c r="M2" s="12" t="s">
        <v>16</v>
      </c>
      <c r="N2" s="12" t="s">
        <v>223</v>
      </c>
      <c r="O2" s="12" t="s">
        <v>226</v>
      </c>
      <c r="P2" s="12" t="s">
        <v>530</v>
      </c>
      <c r="Q2" s="12" t="s">
        <v>20</v>
      </c>
      <c r="R2" s="12" t="s">
        <v>531</v>
      </c>
      <c r="S2" s="14" t="s">
        <v>532</v>
      </c>
    </row>
    <row r="3">
      <c r="A3" s="104">
        <f>now()</f>
        <v>46139.96548</v>
      </c>
      <c r="B3" s="51" t="s">
        <v>24</v>
      </c>
      <c r="C3" s="51" t="s">
        <v>474</v>
      </c>
      <c r="D3" s="88" t="s">
        <v>533</v>
      </c>
      <c r="E3" s="53">
        <v>17474.0</v>
      </c>
      <c r="F3" s="53">
        <v>974.0</v>
      </c>
      <c r="G3" s="54">
        <f t="shared" ref="G3:G7" si="1">iferror(I3/F3,"")</f>
        <v>179.1201232</v>
      </c>
      <c r="H3" s="55">
        <f t="shared" ref="H3:H13" si="2">iferror(F3/E3,"")</f>
        <v>0.05573995651</v>
      </c>
      <c r="I3" s="56">
        <v>174463.0</v>
      </c>
      <c r="J3" s="51">
        <v>14.0</v>
      </c>
      <c r="K3" s="57">
        <f t="shared" ref="K3:K13" si="3">iferror(J3/F3,"")</f>
        <v>0.01437371663</v>
      </c>
      <c r="L3" s="58">
        <f t="shared" ref="L3:L13" si="4">iferror(I3/J3,"")</f>
        <v>12461.64286</v>
      </c>
      <c r="M3" s="53">
        <v>120000.0</v>
      </c>
      <c r="N3" s="51">
        <v>1.0</v>
      </c>
      <c r="O3" s="53">
        <v>2.0</v>
      </c>
      <c r="P3" s="59">
        <f t="shared" ref="P3:P13" si="5">iferror(N3/J3,"")</f>
        <v>0.07142857143</v>
      </c>
      <c r="Q3" s="60">
        <f t="shared" ref="Q3:Q13" si="6">iferror(M3-I3,"")</f>
        <v>-54463</v>
      </c>
      <c r="R3" s="59">
        <f t="shared" ref="R3:R13" si="7">iferror(M3/I3,"")</f>
        <v>0.6878249256</v>
      </c>
      <c r="S3" s="61">
        <f t="shared" ref="S3:S13" si="8">iferror(Q3/I3,"")</f>
        <v>-0.3121750744</v>
      </c>
    </row>
    <row r="4">
      <c r="A4" s="15" t="s">
        <v>534</v>
      </c>
      <c r="B4" s="51" t="s">
        <v>25</v>
      </c>
      <c r="C4" s="51" t="s">
        <v>474</v>
      </c>
      <c r="D4" s="88" t="s">
        <v>535</v>
      </c>
      <c r="E4" s="53">
        <v>12899.0</v>
      </c>
      <c r="F4" s="53">
        <v>1161.0</v>
      </c>
      <c r="G4" s="54">
        <f t="shared" si="1"/>
        <v>178.002584</v>
      </c>
      <c r="H4" s="55">
        <f t="shared" si="2"/>
        <v>0.09000697729</v>
      </c>
      <c r="I4" s="56">
        <v>206661.0</v>
      </c>
      <c r="J4" s="51">
        <v>21.0</v>
      </c>
      <c r="K4" s="57">
        <f t="shared" si="3"/>
        <v>0.0180878553</v>
      </c>
      <c r="L4" s="58">
        <f t="shared" si="4"/>
        <v>9841</v>
      </c>
      <c r="M4" s="53">
        <v>120000.0</v>
      </c>
      <c r="N4" s="51">
        <v>1.0</v>
      </c>
      <c r="O4" s="53">
        <v>2.0</v>
      </c>
      <c r="P4" s="59">
        <f t="shared" si="5"/>
        <v>0.04761904762</v>
      </c>
      <c r="Q4" s="60">
        <f t="shared" si="6"/>
        <v>-86661</v>
      </c>
      <c r="R4" s="59">
        <f t="shared" si="7"/>
        <v>0.5806610826</v>
      </c>
      <c r="S4" s="61">
        <f t="shared" si="8"/>
        <v>-0.4193389174</v>
      </c>
    </row>
    <row r="5">
      <c r="A5" s="27"/>
      <c r="B5" s="51" t="s">
        <v>27</v>
      </c>
      <c r="C5" s="51" t="s">
        <v>474</v>
      </c>
      <c r="D5" s="87">
        <v>45478.99930555555</v>
      </c>
      <c r="E5" s="53">
        <v>6088.0</v>
      </c>
      <c r="F5" s="53">
        <v>311.0</v>
      </c>
      <c r="G5" s="54">
        <f t="shared" si="1"/>
        <v>195.5691318</v>
      </c>
      <c r="H5" s="55">
        <f t="shared" si="2"/>
        <v>0.05108409987</v>
      </c>
      <c r="I5" s="56">
        <v>60822.0</v>
      </c>
      <c r="J5" s="51">
        <v>6.0</v>
      </c>
      <c r="K5" s="57">
        <f t="shared" si="3"/>
        <v>0.0192926045</v>
      </c>
      <c r="L5" s="58">
        <f t="shared" si="4"/>
        <v>10137</v>
      </c>
      <c r="M5" s="53"/>
      <c r="N5" s="51"/>
      <c r="O5" s="53"/>
      <c r="P5" s="59">
        <f t="shared" si="5"/>
        <v>0</v>
      </c>
      <c r="Q5" s="60">
        <f t="shared" si="6"/>
        <v>-60822</v>
      </c>
      <c r="R5" s="59">
        <f t="shared" si="7"/>
        <v>0</v>
      </c>
      <c r="S5" s="61">
        <f t="shared" si="8"/>
        <v>-1</v>
      </c>
    </row>
    <row r="6">
      <c r="A6" s="27"/>
      <c r="B6" s="51" t="s">
        <v>388</v>
      </c>
      <c r="C6" s="51" t="s">
        <v>474</v>
      </c>
      <c r="D6" s="88"/>
      <c r="E6" s="53">
        <v>2533.0</v>
      </c>
      <c r="F6" s="53">
        <v>227.0</v>
      </c>
      <c r="G6" s="54">
        <f t="shared" si="1"/>
        <v>158.9118943</v>
      </c>
      <c r="H6" s="55">
        <f t="shared" si="2"/>
        <v>0.08961705488</v>
      </c>
      <c r="I6" s="56">
        <v>36073.0</v>
      </c>
      <c r="J6" s="51">
        <v>4.0</v>
      </c>
      <c r="K6" s="57">
        <f t="shared" si="3"/>
        <v>0.01762114537</v>
      </c>
      <c r="L6" s="58">
        <f t="shared" si="4"/>
        <v>9018.25</v>
      </c>
      <c r="M6" s="89"/>
      <c r="N6" s="90"/>
      <c r="O6" s="89"/>
      <c r="P6" s="59">
        <f t="shared" si="5"/>
        <v>0</v>
      </c>
      <c r="Q6" s="60">
        <f t="shared" si="6"/>
        <v>-36073</v>
      </c>
      <c r="R6" s="59">
        <f t="shared" si="7"/>
        <v>0</v>
      </c>
      <c r="S6" s="61">
        <f t="shared" si="8"/>
        <v>-1</v>
      </c>
    </row>
    <row r="7">
      <c r="A7" s="27"/>
      <c r="B7" s="51" t="s">
        <v>28</v>
      </c>
      <c r="C7" s="51" t="s">
        <v>474</v>
      </c>
      <c r="D7" s="97">
        <v>45479.59867806713</v>
      </c>
      <c r="E7" s="53">
        <v>8603.0</v>
      </c>
      <c r="F7" s="53">
        <v>475.0</v>
      </c>
      <c r="G7" s="54">
        <f t="shared" si="1"/>
        <v>184.9052632</v>
      </c>
      <c r="H7" s="55">
        <f t="shared" si="2"/>
        <v>0.05521329769</v>
      </c>
      <c r="I7" s="56">
        <v>87830.0</v>
      </c>
      <c r="J7" s="51">
        <v>9.0</v>
      </c>
      <c r="K7" s="57">
        <f t="shared" si="3"/>
        <v>0.01894736842</v>
      </c>
      <c r="L7" s="58">
        <f t="shared" si="4"/>
        <v>9758.888889</v>
      </c>
      <c r="M7" s="53"/>
      <c r="N7" s="51"/>
      <c r="O7" s="89"/>
      <c r="P7" s="59">
        <f t="shared" si="5"/>
        <v>0</v>
      </c>
      <c r="Q7" s="60">
        <f t="shared" si="6"/>
        <v>-87830</v>
      </c>
      <c r="R7" s="59">
        <f t="shared" si="7"/>
        <v>0</v>
      </c>
      <c r="S7" s="61">
        <f t="shared" si="8"/>
        <v>-1</v>
      </c>
    </row>
    <row r="8">
      <c r="A8" s="27"/>
      <c r="B8" s="51" t="s">
        <v>524</v>
      </c>
      <c r="C8" s="51" t="s">
        <v>474</v>
      </c>
      <c r="D8" s="63" t="s">
        <v>536</v>
      </c>
      <c r="E8" s="53">
        <v>8895.0</v>
      </c>
      <c r="F8" s="53">
        <v>958.0</v>
      </c>
      <c r="G8" s="74">
        <v>79.0</v>
      </c>
      <c r="H8" s="55">
        <f t="shared" si="2"/>
        <v>0.1077009556</v>
      </c>
      <c r="I8" s="56">
        <v>76471.0</v>
      </c>
      <c r="J8" s="51">
        <v>28.0</v>
      </c>
      <c r="K8" s="57">
        <f t="shared" si="3"/>
        <v>0.02922755741</v>
      </c>
      <c r="L8" s="58">
        <f t="shared" si="4"/>
        <v>2731.107143</v>
      </c>
      <c r="M8" s="53">
        <v>120000.0</v>
      </c>
      <c r="N8" s="51">
        <v>1.0</v>
      </c>
      <c r="O8" s="53">
        <v>3.0</v>
      </c>
      <c r="P8" s="59">
        <f t="shared" si="5"/>
        <v>0.03571428571</v>
      </c>
      <c r="Q8" s="60">
        <f t="shared" si="6"/>
        <v>43529</v>
      </c>
      <c r="R8" s="59">
        <f t="shared" si="7"/>
        <v>1.56922232</v>
      </c>
      <c r="S8" s="61">
        <f t="shared" si="8"/>
        <v>0.5692223196</v>
      </c>
    </row>
    <row r="9">
      <c r="A9" s="27"/>
      <c r="B9" s="51" t="s">
        <v>537</v>
      </c>
      <c r="C9" s="51" t="s">
        <v>474</v>
      </c>
      <c r="D9" s="93">
        <v>45479.45138888889</v>
      </c>
      <c r="E9" s="53">
        <v>7081.0</v>
      </c>
      <c r="F9" s="53">
        <v>438.0</v>
      </c>
      <c r="G9" s="54">
        <f t="shared" ref="G9:G13" si="9">iferror(I9/F9,"")</f>
        <v>192.0593607</v>
      </c>
      <c r="H9" s="55">
        <f t="shared" si="2"/>
        <v>0.0618556701</v>
      </c>
      <c r="I9" s="56">
        <v>84122.0</v>
      </c>
      <c r="J9" s="51">
        <v>9.0</v>
      </c>
      <c r="K9" s="57">
        <f t="shared" si="3"/>
        <v>0.02054794521</v>
      </c>
      <c r="L9" s="58">
        <f t="shared" si="4"/>
        <v>9346.888889</v>
      </c>
      <c r="M9" s="53"/>
      <c r="N9" s="90"/>
      <c r="O9" s="89"/>
      <c r="P9" s="59">
        <f t="shared" si="5"/>
        <v>0</v>
      </c>
      <c r="Q9" s="60">
        <f t="shared" si="6"/>
        <v>-84122</v>
      </c>
      <c r="R9" s="59">
        <f t="shared" si="7"/>
        <v>0</v>
      </c>
      <c r="S9" s="61">
        <f t="shared" si="8"/>
        <v>-1</v>
      </c>
    </row>
    <row r="10">
      <c r="A10" s="27"/>
      <c r="B10" s="51" t="s">
        <v>390</v>
      </c>
      <c r="C10" s="90"/>
      <c r="D10" s="91"/>
      <c r="E10" s="89"/>
      <c r="F10" s="89"/>
      <c r="G10" s="54" t="str">
        <f t="shared" si="9"/>
        <v/>
      </c>
      <c r="H10" s="55" t="str">
        <f t="shared" si="2"/>
        <v/>
      </c>
      <c r="I10" s="92"/>
      <c r="J10" s="90"/>
      <c r="K10" s="57" t="str">
        <f t="shared" si="3"/>
        <v/>
      </c>
      <c r="L10" s="58" t="str">
        <f t="shared" si="4"/>
        <v/>
      </c>
      <c r="M10" s="89"/>
      <c r="N10" s="90"/>
      <c r="O10" s="89"/>
      <c r="P10" s="59" t="str">
        <f t="shared" si="5"/>
        <v/>
      </c>
      <c r="Q10" s="60">
        <f t="shared" si="6"/>
        <v>0</v>
      </c>
      <c r="R10" s="59" t="str">
        <f t="shared" si="7"/>
        <v/>
      </c>
      <c r="S10" s="61" t="str">
        <f t="shared" si="8"/>
        <v/>
      </c>
    </row>
    <row r="11">
      <c r="A11" s="27"/>
      <c r="B11" s="51" t="s">
        <v>538</v>
      </c>
      <c r="C11" s="51" t="s">
        <v>474</v>
      </c>
      <c r="D11" s="93">
        <v>45479.49722222222</v>
      </c>
      <c r="E11" s="53">
        <v>3964.0</v>
      </c>
      <c r="F11" s="53">
        <v>235.0</v>
      </c>
      <c r="G11" s="54">
        <f t="shared" si="9"/>
        <v>314.8340426</v>
      </c>
      <c r="H11" s="55">
        <f t="shared" si="2"/>
        <v>0.05928355197</v>
      </c>
      <c r="I11" s="56">
        <v>73986.0</v>
      </c>
      <c r="J11" s="51">
        <v>2.0</v>
      </c>
      <c r="K11" s="57">
        <f t="shared" si="3"/>
        <v>0.008510638298</v>
      </c>
      <c r="L11" s="58">
        <f t="shared" si="4"/>
        <v>36993</v>
      </c>
      <c r="M11" s="53"/>
      <c r="N11" s="51"/>
      <c r="O11" s="53"/>
      <c r="P11" s="59">
        <f t="shared" si="5"/>
        <v>0</v>
      </c>
      <c r="Q11" s="60">
        <f t="shared" si="6"/>
        <v>-73986</v>
      </c>
      <c r="R11" s="59">
        <f t="shared" si="7"/>
        <v>0</v>
      </c>
      <c r="S11" s="61">
        <f t="shared" si="8"/>
        <v>-1</v>
      </c>
    </row>
    <row r="12">
      <c r="A12" s="27"/>
      <c r="B12" s="51" t="s">
        <v>539</v>
      </c>
      <c r="C12" s="51" t="s">
        <v>474</v>
      </c>
      <c r="D12" s="93">
        <v>45479.430555555555</v>
      </c>
      <c r="E12" s="53">
        <v>11062.0</v>
      </c>
      <c r="F12" s="53">
        <v>670.0</v>
      </c>
      <c r="G12" s="54">
        <f t="shared" si="9"/>
        <v>129.0865672</v>
      </c>
      <c r="H12" s="55">
        <f t="shared" si="2"/>
        <v>0.06056770927</v>
      </c>
      <c r="I12" s="56">
        <v>86488.0</v>
      </c>
      <c r="J12" s="51">
        <v>10.0</v>
      </c>
      <c r="K12" s="57">
        <f t="shared" si="3"/>
        <v>0.01492537313</v>
      </c>
      <c r="L12" s="58">
        <f t="shared" si="4"/>
        <v>8648.8</v>
      </c>
      <c r="M12" s="53"/>
      <c r="N12" s="90"/>
      <c r="O12" s="89"/>
      <c r="P12" s="59">
        <f t="shared" si="5"/>
        <v>0</v>
      </c>
      <c r="Q12" s="60">
        <f t="shared" si="6"/>
        <v>-86488</v>
      </c>
      <c r="R12" s="59">
        <f t="shared" si="7"/>
        <v>0</v>
      </c>
      <c r="S12" s="61">
        <f t="shared" si="8"/>
        <v>-1</v>
      </c>
    </row>
    <row r="13">
      <c r="A13" s="10"/>
      <c r="B13" s="51" t="s">
        <v>540</v>
      </c>
      <c r="C13" s="90"/>
      <c r="D13" s="91"/>
      <c r="E13" s="89"/>
      <c r="F13" s="89"/>
      <c r="G13" s="54" t="str">
        <f t="shared" si="9"/>
        <v/>
      </c>
      <c r="H13" s="55" t="str">
        <f t="shared" si="2"/>
        <v/>
      </c>
      <c r="I13" s="92"/>
      <c r="J13" s="90"/>
      <c r="K13" s="57" t="str">
        <f t="shared" si="3"/>
        <v/>
      </c>
      <c r="L13" s="58" t="str">
        <f t="shared" si="4"/>
        <v/>
      </c>
      <c r="M13" s="89"/>
      <c r="N13" s="90"/>
      <c r="O13" s="89"/>
      <c r="P13" s="59" t="str">
        <f t="shared" si="5"/>
        <v/>
      </c>
      <c r="Q13" s="60">
        <f t="shared" si="6"/>
        <v>0</v>
      </c>
      <c r="R13" s="59" t="str">
        <f t="shared" si="7"/>
        <v/>
      </c>
      <c r="S13" s="61" t="str">
        <f t="shared" si="8"/>
        <v/>
      </c>
    </row>
    <row r="14">
      <c r="A14" s="30" t="s">
        <v>29</v>
      </c>
      <c r="B14" s="31"/>
      <c r="C14" s="31"/>
      <c r="D14" s="31"/>
      <c r="E14" s="31"/>
      <c r="F14" s="32"/>
      <c r="G14" s="65">
        <f t="shared" ref="G14:H14" si="10">averageif(G3:G13,"&gt;0")</f>
        <v>179.0543297</v>
      </c>
      <c r="H14" s="66">
        <f t="shared" si="10"/>
        <v>0.07011880813</v>
      </c>
      <c r="I14" s="67"/>
      <c r="J14" s="68">
        <f>SUM(J3:J13)</f>
        <v>103</v>
      </c>
      <c r="K14" s="69">
        <f t="shared" ref="K14:L14" si="11">averageif(K3:K13,"&gt;0")</f>
        <v>0.01794824492</v>
      </c>
      <c r="L14" s="70">
        <f t="shared" si="11"/>
        <v>12104.0642</v>
      </c>
      <c r="M14" s="68">
        <f t="shared" ref="M14:O14" si="12">SUM(M3:M13)</f>
        <v>360000</v>
      </c>
      <c r="N14" s="71">
        <f t="shared" si="12"/>
        <v>3</v>
      </c>
      <c r="O14" s="68">
        <f t="shared" si="12"/>
        <v>7</v>
      </c>
      <c r="P14" s="72">
        <f>averageif(P3:P13,"&gt;0")</f>
        <v>0.05158730159</v>
      </c>
      <c r="Q14" s="67"/>
      <c r="R14" s="72">
        <f t="shared" ref="R14:S14" si="13">averageif(R3:R13,"&gt;0")</f>
        <v>0.9459027759</v>
      </c>
      <c r="S14" s="73">
        <f t="shared" si="13"/>
        <v>0.5692223196</v>
      </c>
    </row>
    <row r="16">
      <c r="A16" s="105" t="s">
        <v>541</v>
      </c>
      <c r="B16" s="2" t="s">
        <v>1</v>
      </c>
      <c r="C16" s="96" t="s">
        <v>2</v>
      </c>
      <c r="D16" s="4"/>
      <c r="E16" s="4"/>
      <c r="F16" s="4"/>
      <c r="G16" s="4"/>
      <c r="H16" s="4"/>
      <c r="I16" s="5"/>
      <c r="J16" s="6" t="s">
        <v>3</v>
      </c>
      <c r="K16" s="4"/>
      <c r="L16" s="5"/>
      <c r="M16" s="7" t="s">
        <v>4</v>
      </c>
      <c r="N16" s="4"/>
      <c r="O16" s="4"/>
      <c r="P16" s="4"/>
      <c r="Q16" s="4"/>
      <c r="R16" s="4"/>
      <c r="S16" s="8"/>
    </row>
    <row r="17">
      <c r="A17" s="27"/>
      <c r="B17" s="11"/>
      <c r="C17" s="13" t="s">
        <v>465</v>
      </c>
      <c r="D17" s="12" t="s">
        <v>5</v>
      </c>
      <c r="E17" s="12" t="s">
        <v>6</v>
      </c>
      <c r="F17" s="12" t="s">
        <v>7</v>
      </c>
      <c r="G17" s="12" t="s">
        <v>542</v>
      </c>
      <c r="H17" s="12" t="s">
        <v>543</v>
      </c>
      <c r="I17" s="12" t="s">
        <v>10</v>
      </c>
      <c r="J17" s="12" t="s">
        <v>11</v>
      </c>
      <c r="K17" s="12" t="s">
        <v>544</v>
      </c>
      <c r="L17" s="12" t="s">
        <v>545</v>
      </c>
      <c r="M17" s="12" t="s">
        <v>16</v>
      </c>
      <c r="N17" s="12" t="s">
        <v>223</v>
      </c>
      <c r="O17" s="12" t="s">
        <v>226</v>
      </c>
      <c r="P17" s="12" t="s">
        <v>546</v>
      </c>
      <c r="Q17" s="12" t="s">
        <v>20</v>
      </c>
      <c r="R17" s="12" t="s">
        <v>547</v>
      </c>
      <c r="S17" s="14" t="s">
        <v>548</v>
      </c>
    </row>
    <row r="18">
      <c r="A18" s="27"/>
      <c r="B18" s="51" t="s">
        <v>24</v>
      </c>
      <c r="C18" s="51" t="s">
        <v>474</v>
      </c>
      <c r="D18" s="53" t="s">
        <v>549</v>
      </c>
      <c r="E18" s="53">
        <v>38659.0</v>
      </c>
      <c r="F18" s="53">
        <v>1894.0</v>
      </c>
      <c r="G18" s="74">
        <v>201.0</v>
      </c>
      <c r="H18" s="55">
        <f t="shared" ref="H18:H28" si="14">iferror(F18/E18,"")</f>
        <v>0.04899247265</v>
      </c>
      <c r="I18" s="56">
        <v>380686.0</v>
      </c>
      <c r="J18" s="51">
        <v>31.0</v>
      </c>
      <c r="K18" s="57">
        <f t="shared" ref="K18:K28" si="15">iferror(J18/F18,"")</f>
        <v>0.01636747624</v>
      </c>
      <c r="L18" s="58">
        <f t="shared" ref="L18:L28" si="16">iferror(I18/J18,"")</f>
        <v>12280.19355</v>
      </c>
      <c r="M18" s="51">
        <v>-120000.0</v>
      </c>
      <c r="N18" s="51">
        <v>-1.0</v>
      </c>
      <c r="O18" s="53">
        <v>-2.0</v>
      </c>
      <c r="P18" s="59">
        <f t="shared" ref="P18:P28" si="17">iferror(N18/J18,"")</f>
        <v>-0.03225806452</v>
      </c>
      <c r="Q18" s="60">
        <f t="shared" ref="Q18:Q28" si="18">iferror(M18-I18,"")</f>
        <v>-500686</v>
      </c>
      <c r="R18" s="100">
        <f t="shared" ref="R18:R19" si="19">iferror(M18/I18,"")</f>
        <v>-0.3152204179</v>
      </c>
      <c r="S18" s="106">
        <f t="shared" ref="S18:S19" si="20">iferror(Q18/I18,"")</f>
        <v>-1.315220418</v>
      </c>
    </row>
    <row r="19">
      <c r="A19" s="27"/>
      <c r="B19" s="51" t="s">
        <v>25</v>
      </c>
      <c r="C19" s="51" t="s">
        <v>474</v>
      </c>
      <c r="D19" s="107">
        <v>45487.0</v>
      </c>
      <c r="E19" s="53">
        <v>29732.0</v>
      </c>
      <c r="F19" s="53">
        <v>1483.0</v>
      </c>
      <c r="G19" s="54">
        <f t="shared" ref="G19:G23" si="21">iferror(I19/F19,"")</f>
        <v>213.019555</v>
      </c>
      <c r="H19" s="55">
        <f t="shared" si="14"/>
        <v>0.04987891834</v>
      </c>
      <c r="I19" s="56">
        <v>315908.0</v>
      </c>
      <c r="J19" s="51">
        <v>26.0</v>
      </c>
      <c r="K19" s="57">
        <f t="shared" si="15"/>
        <v>0.01753202967</v>
      </c>
      <c r="L19" s="58">
        <f t="shared" si="16"/>
        <v>12150.30769</v>
      </c>
      <c r="M19" s="53">
        <v>0.0</v>
      </c>
      <c r="N19" s="51">
        <v>0.0</v>
      </c>
      <c r="O19" s="53">
        <v>0.0</v>
      </c>
      <c r="P19" s="59">
        <f t="shared" si="17"/>
        <v>0</v>
      </c>
      <c r="Q19" s="60">
        <f t="shared" si="18"/>
        <v>-315908</v>
      </c>
      <c r="R19" s="59">
        <f t="shared" si="19"/>
        <v>0</v>
      </c>
      <c r="S19" s="61">
        <f t="shared" si="20"/>
        <v>-1</v>
      </c>
    </row>
    <row r="20">
      <c r="A20" s="27"/>
      <c r="B20" s="51" t="s">
        <v>27</v>
      </c>
      <c r="C20" s="51" t="s">
        <v>474</v>
      </c>
      <c r="D20" s="62" t="s">
        <v>550</v>
      </c>
      <c r="E20" s="53">
        <v>29917.0</v>
      </c>
      <c r="F20" s="53">
        <v>1485.0</v>
      </c>
      <c r="G20" s="54">
        <f t="shared" si="21"/>
        <v>153.3016835</v>
      </c>
      <c r="H20" s="55">
        <f t="shared" si="14"/>
        <v>0.04963732995</v>
      </c>
      <c r="I20" s="56">
        <v>227653.0</v>
      </c>
      <c r="J20" s="51">
        <v>30.0</v>
      </c>
      <c r="K20" s="57">
        <f t="shared" si="15"/>
        <v>0.0202020202</v>
      </c>
      <c r="L20" s="58">
        <f t="shared" si="16"/>
        <v>7588.433333</v>
      </c>
      <c r="M20" s="51"/>
      <c r="N20" s="51"/>
      <c r="O20" s="53"/>
      <c r="P20" s="59">
        <f t="shared" si="17"/>
        <v>0</v>
      </c>
      <c r="Q20" s="60">
        <f t="shared" si="18"/>
        <v>-227653</v>
      </c>
      <c r="R20" s="59"/>
      <c r="S20" s="61"/>
    </row>
    <row r="21">
      <c r="A21" s="27"/>
      <c r="B21" s="51" t="s">
        <v>388</v>
      </c>
      <c r="C21" s="51"/>
      <c r="D21" s="53"/>
      <c r="E21" s="53"/>
      <c r="F21" s="53"/>
      <c r="G21" s="54" t="str">
        <f t="shared" si="21"/>
        <v/>
      </c>
      <c r="H21" s="55" t="str">
        <f t="shared" si="14"/>
        <v/>
      </c>
      <c r="I21" s="56"/>
      <c r="J21" s="51"/>
      <c r="K21" s="57" t="str">
        <f t="shared" si="15"/>
        <v/>
      </c>
      <c r="L21" s="58" t="str">
        <f t="shared" si="16"/>
        <v/>
      </c>
      <c r="M21" s="90"/>
      <c r="N21" s="90"/>
      <c r="O21" s="89"/>
      <c r="P21" s="59" t="str">
        <f t="shared" si="17"/>
        <v/>
      </c>
      <c r="Q21" s="60">
        <f t="shared" si="18"/>
        <v>0</v>
      </c>
      <c r="R21" s="59"/>
      <c r="S21" s="61"/>
    </row>
    <row r="22">
      <c r="A22" s="27"/>
      <c r="B22" s="51" t="s">
        <v>28</v>
      </c>
      <c r="C22" s="51" t="s">
        <v>474</v>
      </c>
      <c r="D22" s="108">
        <v>45484.78725125</v>
      </c>
      <c r="E22" s="53">
        <v>35773.0</v>
      </c>
      <c r="F22" s="53">
        <v>1811.0</v>
      </c>
      <c r="G22" s="54">
        <f t="shared" si="21"/>
        <v>153.8188846</v>
      </c>
      <c r="H22" s="55">
        <f t="shared" si="14"/>
        <v>0.05062477287</v>
      </c>
      <c r="I22" s="56">
        <v>278566.0</v>
      </c>
      <c r="J22" s="51">
        <v>14.0</v>
      </c>
      <c r="K22" s="57">
        <f t="shared" si="15"/>
        <v>0.007730535616</v>
      </c>
      <c r="L22" s="58">
        <f t="shared" si="16"/>
        <v>19897.57143</v>
      </c>
      <c r="M22" s="51">
        <v>0.0</v>
      </c>
      <c r="N22" s="51">
        <v>0.0</v>
      </c>
      <c r="O22" s="53">
        <v>0.0</v>
      </c>
      <c r="P22" s="59">
        <f t="shared" si="17"/>
        <v>0</v>
      </c>
      <c r="Q22" s="60">
        <f t="shared" si="18"/>
        <v>-278566</v>
      </c>
      <c r="R22" s="59"/>
      <c r="S22" s="61"/>
    </row>
    <row r="23">
      <c r="A23" s="27"/>
      <c r="B23" s="51" t="s">
        <v>524</v>
      </c>
      <c r="C23" s="51" t="s">
        <v>474</v>
      </c>
      <c r="D23" s="51" t="s">
        <v>551</v>
      </c>
      <c r="E23" s="53">
        <v>34288.0</v>
      </c>
      <c r="F23" s="53">
        <v>2755.0</v>
      </c>
      <c r="G23" s="54">
        <f t="shared" si="21"/>
        <v>101.6294011</v>
      </c>
      <c r="H23" s="55">
        <f t="shared" si="14"/>
        <v>0.08034881008</v>
      </c>
      <c r="I23" s="56">
        <v>279989.0</v>
      </c>
      <c r="J23" s="51">
        <v>38.0</v>
      </c>
      <c r="K23" s="57">
        <f t="shared" si="15"/>
        <v>0.01379310345</v>
      </c>
      <c r="L23" s="58">
        <f t="shared" si="16"/>
        <v>7368.131579</v>
      </c>
      <c r="M23" s="53">
        <v>240000.0</v>
      </c>
      <c r="N23" s="51">
        <v>2.0</v>
      </c>
      <c r="O23" s="53">
        <v>5.0</v>
      </c>
      <c r="P23" s="59">
        <f t="shared" si="17"/>
        <v>0.05263157895</v>
      </c>
      <c r="Q23" s="60">
        <f t="shared" si="18"/>
        <v>-39989</v>
      </c>
      <c r="R23" s="59">
        <f>iferror(M23/I23,"")</f>
        <v>0.8571765319</v>
      </c>
      <c r="S23" s="61">
        <f>iferror(Q23/I23,"")</f>
        <v>-0.1428234681</v>
      </c>
    </row>
    <row r="24">
      <c r="A24" s="27"/>
      <c r="B24" s="51" t="s">
        <v>537</v>
      </c>
      <c r="C24" s="51" t="s">
        <v>474</v>
      </c>
      <c r="D24" s="53" t="s">
        <v>552</v>
      </c>
      <c r="E24" s="53">
        <v>16134.0</v>
      </c>
      <c r="F24" s="53">
        <v>704.0</v>
      </c>
      <c r="G24" s="74">
        <v>233.0</v>
      </c>
      <c r="H24" s="55">
        <f t="shared" si="14"/>
        <v>0.04363456056</v>
      </c>
      <c r="I24" s="56">
        <v>164121.0</v>
      </c>
      <c r="J24" s="51">
        <v>7.0</v>
      </c>
      <c r="K24" s="57">
        <f t="shared" si="15"/>
        <v>0.009943181818</v>
      </c>
      <c r="L24" s="58">
        <f t="shared" si="16"/>
        <v>23445.85714</v>
      </c>
      <c r="M24" s="90"/>
      <c r="N24" s="90"/>
      <c r="O24" s="89"/>
      <c r="P24" s="59">
        <f t="shared" si="17"/>
        <v>0</v>
      </c>
      <c r="Q24" s="60">
        <f t="shared" si="18"/>
        <v>-164121</v>
      </c>
      <c r="R24" s="59"/>
      <c r="S24" s="61"/>
    </row>
    <row r="25">
      <c r="A25" s="27"/>
      <c r="B25" s="51" t="s">
        <v>390</v>
      </c>
      <c r="C25" s="51" t="s">
        <v>474</v>
      </c>
      <c r="D25" s="53" t="s">
        <v>553</v>
      </c>
      <c r="E25" s="53">
        <v>29260.0</v>
      </c>
      <c r="F25" s="53">
        <v>1605.0</v>
      </c>
      <c r="G25" s="54">
        <f t="shared" ref="G25:G27" si="22">iferror(I25/F25,"")</f>
        <v>137.271028</v>
      </c>
      <c r="H25" s="55">
        <f t="shared" si="14"/>
        <v>0.0548530417</v>
      </c>
      <c r="I25" s="56">
        <v>220320.0</v>
      </c>
      <c r="J25" s="51">
        <v>29.0</v>
      </c>
      <c r="K25" s="57">
        <f t="shared" si="15"/>
        <v>0.01806853583</v>
      </c>
      <c r="L25" s="58">
        <f t="shared" si="16"/>
        <v>7597.241379</v>
      </c>
      <c r="M25" s="90"/>
      <c r="N25" s="90"/>
      <c r="O25" s="89"/>
      <c r="P25" s="59">
        <f t="shared" si="17"/>
        <v>0</v>
      </c>
      <c r="Q25" s="60">
        <f t="shared" si="18"/>
        <v>-220320</v>
      </c>
      <c r="R25" s="59">
        <f>iferror(M25/I25*100, "")</f>
        <v>0</v>
      </c>
      <c r="S25" s="61">
        <f>iferror(Q25/I25,"")</f>
        <v>-1</v>
      </c>
      <c r="W25" s="109"/>
    </row>
    <row r="26">
      <c r="A26" s="27"/>
      <c r="B26" s="51" t="s">
        <v>538</v>
      </c>
      <c r="C26" s="51" t="s">
        <v>474</v>
      </c>
      <c r="D26" s="110">
        <v>45486.45416666667</v>
      </c>
      <c r="E26" s="53">
        <v>10692.0</v>
      </c>
      <c r="F26" s="53">
        <v>620.0</v>
      </c>
      <c r="G26" s="54">
        <f t="shared" si="22"/>
        <v>256.2225806</v>
      </c>
      <c r="H26" s="55">
        <f t="shared" si="14"/>
        <v>0.05798728021</v>
      </c>
      <c r="I26" s="56">
        <v>158858.0</v>
      </c>
      <c r="J26" s="51">
        <v>2.0</v>
      </c>
      <c r="K26" s="57">
        <f t="shared" si="15"/>
        <v>0.003225806452</v>
      </c>
      <c r="L26" s="58">
        <f t="shared" si="16"/>
        <v>79429</v>
      </c>
      <c r="M26" s="51">
        <v>0.0</v>
      </c>
      <c r="N26" s="51">
        <v>0.0</v>
      </c>
      <c r="O26" s="53">
        <v>0.0</v>
      </c>
      <c r="P26" s="59">
        <f t="shared" si="17"/>
        <v>0</v>
      </c>
      <c r="Q26" s="60">
        <f t="shared" si="18"/>
        <v>-158858</v>
      </c>
      <c r="R26" s="59"/>
      <c r="S26" s="61"/>
      <c r="U26" s="111"/>
    </row>
    <row r="27">
      <c r="A27" s="27"/>
      <c r="B27" s="51" t="s">
        <v>539</v>
      </c>
      <c r="C27" s="51" t="s">
        <v>474</v>
      </c>
      <c r="D27" s="53" t="s">
        <v>554</v>
      </c>
      <c r="E27" s="53">
        <v>19040.0</v>
      </c>
      <c r="F27" s="53">
        <v>1117.0</v>
      </c>
      <c r="G27" s="54">
        <f t="shared" si="22"/>
        <v>122.9561325</v>
      </c>
      <c r="H27" s="55">
        <f t="shared" si="14"/>
        <v>0.05866596639</v>
      </c>
      <c r="I27" s="56">
        <v>137342.0</v>
      </c>
      <c r="J27" s="51">
        <v>6.0</v>
      </c>
      <c r="K27" s="57">
        <f t="shared" si="15"/>
        <v>0.005371530886</v>
      </c>
      <c r="L27" s="58">
        <f t="shared" si="16"/>
        <v>22890.33333</v>
      </c>
      <c r="M27" s="90"/>
      <c r="N27" s="90"/>
      <c r="O27" s="89"/>
      <c r="P27" s="59">
        <f t="shared" si="17"/>
        <v>0</v>
      </c>
      <c r="Q27" s="60">
        <f t="shared" si="18"/>
        <v>-137342</v>
      </c>
      <c r="R27" s="59"/>
      <c r="S27" s="61"/>
    </row>
    <row r="28">
      <c r="A28" s="10"/>
      <c r="B28" s="51" t="s">
        <v>540</v>
      </c>
      <c r="C28" s="51" t="s">
        <v>474</v>
      </c>
      <c r="D28" s="107">
        <v>45486.0</v>
      </c>
      <c r="E28" s="53">
        <v>1102.0</v>
      </c>
      <c r="F28" s="53">
        <v>106.0</v>
      </c>
      <c r="G28" s="74">
        <v>288.0</v>
      </c>
      <c r="H28" s="55">
        <f t="shared" si="14"/>
        <v>0.09618874773</v>
      </c>
      <c r="I28" s="56">
        <v>30485.0</v>
      </c>
      <c r="J28" s="51">
        <v>11.0</v>
      </c>
      <c r="K28" s="57">
        <f t="shared" si="15"/>
        <v>0.1037735849</v>
      </c>
      <c r="L28" s="58">
        <f t="shared" si="16"/>
        <v>2771.363636</v>
      </c>
      <c r="M28" s="90"/>
      <c r="N28" s="90"/>
      <c r="O28" s="89"/>
      <c r="P28" s="59">
        <f t="shared" si="17"/>
        <v>0</v>
      </c>
      <c r="Q28" s="60">
        <f t="shared" si="18"/>
        <v>-30485</v>
      </c>
      <c r="R28" s="59">
        <f>iferror(M28/I28*100, "")</f>
        <v>0</v>
      </c>
      <c r="S28" s="61">
        <f>iferror(Q28/I28,"")</f>
        <v>-1</v>
      </c>
    </row>
    <row r="29">
      <c r="A29" s="30" t="s">
        <v>29</v>
      </c>
      <c r="B29" s="31"/>
      <c r="C29" s="31"/>
      <c r="D29" s="31"/>
      <c r="E29" s="31"/>
      <c r="F29" s="32"/>
      <c r="G29" s="65">
        <f t="shared" ref="G29:H29" si="23">averageif(G18:G28,"&gt;0")</f>
        <v>186.0219265</v>
      </c>
      <c r="H29" s="66">
        <f t="shared" si="23"/>
        <v>0.05908119005</v>
      </c>
      <c r="I29" s="67"/>
      <c r="J29" s="68">
        <f>SUM(J18:J28)</f>
        <v>194</v>
      </c>
      <c r="K29" s="69">
        <f t="shared" ref="K29:L29" si="24">averageif(K18:K28,"&gt;0")</f>
        <v>0.02160078051</v>
      </c>
      <c r="L29" s="70">
        <f t="shared" si="24"/>
        <v>19541.84331</v>
      </c>
      <c r="M29" s="68">
        <f t="shared" ref="M29:O29" si="25">SUM(M18:M28)</f>
        <v>120000</v>
      </c>
      <c r="N29" s="71">
        <f t="shared" si="25"/>
        <v>1</v>
      </c>
      <c r="O29" s="68">
        <f t="shared" si="25"/>
        <v>3</v>
      </c>
      <c r="P29" s="72">
        <f>averageif(P18:P28,"&gt;0")</f>
        <v>0.05263157895</v>
      </c>
      <c r="Q29" s="67"/>
      <c r="R29" s="72">
        <f t="shared" ref="R29:S29" si="26">averageif(R18:R28,"&gt;0")</f>
        <v>0.8571765319</v>
      </c>
      <c r="S29" s="73" t="str">
        <f t="shared" si="26"/>
        <v>#DIV/0!</v>
      </c>
    </row>
    <row r="31">
      <c r="A31" s="112" t="s">
        <v>555</v>
      </c>
      <c r="B31" s="113" t="s">
        <v>1</v>
      </c>
      <c r="C31" s="114" t="s">
        <v>2</v>
      </c>
      <c r="D31" s="115"/>
      <c r="E31" s="115"/>
      <c r="F31" s="115"/>
      <c r="G31" s="115"/>
      <c r="H31" s="115"/>
      <c r="I31" s="116"/>
      <c r="J31" s="117" t="s">
        <v>3</v>
      </c>
      <c r="K31" s="115"/>
      <c r="L31" s="116"/>
      <c r="M31" s="118" t="s">
        <v>4</v>
      </c>
      <c r="N31" s="115"/>
      <c r="O31" s="115"/>
      <c r="P31" s="115"/>
      <c r="Q31" s="115"/>
      <c r="R31" s="115"/>
      <c r="S31" s="119"/>
    </row>
    <row r="32">
      <c r="A32" s="120"/>
      <c r="B32" s="11"/>
      <c r="C32" s="13" t="s">
        <v>465</v>
      </c>
      <c r="D32" s="12" t="s">
        <v>5</v>
      </c>
      <c r="E32" s="12" t="s">
        <v>6</v>
      </c>
      <c r="F32" s="12" t="s">
        <v>7</v>
      </c>
      <c r="G32" s="12" t="s">
        <v>556</v>
      </c>
      <c r="H32" s="12" t="s">
        <v>557</v>
      </c>
      <c r="I32" s="12" t="s">
        <v>10</v>
      </c>
      <c r="J32" s="12" t="s">
        <v>11</v>
      </c>
      <c r="K32" s="12" t="s">
        <v>558</v>
      </c>
      <c r="L32" s="12" t="s">
        <v>559</v>
      </c>
      <c r="M32" s="12" t="s">
        <v>16</v>
      </c>
      <c r="N32" s="12" t="s">
        <v>223</v>
      </c>
      <c r="O32" s="12" t="s">
        <v>226</v>
      </c>
      <c r="P32" s="12" t="s">
        <v>560</v>
      </c>
      <c r="Q32" s="12" t="s">
        <v>20</v>
      </c>
      <c r="R32" s="12" t="s">
        <v>561</v>
      </c>
      <c r="S32" s="121" t="s">
        <v>562</v>
      </c>
    </row>
    <row r="33">
      <c r="A33" s="120"/>
      <c r="B33" s="51" t="s">
        <v>24</v>
      </c>
      <c r="C33" s="51" t="s">
        <v>474</v>
      </c>
      <c r="D33" s="122">
        <v>45492.0</v>
      </c>
      <c r="E33" s="53">
        <v>51922.0</v>
      </c>
      <c r="F33" s="53">
        <v>2712.0</v>
      </c>
      <c r="G33" s="123">
        <v>138.0</v>
      </c>
      <c r="H33" s="124">
        <f t="shared" ref="H33:H35" si="27">iferror(F33/E33,"")</f>
        <v>0.05223219445</v>
      </c>
      <c r="I33" s="56">
        <v>442686.0</v>
      </c>
      <c r="J33" s="51">
        <v>42.0</v>
      </c>
      <c r="K33" s="125">
        <f t="shared" ref="K33:K35" si="28">iferror(J33/F33,"")</f>
        <v>0.01548672566</v>
      </c>
      <c r="L33" s="126">
        <f t="shared" ref="L33:L43" si="29">iferror(I33/J33,"")</f>
        <v>10540.14286</v>
      </c>
      <c r="M33" s="53">
        <v>120000.0</v>
      </c>
      <c r="N33" s="51">
        <v>1.0</v>
      </c>
      <c r="O33" s="53">
        <v>2.0</v>
      </c>
      <c r="P33" s="59">
        <f t="shared" ref="P33:P43" si="30">iferror(N33/J33,"")</f>
        <v>0.02380952381</v>
      </c>
      <c r="Q33" s="60">
        <f t="shared" ref="Q33:Q43" si="31">iferror(M33-I33,"")</f>
        <v>-322686</v>
      </c>
      <c r="R33" s="100">
        <f t="shared" ref="R33:R34" si="32">iferror(M33/I33,"")</f>
        <v>0.2710724983</v>
      </c>
      <c r="S33" s="106">
        <f t="shared" ref="S33:S43" si="33">iferror(Q33/I33,"")</f>
        <v>-0.7289275017</v>
      </c>
    </row>
    <row r="34">
      <c r="A34" s="120"/>
      <c r="B34" s="51" t="s">
        <v>25</v>
      </c>
      <c r="C34" s="51" t="s">
        <v>474</v>
      </c>
      <c r="D34" s="122">
        <v>45494.0</v>
      </c>
      <c r="E34" s="53">
        <v>38113.0</v>
      </c>
      <c r="F34" s="53">
        <v>1892.0</v>
      </c>
      <c r="G34" s="54">
        <f t="shared" ref="G34:G35" si="34">iferror(I34/F34,"")</f>
        <v>205.3192389</v>
      </c>
      <c r="H34" s="55">
        <f t="shared" si="27"/>
        <v>0.04964185449</v>
      </c>
      <c r="I34" s="56">
        <v>388464.0</v>
      </c>
      <c r="J34" s="51">
        <v>53.0</v>
      </c>
      <c r="K34" s="57">
        <f t="shared" si="28"/>
        <v>0.02801268499</v>
      </c>
      <c r="L34" s="58">
        <f t="shared" si="29"/>
        <v>7329.509434</v>
      </c>
      <c r="M34" s="53">
        <v>240000.0</v>
      </c>
      <c r="N34" s="51">
        <v>1.0</v>
      </c>
      <c r="O34" s="53">
        <v>4.0</v>
      </c>
      <c r="P34" s="59">
        <f t="shared" si="30"/>
        <v>0.01886792453</v>
      </c>
      <c r="Q34" s="60">
        <f t="shared" si="31"/>
        <v>-148464</v>
      </c>
      <c r="R34" s="59">
        <f t="shared" si="32"/>
        <v>0.6178178673</v>
      </c>
      <c r="S34" s="61">
        <f t="shared" si="33"/>
        <v>-0.3821821327</v>
      </c>
    </row>
    <row r="35">
      <c r="A35" s="120"/>
      <c r="B35" s="51" t="s">
        <v>27</v>
      </c>
      <c r="C35" s="51">
        <v>1.0</v>
      </c>
      <c r="D35" s="62" t="s">
        <v>563</v>
      </c>
      <c r="E35" s="53">
        <v>34158.0</v>
      </c>
      <c r="F35" s="53">
        <v>1588.0</v>
      </c>
      <c r="G35" s="54">
        <f t="shared" si="34"/>
        <v>148.384131</v>
      </c>
      <c r="H35" s="55">
        <f t="shared" si="27"/>
        <v>0.04648984133</v>
      </c>
      <c r="I35" s="56">
        <v>235634.0</v>
      </c>
      <c r="J35" s="51">
        <v>31.0</v>
      </c>
      <c r="K35" s="57">
        <f t="shared" si="28"/>
        <v>0.01952141058</v>
      </c>
      <c r="L35" s="58">
        <f t="shared" si="29"/>
        <v>7601.096774</v>
      </c>
      <c r="M35" s="53">
        <v>120000.0</v>
      </c>
      <c r="N35" s="51">
        <v>1.0</v>
      </c>
      <c r="O35" s="53">
        <v>2.0</v>
      </c>
      <c r="P35" s="59">
        <f t="shared" si="30"/>
        <v>0.03225806452</v>
      </c>
      <c r="Q35" s="60">
        <f t="shared" si="31"/>
        <v>-115634</v>
      </c>
      <c r="R35" s="59"/>
      <c r="S35" s="61">
        <f t="shared" si="33"/>
        <v>-0.4907356324</v>
      </c>
    </row>
    <row r="36">
      <c r="A36" s="120"/>
      <c r="B36" s="51" t="s">
        <v>388</v>
      </c>
      <c r="C36" s="51"/>
      <c r="D36" s="53"/>
      <c r="E36" s="53"/>
      <c r="G36" s="54">
        <f>iferror(I36/F37,"")</f>
        <v>0</v>
      </c>
      <c r="H36" s="55" t="str">
        <f>iferror(F37/E36,"")</f>
        <v/>
      </c>
      <c r="I36" s="56"/>
      <c r="J36" s="51"/>
      <c r="K36" s="57">
        <f>iferror(J36/F37,"")</f>
        <v>0</v>
      </c>
      <c r="L36" s="58" t="str">
        <f t="shared" si="29"/>
        <v/>
      </c>
      <c r="M36" s="90"/>
      <c r="N36" s="90"/>
      <c r="O36" s="89"/>
      <c r="P36" s="59" t="str">
        <f t="shared" si="30"/>
        <v/>
      </c>
      <c r="Q36" s="60">
        <f t="shared" si="31"/>
        <v>0</v>
      </c>
      <c r="R36" s="59"/>
      <c r="S36" s="61" t="str">
        <f t="shared" si="33"/>
        <v/>
      </c>
    </row>
    <row r="37">
      <c r="A37" s="120"/>
      <c r="B37" s="51" t="s">
        <v>28</v>
      </c>
      <c r="C37" s="51" t="s">
        <v>474</v>
      </c>
      <c r="D37" s="108">
        <v>45493.046882650466</v>
      </c>
      <c r="E37" s="53">
        <v>50341.0</v>
      </c>
      <c r="F37" s="53">
        <v>2562.0</v>
      </c>
      <c r="G37" s="54">
        <f t="shared" ref="G37:G43" si="35">iferror(I37/F37,"")</f>
        <v>149.3083528</v>
      </c>
      <c r="H37" s="55">
        <f t="shared" ref="H37:H43" si="36">iferror(F37/E37,"")</f>
        <v>0.05089291035</v>
      </c>
      <c r="I37" s="56">
        <v>382528.0</v>
      </c>
      <c r="J37" s="51">
        <v>23.0</v>
      </c>
      <c r="K37" s="57">
        <f t="shared" ref="K37:K43" si="37">iferror(J37/F37,"")</f>
        <v>0.008977361436</v>
      </c>
      <c r="L37" s="58">
        <f t="shared" si="29"/>
        <v>16631.65217</v>
      </c>
      <c r="M37" s="51">
        <v>0.0</v>
      </c>
      <c r="N37" s="51">
        <v>0.0</v>
      </c>
      <c r="O37" s="53">
        <v>0.0</v>
      </c>
      <c r="P37" s="59">
        <f t="shared" si="30"/>
        <v>0</v>
      </c>
      <c r="Q37" s="60">
        <f t="shared" si="31"/>
        <v>-382528</v>
      </c>
      <c r="R37" s="59">
        <f t="shared" ref="R37:R38" si="38">iferror(M37/I37,"")</f>
        <v>0</v>
      </c>
      <c r="S37" s="61">
        <f t="shared" si="33"/>
        <v>-1</v>
      </c>
    </row>
    <row r="38">
      <c r="A38" s="120"/>
      <c r="B38" s="51" t="s">
        <v>524</v>
      </c>
      <c r="C38" s="51" t="s">
        <v>474</v>
      </c>
      <c r="D38" s="53" t="s">
        <v>564</v>
      </c>
      <c r="E38" s="53">
        <v>38309.0</v>
      </c>
      <c r="F38" s="53">
        <v>2518.0</v>
      </c>
      <c r="G38" s="54">
        <f t="shared" si="35"/>
        <v>102.5853852</v>
      </c>
      <c r="H38" s="55">
        <f t="shared" si="36"/>
        <v>0.06572867994</v>
      </c>
      <c r="I38" s="56">
        <v>258310.0</v>
      </c>
      <c r="J38" s="51">
        <v>27.0</v>
      </c>
      <c r="K38" s="57">
        <f t="shared" si="37"/>
        <v>0.01072279587</v>
      </c>
      <c r="L38" s="58">
        <f t="shared" si="29"/>
        <v>9567.037037</v>
      </c>
      <c r="M38" s="53">
        <v>300000.0</v>
      </c>
      <c r="N38" s="51">
        <v>2.0</v>
      </c>
      <c r="O38" s="53">
        <v>4.0</v>
      </c>
      <c r="P38" s="59">
        <f t="shared" si="30"/>
        <v>0.07407407407</v>
      </c>
      <c r="Q38" s="60">
        <f t="shared" si="31"/>
        <v>41690</v>
      </c>
      <c r="R38" s="59">
        <f t="shared" si="38"/>
        <v>1.161395223</v>
      </c>
      <c r="S38" s="61">
        <f t="shared" si="33"/>
        <v>0.1613952228</v>
      </c>
    </row>
    <row r="39">
      <c r="A39" s="120"/>
      <c r="B39" s="51" t="s">
        <v>537</v>
      </c>
      <c r="C39" s="90"/>
      <c r="D39" s="89"/>
      <c r="E39" s="89"/>
      <c r="F39" s="89"/>
      <c r="G39" s="54" t="str">
        <f t="shared" si="35"/>
        <v/>
      </c>
      <c r="H39" s="124" t="str">
        <f t="shared" si="36"/>
        <v/>
      </c>
      <c r="I39" s="92"/>
      <c r="J39" s="90"/>
      <c r="K39" s="125" t="str">
        <f t="shared" si="37"/>
        <v/>
      </c>
      <c r="L39" s="126" t="str">
        <f t="shared" si="29"/>
        <v/>
      </c>
      <c r="M39" s="90"/>
      <c r="N39" s="90"/>
      <c r="O39" s="89"/>
      <c r="P39" s="59" t="str">
        <f t="shared" si="30"/>
        <v/>
      </c>
      <c r="Q39" s="60">
        <f t="shared" si="31"/>
        <v>0</v>
      </c>
      <c r="R39" s="59"/>
      <c r="S39" s="61" t="str">
        <f t="shared" si="33"/>
        <v/>
      </c>
    </row>
    <row r="40">
      <c r="A40" s="120"/>
      <c r="B40" s="51" t="s">
        <v>390</v>
      </c>
      <c r="C40" s="90"/>
      <c r="D40" s="89"/>
      <c r="E40" s="89"/>
      <c r="F40" s="89"/>
      <c r="G40" s="54" t="str">
        <f t="shared" si="35"/>
        <v/>
      </c>
      <c r="H40" s="124" t="str">
        <f t="shared" si="36"/>
        <v/>
      </c>
      <c r="I40" s="92"/>
      <c r="J40" s="90"/>
      <c r="K40" s="125" t="str">
        <f t="shared" si="37"/>
        <v/>
      </c>
      <c r="L40" s="126" t="str">
        <f t="shared" si="29"/>
        <v/>
      </c>
      <c r="M40" s="90"/>
      <c r="N40" s="90"/>
      <c r="O40" s="89"/>
      <c r="P40" s="59" t="str">
        <f t="shared" si="30"/>
        <v/>
      </c>
      <c r="Q40" s="60">
        <f t="shared" si="31"/>
        <v>0</v>
      </c>
      <c r="R40" s="59" t="str">
        <f>iferror(M40/I40*100, "")</f>
        <v/>
      </c>
      <c r="S40" s="61" t="str">
        <f t="shared" si="33"/>
        <v/>
      </c>
    </row>
    <row r="41">
      <c r="A41" s="120"/>
      <c r="B41" s="51" t="s">
        <v>538</v>
      </c>
      <c r="C41" s="51" t="s">
        <v>474</v>
      </c>
      <c r="D41" s="127">
        <v>45493.44305555556</v>
      </c>
      <c r="E41" s="53">
        <v>10261.0</v>
      </c>
      <c r="F41" s="53">
        <v>443.0</v>
      </c>
      <c r="G41" s="54">
        <f t="shared" si="35"/>
        <v>186.7020316</v>
      </c>
      <c r="H41" s="124">
        <f t="shared" si="36"/>
        <v>0.04317318</v>
      </c>
      <c r="I41" s="56">
        <v>82709.0</v>
      </c>
      <c r="J41" s="51">
        <v>14.0</v>
      </c>
      <c r="K41" s="125">
        <f t="shared" si="37"/>
        <v>0.0316027088</v>
      </c>
      <c r="L41" s="126">
        <f t="shared" si="29"/>
        <v>5907.785714</v>
      </c>
      <c r="M41" s="51"/>
      <c r="N41" s="51"/>
      <c r="O41" s="53"/>
      <c r="P41" s="59">
        <f t="shared" si="30"/>
        <v>0</v>
      </c>
      <c r="Q41" s="60">
        <f t="shared" si="31"/>
        <v>-82709</v>
      </c>
      <c r="R41" s="59"/>
      <c r="S41" s="61">
        <f t="shared" si="33"/>
        <v>-1</v>
      </c>
    </row>
    <row r="42">
      <c r="A42" s="120"/>
      <c r="B42" s="51" t="s">
        <v>539</v>
      </c>
      <c r="C42" s="51" t="s">
        <v>474</v>
      </c>
      <c r="D42" s="53" t="s">
        <v>554</v>
      </c>
      <c r="E42" s="53">
        <v>18252.0</v>
      </c>
      <c r="F42" s="53">
        <v>974.0</v>
      </c>
      <c r="G42" s="54">
        <f t="shared" si="35"/>
        <v>133.1098563</v>
      </c>
      <c r="H42" s="55">
        <f t="shared" si="36"/>
        <v>0.0533640149</v>
      </c>
      <c r="I42" s="56">
        <v>129649.0</v>
      </c>
      <c r="J42" s="51">
        <v>4.0</v>
      </c>
      <c r="K42" s="57">
        <f t="shared" si="37"/>
        <v>0.004106776181</v>
      </c>
      <c r="L42" s="58">
        <f t="shared" si="29"/>
        <v>32412.25</v>
      </c>
      <c r="M42" s="90"/>
      <c r="N42" s="90"/>
      <c r="O42" s="89"/>
      <c r="P42" s="59">
        <f t="shared" si="30"/>
        <v>0</v>
      </c>
      <c r="Q42" s="60">
        <f t="shared" si="31"/>
        <v>-129649</v>
      </c>
      <c r="R42" s="59"/>
      <c r="S42" s="61">
        <f t="shared" si="33"/>
        <v>-1</v>
      </c>
    </row>
    <row r="43">
      <c r="A43" s="128"/>
      <c r="B43" s="51" t="s">
        <v>540</v>
      </c>
      <c r="C43" s="90"/>
      <c r="D43" s="89"/>
      <c r="E43" s="89"/>
      <c r="F43" s="89"/>
      <c r="G43" s="54" t="str">
        <f t="shared" si="35"/>
        <v/>
      </c>
      <c r="H43" s="124" t="str">
        <f t="shared" si="36"/>
        <v/>
      </c>
      <c r="I43" s="92"/>
      <c r="J43" s="90"/>
      <c r="K43" s="125" t="str">
        <f t="shared" si="37"/>
        <v/>
      </c>
      <c r="L43" s="126" t="str">
        <f t="shared" si="29"/>
        <v/>
      </c>
      <c r="M43" s="90"/>
      <c r="N43" s="90"/>
      <c r="O43" s="89"/>
      <c r="P43" s="59" t="str">
        <f t="shared" si="30"/>
        <v/>
      </c>
      <c r="Q43" s="60">
        <f t="shared" si="31"/>
        <v>0</v>
      </c>
      <c r="R43" s="59" t="str">
        <f>iferror(M43/I43*100, "")</f>
        <v/>
      </c>
      <c r="S43" s="61" t="str">
        <f t="shared" si="33"/>
        <v/>
      </c>
    </row>
    <row r="44">
      <c r="A44" s="129" t="s">
        <v>29</v>
      </c>
      <c r="B44" s="130"/>
      <c r="C44" s="130"/>
      <c r="D44" s="130"/>
      <c r="E44" s="130"/>
      <c r="F44" s="131"/>
      <c r="G44" s="65">
        <f t="shared" ref="G44:H44" si="39">averageif(G33:G43,"&gt;0")</f>
        <v>151.9155708</v>
      </c>
      <c r="H44" s="66">
        <f t="shared" si="39"/>
        <v>0.05164609649</v>
      </c>
      <c r="I44" s="67"/>
      <c r="J44" s="68">
        <f>SUM(J33:J43)</f>
        <v>194</v>
      </c>
      <c r="K44" s="69">
        <f t="shared" ref="K44:L44" si="40">averageif(K33:K43,"&gt;0")</f>
        <v>0.01691863765</v>
      </c>
      <c r="L44" s="70">
        <f t="shared" si="40"/>
        <v>12855.63914</v>
      </c>
      <c r="M44" s="68">
        <f t="shared" ref="M44:O44" si="41">SUM(M33:M43)</f>
        <v>780000</v>
      </c>
      <c r="N44" s="71">
        <f t="shared" si="41"/>
        <v>5</v>
      </c>
      <c r="O44" s="68">
        <f t="shared" si="41"/>
        <v>12</v>
      </c>
      <c r="P44" s="72">
        <f>averageif(P33:P43,"&gt;0")</f>
        <v>0.03725239673</v>
      </c>
      <c r="Q44" s="67"/>
      <c r="R44" s="72">
        <f t="shared" ref="R44:S44" si="42">averageif(R33:R43,"&gt;0")</f>
        <v>0.6834285295</v>
      </c>
      <c r="S44" s="73">
        <f t="shared" si="42"/>
        <v>0.1613952228</v>
      </c>
    </row>
    <row r="46">
      <c r="A46" s="105" t="s">
        <v>565</v>
      </c>
      <c r="B46" s="113" t="s">
        <v>1</v>
      </c>
      <c r="C46" s="114" t="s">
        <v>2</v>
      </c>
      <c r="D46" s="115"/>
      <c r="E46" s="115"/>
      <c r="F46" s="115"/>
      <c r="G46" s="115"/>
      <c r="H46" s="115"/>
      <c r="I46" s="116"/>
      <c r="J46" s="117" t="s">
        <v>3</v>
      </c>
      <c r="K46" s="115"/>
      <c r="L46" s="116"/>
      <c r="M46" s="118" t="s">
        <v>4</v>
      </c>
      <c r="N46" s="115"/>
      <c r="O46" s="115"/>
      <c r="P46" s="115"/>
      <c r="Q46" s="115"/>
      <c r="R46" s="115"/>
      <c r="S46" s="119"/>
    </row>
    <row r="47">
      <c r="A47" s="27"/>
      <c r="B47" s="11"/>
      <c r="C47" s="13" t="s">
        <v>465</v>
      </c>
      <c r="D47" s="12" t="s">
        <v>5</v>
      </c>
      <c r="E47" s="12" t="s">
        <v>6</v>
      </c>
      <c r="F47" s="12" t="s">
        <v>7</v>
      </c>
      <c r="G47" s="12" t="s">
        <v>566</v>
      </c>
      <c r="H47" s="12" t="s">
        <v>567</v>
      </c>
      <c r="I47" s="12" t="s">
        <v>10</v>
      </c>
      <c r="J47" s="12" t="s">
        <v>11</v>
      </c>
      <c r="K47" s="12" t="s">
        <v>568</v>
      </c>
      <c r="L47" s="12" t="s">
        <v>569</v>
      </c>
      <c r="M47" s="12" t="s">
        <v>16</v>
      </c>
      <c r="N47" s="12" t="s">
        <v>223</v>
      </c>
      <c r="O47" s="12" t="s">
        <v>226</v>
      </c>
      <c r="P47" s="12" t="s">
        <v>570</v>
      </c>
      <c r="Q47" s="12" t="s">
        <v>20</v>
      </c>
      <c r="R47" s="12" t="s">
        <v>571</v>
      </c>
      <c r="S47" s="121" t="s">
        <v>572</v>
      </c>
    </row>
    <row r="48">
      <c r="A48" s="27"/>
      <c r="B48" s="132" t="s">
        <v>24</v>
      </c>
      <c r="C48" s="132" t="s">
        <v>474</v>
      </c>
      <c r="D48" s="133">
        <v>45499.0</v>
      </c>
      <c r="E48" s="134">
        <v>66543.0</v>
      </c>
      <c r="F48" s="134">
        <v>3471.0</v>
      </c>
      <c r="G48" s="135">
        <v>126.0</v>
      </c>
      <c r="H48" s="136">
        <f t="shared" ref="H48:H50" si="43">iferror(F48/E48,"")</f>
        <v>0.05216176006</v>
      </c>
      <c r="I48" s="137">
        <v>512608.0</v>
      </c>
      <c r="J48" s="132">
        <v>32.0</v>
      </c>
      <c r="K48" s="138">
        <f t="shared" ref="K48:K58" si="44">iferror(J48/F48,"")</f>
        <v>0.009219245174</v>
      </c>
      <c r="L48" s="139">
        <f t="shared" ref="L48:L58" si="45">iferror(I48/J48,"")</f>
        <v>16019</v>
      </c>
      <c r="M48" s="134">
        <v>1290000.0</v>
      </c>
      <c r="N48" s="132">
        <v>3.0</v>
      </c>
      <c r="O48" s="134">
        <v>15.0</v>
      </c>
      <c r="P48" s="140">
        <f t="shared" ref="P48:P53" si="46">iferror(N48/J48,"")</f>
        <v>0.09375</v>
      </c>
      <c r="Q48" s="141">
        <f t="shared" ref="Q48:Q58" si="47">iferror(M48-I48,"")</f>
        <v>777392</v>
      </c>
      <c r="R48" s="142">
        <f t="shared" ref="R48:R49" si="48">iferror(M48/I48,"")</f>
        <v>2.516542855</v>
      </c>
      <c r="S48" s="143">
        <f t="shared" ref="S48:S58" si="49">iferror(Q48/I48,"")</f>
        <v>1.516542855</v>
      </c>
    </row>
    <row r="49">
      <c r="A49" s="27"/>
      <c r="B49" s="51" t="s">
        <v>25</v>
      </c>
      <c r="C49" s="51" t="s">
        <v>474</v>
      </c>
      <c r="D49" s="122">
        <v>45501.0</v>
      </c>
      <c r="E49" s="53">
        <v>11970.0</v>
      </c>
      <c r="F49" s="53">
        <v>780.0</v>
      </c>
      <c r="G49" s="54">
        <f t="shared" ref="G49:G50" si="50">iferror(I49/F49,"")</f>
        <v>352.6320513</v>
      </c>
      <c r="H49" s="55">
        <f t="shared" si="43"/>
        <v>0.06516290727</v>
      </c>
      <c r="I49" s="56">
        <v>275053.0</v>
      </c>
      <c r="J49" s="51">
        <v>68.0</v>
      </c>
      <c r="K49" s="57">
        <f t="shared" si="44"/>
        <v>0.08717948718</v>
      </c>
      <c r="L49" s="58">
        <f t="shared" si="45"/>
        <v>4044.897059</v>
      </c>
      <c r="M49" s="53">
        <v>120000.0</v>
      </c>
      <c r="N49" s="51">
        <v>1.0</v>
      </c>
      <c r="O49" s="53">
        <v>2.0</v>
      </c>
      <c r="P49" s="59">
        <f t="shared" si="46"/>
        <v>0.01470588235</v>
      </c>
      <c r="Q49" s="60">
        <f t="shared" si="47"/>
        <v>-155053</v>
      </c>
      <c r="R49" s="59">
        <f t="shared" si="48"/>
        <v>0.4362795534</v>
      </c>
      <c r="S49" s="61">
        <f t="shared" si="49"/>
        <v>-0.5637204466</v>
      </c>
    </row>
    <row r="50">
      <c r="A50" s="27"/>
      <c r="B50" s="51" t="s">
        <v>27</v>
      </c>
      <c r="C50" s="51">
        <v>4.0</v>
      </c>
      <c r="D50" s="51" t="s">
        <v>573</v>
      </c>
      <c r="E50" s="53">
        <v>42205.0</v>
      </c>
      <c r="F50" s="53">
        <v>1741.0</v>
      </c>
      <c r="G50" s="54">
        <f t="shared" si="50"/>
        <v>142.7771396</v>
      </c>
      <c r="H50" s="55">
        <f t="shared" si="43"/>
        <v>0.04125103661</v>
      </c>
      <c r="I50" s="56">
        <v>248575.0</v>
      </c>
      <c r="J50" s="51">
        <v>34.0</v>
      </c>
      <c r="K50" s="57">
        <f t="shared" si="44"/>
        <v>0.01952900632</v>
      </c>
      <c r="L50" s="58">
        <f t="shared" si="45"/>
        <v>7311.029412</v>
      </c>
      <c r="M50" s="144">
        <v>480000.0</v>
      </c>
      <c r="N50" s="51">
        <v>1.0</v>
      </c>
      <c r="O50" s="53">
        <v>8.0</v>
      </c>
      <c r="P50" s="59">
        <f t="shared" si="46"/>
        <v>0.02941176471</v>
      </c>
      <c r="Q50" s="60">
        <f t="shared" si="47"/>
        <v>231425</v>
      </c>
      <c r="R50" s="59"/>
      <c r="S50" s="61">
        <f t="shared" si="49"/>
        <v>0.9310067384</v>
      </c>
    </row>
    <row r="51">
      <c r="A51" s="27"/>
      <c r="B51" s="51" t="s">
        <v>388</v>
      </c>
      <c r="C51" s="51"/>
      <c r="D51" s="53"/>
      <c r="E51" s="53"/>
      <c r="F51" s="53"/>
      <c r="G51" s="54"/>
      <c r="H51" s="55" t="str">
        <f>iferror(F52/E51,"")</f>
        <v/>
      </c>
      <c r="I51" s="56"/>
      <c r="J51" s="51"/>
      <c r="K51" s="57" t="str">
        <f t="shared" si="44"/>
        <v/>
      </c>
      <c r="L51" s="58" t="str">
        <f t="shared" si="45"/>
        <v/>
      </c>
      <c r="M51" s="89"/>
      <c r="N51" s="90"/>
      <c r="O51" s="89"/>
      <c r="P51" s="59" t="str">
        <f t="shared" si="46"/>
        <v/>
      </c>
      <c r="Q51" s="60">
        <f t="shared" si="47"/>
        <v>0</v>
      </c>
      <c r="R51" s="59"/>
      <c r="S51" s="61" t="str">
        <f t="shared" si="49"/>
        <v/>
      </c>
    </row>
    <row r="52">
      <c r="A52" s="27"/>
      <c r="B52" s="51" t="s">
        <v>28</v>
      </c>
      <c r="C52" s="51" t="s">
        <v>474</v>
      </c>
      <c r="D52" s="145">
        <v>45499.0</v>
      </c>
      <c r="E52" s="53">
        <v>47670.0</v>
      </c>
      <c r="F52" s="53">
        <v>2560.0</v>
      </c>
      <c r="G52" s="54">
        <f t="shared" ref="G52:G58" si="51">iferror(I52/F52,"")</f>
        <v>170.7175781</v>
      </c>
      <c r="H52" s="55">
        <f t="shared" ref="H52:H58" si="52">iferror(F52/E52,"")</f>
        <v>0.05370253828</v>
      </c>
      <c r="I52" s="53">
        <v>437037.0</v>
      </c>
      <c r="J52" s="51">
        <v>23.0</v>
      </c>
      <c r="K52" s="57">
        <f t="shared" si="44"/>
        <v>0.008984375</v>
      </c>
      <c r="L52" s="58">
        <f t="shared" si="45"/>
        <v>19001.6087</v>
      </c>
      <c r="M52" s="53">
        <v>120000.0</v>
      </c>
      <c r="N52" s="51">
        <v>1.0</v>
      </c>
      <c r="O52" s="53">
        <v>3.0</v>
      </c>
      <c r="P52" s="59">
        <f t="shared" si="46"/>
        <v>0.04347826087</v>
      </c>
      <c r="Q52" s="60">
        <f t="shared" si="47"/>
        <v>-317037</v>
      </c>
      <c r="R52" s="59">
        <f t="shared" ref="R52:R53" si="53">iferror(M52/I52,"")</f>
        <v>0.2745762945</v>
      </c>
      <c r="S52" s="61">
        <f t="shared" si="49"/>
        <v>-0.7254237055</v>
      </c>
    </row>
    <row r="53">
      <c r="A53" s="27"/>
      <c r="B53" s="51" t="s">
        <v>524</v>
      </c>
      <c r="C53" s="51" t="s">
        <v>474</v>
      </c>
      <c r="D53" s="53" t="s">
        <v>574</v>
      </c>
      <c r="E53" s="53">
        <v>33951.0</v>
      </c>
      <c r="F53" s="53">
        <v>2052.0</v>
      </c>
      <c r="G53" s="54">
        <f t="shared" si="51"/>
        <v>102.3377193</v>
      </c>
      <c r="H53" s="55">
        <f t="shared" si="52"/>
        <v>0.06044004595</v>
      </c>
      <c r="I53" s="56">
        <v>209997.0</v>
      </c>
      <c r="J53" s="51">
        <v>21.0</v>
      </c>
      <c r="K53" s="57">
        <f t="shared" si="44"/>
        <v>0.01023391813</v>
      </c>
      <c r="L53" s="58">
        <f t="shared" si="45"/>
        <v>9999.857143</v>
      </c>
      <c r="M53" s="53">
        <v>480000.0</v>
      </c>
      <c r="N53" s="51">
        <v>2.0</v>
      </c>
      <c r="O53" s="53">
        <v>6.0</v>
      </c>
      <c r="P53" s="59">
        <f t="shared" si="46"/>
        <v>0.09523809524</v>
      </c>
      <c r="Q53" s="60">
        <f t="shared" si="47"/>
        <v>270003</v>
      </c>
      <c r="R53" s="59">
        <f t="shared" si="53"/>
        <v>2.285746939</v>
      </c>
      <c r="S53" s="61">
        <f t="shared" si="49"/>
        <v>1.285746939</v>
      </c>
    </row>
    <row r="54">
      <c r="A54" s="27"/>
      <c r="B54" s="51" t="s">
        <v>537</v>
      </c>
      <c r="C54" s="90"/>
      <c r="D54" s="89"/>
      <c r="E54" s="89"/>
      <c r="F54" s="89"/>
      <c r="G54" s="54" t="str">
        <f t="shared" si="51"/>
        <v/>
      </c>
      <c r="H54" s="124" t="str">
        <f t="shared" si="52"/>
        <v/>
      </c>
      <c r="I54" s="92"/>
      <c r="J54" s="90"/>
      <c r="K54" s="57" t="str">
        <f t="shared" si="44"/>
        <v/>
      </c>
      <c r="L54" s="58" t="str">
        <f t="shared" si="45"/>
        <v/>
      </c>
      <c r="M54" s="89"/>
      <c r="N54" s="90"/>
      <c r="O54" s="89"/>
      <c r="P54" s="59"/>
      <c r="Q54" s="60">
        <f t="shared" si="47"/>
        <v>0</v>
      </c>
      <c r="R54" s="59"/>
      <c r="S54" s="61" t="str">
        <f t="shared" si="49"/>
        <v/>
      </c>
    </row>
    <row r="55">
      <c r="A55" s="27"/>
      <c r="B55" s="51" t="s">
        <v>390</v>
      </c>
      <c r="C55" s="90"/>
      <c r="D55" s="89"/>
      <c r="E55" s="89"/>
      <c r="F55" s="89"/>
      <c r="G55" s="54" t="str">
        <f t="shared" si="51"/>
        <v/>
      </c>
      <c r="H55" s="124" t="str">
        <f t="shared" si="52"/>
        <v/>
      </c>
      <c r="I55" s="92"/>
      <c r="J55" s="90"/>
      <c r="K55" s="57" t="str">
        <f t="shared" si="44"/>
        <v/>
      </c>
      <c r="L55" s="58" t="str">
        <f t="shared" si="45"/>
        <v/>
      </c>
      <c r="M55" s="89"/>
      <c r="N55" s="90"/>
      <c r="O55" s="89"/>
      <c r="P55" s="59" t="str">
        <f>iferror(N55/J55,"")</f>
        <v/>
      </c>
      <c r="Q55" s="60">
        <f t="shared" si="47"/>
        <v>0</v>
      </c>
      <c r="R55" s="59" t="str">
        <f>iferror(M55/I55*100, "")</f>
        <v/>
      </c>
      <c r="S55" s="61" t="str">
        <f t="shared" si="49"/>
        <v/>
      </c>
    </row>
    <row r="56">
      <c r="A56" s="27"/>
      <c r="B56" s="51" t="s">
        <v>538</v>
      </c>
      <c r="C56" s="51"/>
      <c r="D56" s="89"/>
      <c r="E56" s="89"/>
      <c r="F56" s="89"/>
      <c r="G56" s="54" t="str">
        <f t="shared" si="51"/>
        <v/>
      </c>
      <c r="H56" s="124" t="str">
        <f t="shared" si="52"/>
        <v/>
      </c>
      <c r="I56" s="92"/>
      <c r="J56" s="90"/>
      <c r="K56" s="57" t="str">
        <f t="shared" si="44"/>
        <v/>
      </c>
      <c r="L56" s="58" t="str">
        <f t="shared" si="45"/>
        <v/>
      </c>
      <c r="M56" s="89"/>
      <c r="N56" s="90"/>
      <c r="O56" s="89"/>
      <c r="P56" s="59"/>
      <c r="Q56" s="60">
        <f t="shared" si="47"/>
        <v>0</v>
      </c>
      <c r="R56" s="59"/>
      <c r="S56" s="61" t="str">
        <f t="shared" si="49"/>
        <v/>
      </c>
    </row>
    <row r="57">
      <c r="A57" s="27"/>
      <c r="B57" s="51" t="s">
        <v>539</v>
      </c>
      <c r="C57" s="51"/>
      <c r="D57" s="89"/>
      <c r="E57" s="89"/>
      <c r="F57" s="89"/>
      <c r="G57" s="54" t="str">
        <f t="shared" si="51"/>
        <v/>
      </c>
      <c r="H57" s="55" t="str">
        <f t="shared" si="52"/>
        <v/>
      </c>
      <c r="I57" s="92"/>
      <c r="J57" s="90"/>
      <c r="K57" s="57" t="str">
        <f t="shared" si="44"/>
        <v/>
      </c>
      <c r="L57" s="58" t="str">
        <f t="shared" si="45"/>
        <v/>
      </c>
      <c r="M57" s="89"/>
      <c r="N57" s="90"/>
      <c r="O57" s="89"/>
      <c r="P57" s="59"/>
      <c r="Q57" s="60">
        <f t="shared" si="47"/>
        <v>0</v>
      </c>
      <c r="R57" s="59"/>
      <c r="S57" s="61" t="str">
        <f t="shared" si="49"/>
        <v/>
      </c>
    </row>
    <row r="58">
      <c r="A58" s="10"/>
      <c r="B58" s="51" t="s">
        <v>540</v>
      </c>
      <c r="C58" s="90"/>
      <c r="D58" s="89"/>
      <c r="E58" s="89"/>
      <c r="F58" s="89"/>
      <c r="G58" s="54" t="str">
        <f t="shared" si="51"/>
        <v/>
      </c>
      <c r="H58" s="124" t="str">
        <f t="shared" si="52"/>
        <v/>
      </c>
      <c r="I58" s="92"/>
      <c r="J58" s="90"/>
      <c r="K58" s="57" t="str">
        <f t="shared" si="44"/>
        <v/>
      </c>
      <c r="L58" s="58" t="str">
        <f t="shared" si="45"/>
        <v/>
      </c>
      <c r="M58" s="89"/>
      <c r="N58" s="90"/>
      <c r="O58" s="89"/>
      <c r="P58" s="59"/>
      <c r="Q58" s="60">
        <f t="shared" si="47"/>
        <v>0</v>
      </c>
      <c r="R58" s="59" t="str">
        <f>iferror(M58/I58*100, "")</f>
        <v/>
      </c>
      <c r="S58" s="61" t="str">
        <f t="shared" si="49"/>
        <v/>
      </c>
    </row>
    <row r="59">
      <c r="A59" s="30" t="s">
        <v>29</v>
      </c>
      <c r="B59" s="31"/>
      <c r="C59" s="31"/>
      <c r="D59" s="31"/>
      <c r="E59" s="31"/>
      <c r="F59" s="32"/>
      <c r="G59" s="65">
        <f t="shared" ref="G59:H59" si="54">averageif(G48:G58,"&gt;0")</f>
        <v>178.8928977</v>
      </c>
      <c r="H59" s="66">
        <f t="shared" si="54"/>
        <v>0.05454365763</v>
      </c>
      <c r="I59" s="67"/>
      <c r="J59" s="68">
        <f>SUM(J48:J58)</f>
        <v>178</v>
      </c>
      <c r="K59" s="69">
        <f t="shared" ref="K59:L59" si="55">averageif(K48:K58,"&gt;0")</f>
        <v>0.02702920636</v>
      </c>
      <c r="L59" s="70">
        <f t="shared" si="55"/>
        <v>11275.27846</v>
      </c>
      <c r="M59" s="68">
        <f t="shared" ref="M59:O59" si="56">SUM(M48:M58)</f>
        <v>2490000</v>
      </c>
      <c r="N59" s="71">
        <f t="shared" si="56"/>
        <v>8</v>
      </c>
      <c r="O59" s="68">
        <f t="shared" si="56"/>
        <v>34</v>
      </c>
      <c r="P59" s="72">
        <f>averageif(P48:P58,"&gt;0")</f>
        <v>0.05531680063</v>
      </c>
      <c r="Q59" s="67"/>
      <c r="R59" s="72">
        <f t="shared" ref="R59:S59" si="57">averageif(R48:R58,"&gt;0")</f>
        <v>1.378286411</v>
      </c>
      <c r="S59" s="73">
        <f t="shared" si="57"/>
        <v>1.244432178</v>
      </c>
    </row>
    <row r="61">
      <c r="A61" s="105" t="s">
        <v>575</v>
      </c>
      <c r="B61" s="113" t="s">
        <v>1</v>
      </c>
      <c r="C61" s="114" t="s">
        <v>2</v>
      </c>
      <c r="D61" s="115"/>
      <c r="E61" s="115"/>
      <c r="F61" s="115"/>
      <c r="G61" s="115"/>
      <c r="H61" s="115"/>
      <c r="I61" s="116"/>
      <c r="J61" s="117" t="s">
        <v>3</v>
      </c>
      <c r="K61" s="115"/>
      <c r="L61" s="116"/>
      <c r="M61" s="118" t="s">
        <v>4</v>
      </c>
      <c r="N61" s="115"/>
      <c r="O61" s="115"/>
      <c r="P61" s="115"/>
      <c r="Q61" s="115"/>
      <c r="R61" s="115"/>
      <c r="S61" s="119"/>
    </row>
    <row r="62">
      <c r="A62" s="27"/>
      <c r="B62" s="11"/>
      <c r="C62" s="13" t="s">
        <v>465</v>
      </c>
      <c r="D62" s="12" t="s">
        <v>5</v>
      </c>
      <c r="E62" s="12" t="s">
        <v>6</v>
      </c>
      <c r="F62" s="12" t="s">
        <v>7</v>
      </c>
      <c r="G62" s="12" t="s">
        <v>576</v>
      </c>
      <c r="H62" s="12" t="s">
        <v>577</v>
      </c>
      <c r="I62" s="12" t="s">
        <v>10</v>
      </c>
      <c r="J62" s="12" t="s">
        <v>11</v>
      </c>
      <c r="K62" s="12" t="s">
        <v>578</v>
      </c>
      <c r="L62" s="12" t="s">
        <v>579</v>
      </c>
      <c r="M62" s="12" t="s">
        <v>16</v>
      </c>
      <c r="N62" s="12" t="s">
        <v>223</v>
      </c>
      <c r="O62" s="12" t="s">
        <v>226</v>
      </c>
      <c r="P62" s="12" t="s">
        <v>580</v>
      </c>
      <c r="Q62" s="12" t="s">
        <v>20</v>
      </c>
      <c r="R62" s="12" t="s">
        <v>581</v>
      </c>
      <c r="S62" s="121" t="s">
        <v>582</v>
      </c>
    </row>
    <row r="63">
      <c r="A63" s="27"/>
      <c r="B63" s="132" t="s">
        <v>24</v>
      </c>
      <c r="C63" s="132" t="s">
        <v>474</v>
      </c>
      <c r="D63" s="133">
        <v>45518.0</v>
      </c>
      <c r="E63" s="134">
        <v>70437.0</v>
      </c>
      <c r="F63" s="134">
        <v>3789.0</v>
      </c>
      <c r="G63" s="135">
        <v>138.0</v>
      </c>
      <c r="H63" s="136">
        <f t="shared" ref="H63:H65" si="58">iferror(F63/E63,"")</f>
        <v>0.05379275097</v>
      </c>
      <c r="I63" s="137">
        <v>523806.0</v>
      </c>
      <c r="J63" s="132">
        <v>42.0</v>
      </c>
      <c r="K63" s="138">
        <f t="shared" ref="K63:K73" si="59">iferror(J63/F63,"")</f>
        <v>0.01108471892</v>
      </c>
      <c r="L63" s="139">
        <f t="shared" ref="L63:L73" si="60">iferror(I63/J63,"")</f>
        <v>12471.57143</v>
      </c>
      <c r="M63" s="134">
        <v>120000.0</v>
      </c>
      <c r="N63" s="132">
        <v>1.0</v>
      </c>
      <c r="O63" s="134">
        <v>2.0</v>
      </c>
      <c r="P63" s="140">
        <f t="shared" ref="P63:P68" si="61">iferror(N63/J63,"")</f>
        <v>0.02380952381</v>
      </c>
      <c r="Q63" s="141">
        <f t="shared" ref="Q63:Q73" si="62">iferror(M63-I63,"")</f>
        <v>-403806</v>
      </c>
      <c r="R63" s="142">
        <f t="shared" ref="R63:R65" si="63">iferror(M63/I63,"")</f>
        <v>0.2290924503</v>
      </c>
      <c r="S63" s="143">
        <f t="shared" ref="S63:S73" si="64">iferror(Q63/I63,"")</f>
        <v>-0.7709075497</v>
      </c>
    </row>
    <row r="64">
      <c r="A64" s="27"/>
      <c r="B64" s="51" t="s">
        <v>25</v>
      </c>
      <c r="C64" s="51" t="s">
        <v>474</v>
      </c>
      <c r="D64" s="122">
        <v>45508.0</v>
      </c>
      <c r="E64" s="53">
        <v>14664.0</v>
      </c>
      <c r="F64" s="53">
        <v>762.0</v>
      </c>
      <c r="G64" s="54">
        <f t="shared" ref="G64:G65" si="65">iferror(I64/F64,"")</f>
        <v>389.9448819</v>
      </c>
      <c r="H64" s="55">
        <f t="shared" si="58"/>
        <v>0.05196399345</v>
      </c>
      <c r="I64" s="56">
        <v>297138.0</v>
      </c>
      <c r="J64" s="51">
        <v>76.0</v>
      </c>
      <c r="K64" s="57">
        <f t="shared" si="59"/>
        <v>0.09973753281</v>
      </c>
      <c r="L64" s="58">
        <f t="shared" si="60"/>
        <v>3909.710526</v>
      </c>
      <c r="M64" s="53">
        <v>540000.0</v>
      </c>
      <c r="N64" s="51">
        <v>4.0</v>
      </c>
      <c r="O64" s="53">
        <v>10.0</v>
      </c>
      <c r="P64" s="59">
        <f t="shared" si="61"/>
        <v>0.05263157895</v>
      </c>
      <c r="Q64" s="60">
        <f t="shared" si="62"/>
        <v>242862</v>
      </c>
      <c r="R64" s="59">
        <f t="shared" si="63"/>
        <v>1.817337399</v>
      </c>
      <c r="S64" s="61">
        <f t="shared" si="64"/>
        <v>0.8173373988</v>
      </c>
    </row>
    <row r="65">
      <c r="A65" s="27"/>
      <c r="B65" s="51" t="s">
        <v>27</v>
      </c>
      <c r="C65" s="51">
        <v>3.0</v>
      </c>
      <c r="D65" s="51" t="s">
        <v>583</v>
      </c>
      <c r="E65" s="53">
        <v>43732.0</v>
      </c>
      <c r="F65" s="53">
        <v>1763.0</v>
      </c>
      <c r="G65" s="54">
        <f t="shared" si="65"/>
        <v>147.7697107</v>
      </c>
      <c r="H65" s="55">
        <f t="shared" si="58"/>
        <v>0.04031372908</v>
      </c>
      <c r="I65" s="56">
        <v>260518.0</v>
      </c>
      <c r="J65" s="51">
        <v>29.0</v>
      </c>
      <c r="K65" s="57">
        <f t="shared" si="59"/>
        <v>0.01644923426</v>
      </c>
      <c r="L65" s="58">
        <f t="shared" si="60"/>
        <v>8983.37931</v>
      </c>
      <c r="M65" s="144">
        <v>360000.0</v>
      </c>
      <c r="N65" s="51">
        <v>2.0</v>
      </c>
      <c r="O65" s="53">
        <v>6.0</v>
      </c>
      <c r="P65" s="59">
        <f t="shared" si="61"/>
        <v>0.06896551724</v>
      </c>
      <c r="Q65" s="60">
        <f t="shared" si="62"/>
        <v>99482</v>
      </c>
      <c r="R65" s="59">
        <f t="shared" si="63"/>
        <v>1.38186229</v>
      </c>
      <c r="S65" s="61">
        <f t="shared" si="64"/>
        <v>0.3818622897</v>
      </c>
    </row>
    <row r="66">
      <c r="A66" s="27"/>
      <c r="B66" s="51" t="s">
        <v>388</v>
      </c>
      <c r="C66" s="51"/>
      <c r="D66" s="53"/>
      <c r="E66" s="53"/>
      <c r="F66" s="53"/>
      <c r="G66" s="54">
        <f>iferror(I66/F67,"")</f>
        <v>0</v>
      </c>
      <c r="H66" s="55" t="str">
        <f>iferror(F67/E66,"")</f>
        <v/>
      </c>
      <c r="I66" s="56"/>
      <c r="J66" s="51"/>
      <c r="K66" s="57" t="str">
        <f t="shared" si="59"/>
        <v/>
      </c>
      <c r="L66" s="58" t="str">
        <f t="shared" si="60"/>
        <v/>
      </c>
      <c r="M66" s="89"/>
      <c r="N66" s="90"/>
      <c r="O66" s="89"/>
      <c r="P66" s="59" t="str">
        <f t="shared" si="61"/>
        <v/>
      </c>
      <c r="Q66" s="60">
        <f t="shared" si="62"/>
        <v>0</v>
      </c>
      <c r="R66" s="59"/>
      <c r="S66" s="61" t="str">
        <f t="shared" si="64"/>
        <v/>
      </c>
    </row>
    <row r="67">
      <c r="A67" s="27"/>
      <c r="B67" s="51" t="s">
        <v>28</v>
      </c>
      <c r="C67" s="51" t="s">
        <v>474</v>
      </c>
      <c r="D67" s="145">
        <v>45509.0</v>
      </c>
      <c r="E67" s="53">
        <v>27988.0</v>
      </c>
      <c r="F67" s="53">
        <v>1330.0</v>
      </c>
      <c r="G67" s="54">
        <f t="shared" ref="G67:G73" si="66">iferror(I67/F67,"")</f>
        <v>278.3045113</v>
      </c>
      <c r="H67" s="55">
        <f t="shared" ref="H67:H73" si="67">iferror(F67/E67,"")</f>
        <v>0.04752036587</v>
      </c>
      <c r="I67" s="53">
        <v>370145.0</v>
      </c>
      <c r="J67" s="51">
        <v>80.0</v>
      </c>
      <c r="K67" s="57">
        <f t="shared" si="59"/>
        <v>0.06015037594</v>
      </c>
      <c r="L67" s="58">
        <f t="shared" si="60"/>
        <v>4626.8125</v>
      </c>
      <c r="M67" s="53">
        <v>0.0</v>
      </c>
      <c r="N67" s="51">
        <v>0.0</v>
      </c>
      <c r="O67" s="53">
        <v>0.0</v>
      </c>
      <c r="P67" s="59">
        <f t="shared" si="61"/>
        <v>0</v>
      </c>
      <c r="Q67" s="60">
        <f t="shared" si="62"/>
        <v>-370145</v>
      </c>
      <c r="R67" s="59">
        <f t="shared" ref="R67:R68" si="68">iferror(M67/I67,"")</f>
        <v>0</v>
      </c>
      <c r="S67" s="61">
        <f t="shared" si="64"/>
        <v>-1</v>
      </c>
    </row>
    <row r="68">
      <c r="A68" s="27"/>
      <c r="B68" s="51" t="s">
        <v>524</v>
      </c>
      <c r="C68" s="51" t="s">
        <v>474</v>
      </c>
      <c r="D68" s="53" t="s">
        <v>584</v>
      </c>
      <c r="E68" s="53">
        <v>16738.0</v>
      </c>
      <c r="F68" s="53">
        <v>1105.0</v>
      </c>
      <c r="G68" s="54">
        <f t="shared" si="66"/>
        <v>93.00452489</v>
      </c>
      <c r="H68" s="55">
        <f t="shared" si="67"/>
        <v>0.06601744533</v>
      </c>
      <c r="I68" s="56">
        <v>102770.0</v>
      </c>
      <c r="J68" s="51">
        <v>4.0</v>
      </c>
      <c r="K68" s="57">
        <f t="shared" si="59"/>
        <v>0.003619909502</v>
      </c>
      <c r="L68" s="58">
        <f t="shared" si="60"/>
        <v>25692.5</v>
      </c>
      <c r="M68" s="53">
        <v>0.0</v>
      </c>
      <c r="N68" s="51">
        <v>0.0</v>
      </c>
      <c r="O68" s="53">
        <v>0.0</v>
      </c>
      <c r="P68" s="59">
        <f t="shared" si="61"/>
        <v>0</v>
      </c>
      <c r="Q68" s="60">
        <f t="shared" si="62"/>
        <v>-102770</v>
      </c>
      <c r="R68" s="59">
        <f t="shared" si="68"/>
        <v>0</v>
      </c>
      <c r="S68" s="61">
        <f t="shared" si="64"/>
        <v>-1</v>
      </c>
    </row>
    <row r="69">
      <c r="A69" s="27"/>
      <c r="B69" s="51" t="s">
        <v>537</v>
      </c>
      <c r="C69" s="90"/>
      <c r="D69" s="89"/>
      <c r="E69" s="89"/>
      <c r="F69" s="89"/>
      <c r="G69" s="54" t="str">
        <f t="shared" si="66"/>
        <v/>
      </c>
      <c r="H69" s="124" t="str">
        <f t="shared" si="67"/>
        <v/>
      </c>
      <c r="I69" s="92"/>
      <c r="J69" s="90"/>
      <c r="K69" s="57" t="str">
        <f t="shared" si="59"/>
        <v/>
      </c>
      <c r="L69" s="58" t="str">
        <f t="shared" si="60"/>
        <v/>
      </c>
      <c r="M69" s="89"/>
      <c r="N69" s="90"/>
      <c r="O69" s="89"/>
      <c r="P69" s="59"/>
      <c r="Q69" s="60">
        <f t="shared" si="62"/>
        <v>0</v>
      </c>
      <c r="R69" s="59"/>
      <c r="S69" s="61" t="str">
        <f t="shared" si="64"/>
        <v/>
      </c>
    </row>
    <row r="70">
      <c r="A70" s="27"/>
      <c r="B70" s="51" t="s">
        <v>390</v>
      </c>
      <c r="C70" s="90"/>
      <c r="D70" s="89"/>
      <c r="E70" s="89"/>
      <c r="F70" s="89"/>
      <c r="G70" s="54" t="str">
        <f t="shared" si="66"/>
        <v/>
      </c>
      <c r="H70" s="124" t="str">
        <f t="shared" si="67"/>
        <v/>
      </c>
      <c r="I70" s="92"/>
      <c r="J70" s="90"/>
      <c r="K70" s="57" t="str">
        <f t="shared" si="59"/>
        <v/>
      </c>
      <c r="L70" s="58" t="str">
        <f t="shared" si="60"/>
        <v/>
      </c>
      <c r="M70" s="89"/>
      <c r="N70" s="90"/>
      <c r="O70" s="89"/>
      <c r="P70" s="59" t="str">
        <f>iferror(N70/J70,"")</f>
        <v/>
      </c>
      <c r="Q70" s="60">
        <f t="shared" si="62"/>
        <v>0</v>
      </c>
      <c r="R70" s="59" t="str">
        <f>iferror(M70/I70*100, "")</f>
        <v/>
      </c>
      <c r="S70" s="61" t="str">
        <f t="shared" si="64"/>
        <v/>
      </c>
    </row>
    <row r="71">
      <c r="A71" s="27"/>
      <c r="B71" s="51" t="s">
        <v>538</v>
      </c>
      <c r="C71" s="51"/>
      <c r="D71" s="89"/>
      <c r="E71" s="89"/>
      <c r="F71" s="89"/>
      <c r="G71" s="54" t="str">
        <f t="shared" si="66"/>
        <v/>
      </c>
      <c r="H71" s="124" t="str">
        <f t="shared" si="67"/>
        <v/>
      </c>
      <c r="I71" s="92"/>
      <c r="J71" s="90"/>
      <c r="K71" s="57" t="str">
        <f t="shared" si="59"/>
        <v/>
      </c>
      <c r="L71" s="58" t="str">
        <f t="shared" si="60"/>
        <v/>
      </c>
      <c r="M71" s="89"/>
      <c r="N71" s="90"/>
      <c r="O71" s="89"/>
      <c r="P71" s="59"/>
      <c r="Q71" s="60">
        <f t="shared" si="62"/>
        <v>0</v>
      </c>
      <c r="R71" s="59"/>
      <c r="S71" s="61" t="str">
        <f t="shared" si="64"/>
        <v/>
      </c>
    </row>
    <row r="72">
      <c r="A72" s="27"/>
      <c r="B72" s="51" t="s">
        <v>539</v>
      </c>
      <c r="C72" s="51"/>
      <c r="D72" s="89"/>
      <c r="E72" s="89"/>
      <c r="F72" s="89"/>
      <c r="G72" s="54" t="str">
        <f t="shared" si="66"/>
        <v/>
      </c>
      <c r="H72" s="55" t="str">
        <f t="shared" si="67"/>
        <v/>
      </c>
      <c r="I72" s="92"/>
      <c r="J72" s="90"/>
      <c r="K72" s="57" t="str">
        <f t="shared" si="59"/>
        <v/>
      </c>
      <c r="L72" s="58" t="str">
        <f t="shared" si="60"/>
        <v/>
      </c>
      <c r="M72" s="89"/>
      <c r="N72" s="90"/>
      <c r="O72" s="89"/>
      <c r="P72" s="59"/>
      <c r="Q72" s="60">
        <f t="shared" si="62"/>
        <v>0</v>
      </c>
      <c r="R72" s="59"/>
      <c r="S72" s="61" t="str">
        <f t="shared" si="64"/>
        <v/>
      </c>
    </row>
    <row r="73">
      <c r="A73" s="10"/>
      <c r="B73" s="51" t="s">
        <v>540</v>
      </c>
      <c r="C73" s="90"/>
      <c r="D73" s="89"/>
      <c r="E73" s="89"/>
      <c r="F73" s="89"/>
      <c r="G73" s="54" t="str">
        <f t="shared" si="66"/>
        <v/>
      </c>
      <c r="H73" s="124" t="str">
        <f t="shared" si="67"/>
        <v/>
      </c>
      <c r="I73" s="92"/>
      <c r="J73" s="90"/>
      <c r="K73" s="57" t="str">
        <f t="shared" si="59"/>
        <v/>
      </c>
      <c r="L73" s="58" t="str">
        <f t="shared" si="60"/>
        <v/>
      </c>
      <c r="M73" s="89"/>
      <c r="N73" s="90"/>
      <c r="O73" s="89"/>
      <c r="P73" s="59"/>
      <c r="Q73" s="60">
        <f t="shared" si="62"/>
        <v>0</v>
      </c>
      <c r="R73" s="59" t="str">
        <f>iferror(M73/I73*100, "")</f>
        <v/>
      </c>
      <c r="S73" s="61" t="str">
        <f t="shared" si="64"/>
        <v/>
      </c>
    </row>
    <row r="74">
      <c r="A74" s="30" t="s">
        <v>29</v>
      </c>
      <c r="B74" s="31"/>
      <c r="C74" s="31"/>
      <c r="D74" s="31"/>
      <c r="E74" s="31"/>
      <c r="F74" s="32"/>
      <c r="G74" s="65">
        <f t="shared" ref="G74:H74" si="69">averageif(G63:G73,"&gt;0")</f>
        <v>209.4047258</v>
      </c>
      <c r="H74" s="66">
        <f t="shared" si="69"/>
        <v>0.05192165694</v>
      </c>
      <c r="I74" s="67"/>
      <c r="J74" s="68">
        <f>SUM(J63:J73)</f>
        <v>231</v>
      </c>
      <c r="K74" s="69">
        <f t="shared" ref="K74:L74" si="70">averageif(K63:K73,"&gt;0")</f>
        <v>0.03820835429</v>
      </c>
      <c r="L74" s="70">
        <f t="shared" si="70"/>
        <v>11136.79475</v>
      </c>
      <c r="M74" s="68">
        <f t="shared" ref="M74:O74" si="71">SUM(M63:M73)</f>
        <v>1020000</v>
      </c>
      <c r="N74" s="71">
        <f t="shared" si="71"/>
        <v>7</v>
      </c>
      <c r="O74" s="68">
        <f t="shared" si="71"/>
        <v>18</v>
      </c>
      <c r="P74" s="72">
        <f>averageif(P63:P73,"&gt;0")</f>
        <v>0.04846887333</v>
      </c>
      <c r="Q74" s="67"/>
      <c r="R74" s="72">
        <f t="shared" ref="R74:S74" si="72">averageif(R63:R73,"&gt;0")</f>
        <v>1.142764046</v>
      </c>
      <c r="S74" s="73">
        <f t="shared" si="72"/>
        <v>0.5995998443</v>
      </c>
    </row>
    <row r="76">
      <c r="A76" s="146" t="s">
        <v>585</v>
      </c>
      <c r="B76" s="113" t="s">
        <v>1</v>
      </c>
      <c r="C76" s="114" t="s">
        <v>2</v>
      </c>
      <c r="D76" s="115"/>
      <c r="E76" s="115"/>
      <c r="F76" s="115"/>
      <c r="G76" s="115"/>
      <c r="H76" s="115"/>
      <c r="I76" s="116"/>
      <c r="J76" s="117" t="s">
        <v>3</v>
      </c>
      <c r="K76" s="115"/>
      <c r="L76" s="116"/>
      <c r="M76" s="118" t="s">
        <v>4</v>
      </c>
      <c r="N76" s="115"/>
      <c r="O76" s="115"/>
      <c r="P76" s="115"/>
      <c r="Q76" s="115"/>
      <c r="R76" s="115"/>
      <c r="S76" s="119"/>
    </row>
    <row r="77">
      <c r="A77" s="27"/>
      <c r="B77" s="11"/>
      <c r="C77" s="13" t="s">
        <v>465</v>
      </c>
      <c r="D77" s="12" t="s">
        <v>5</v>
      </c>
      <c r="E77" s="12" t="s">
        <v>6</v>
      </c>
      <c r="F77" s="12" t="s">
        <v>7</v>
      </c>
      <c r="G77" s="12" t="s">
        <v>586</v>
      </c>
      <c r="H77" s="12" t="s">
        <v>587</v>
      </c>
      <c r="I77" s="12" t="s">
        <v>63</v>
      </c>
      <c r="J77" s="12" t="s">
        <v>11</v>
      </c>
      <c r="K77" s="12" t="s">
        <v>588</v>
      </c>
      <c r="L77" s="12" t="s">
        <v>589</v>
      </c>
      <c r="M77" s="12" t="s">
        <v>16</v>
      </c>
      <c r="N77" s="12" t="s">
        <v>223</v>
      </c>
      <c r="O77" s="12" t="s">
        <v>226</v>
      </c>
      <c r="P77" s="12" t="s">
        <v>590</v>
      </c>
      <c r="Q77" s="12" t="s">
        <v>20</v>
      </c>
      <c r="R77" s="12" t="s">
        <v>591</v>
      </c>
      <c r="S77" s="121" t="s">
        <v>592</v>
      </c>
    </row>
    <row r="78">
      <c r="A78" s="27"/>
      <c r="B78" s="132" t="s">
        <v>24</v>
      </c>
      <c r="C78" s="132" t="s">
        <v>474</v>
      </c>
      <c r="D78" s="133"/>
      <c r="E78" s="134">
        <f t="shared" ref="E78:F78" si="73">SUM(E3,E18,E33,E48,E63)</f>
        <v>245035</v>
      </c>
      <c r="F78" s="134">
        <f t="shared" si="73"/>
        <v>12840</v>
      </c>
      <c r="G78" s="147">
        <f t="shared" ref="G78:G88" si="77">iferror(I78/F78,"")</f>
        <v>158.4306075</v>
      </c>
      <c r="H78" s="136">
        <f t="shared" ref="H78:H88" si="78">iferror(F78/E78,"")</f>
        <v>0.05240067745</v>
      </c>
      <c r="I78" s="134">
        <f t="shared" ref="I78:J78" si="74">SUM(I3,I18,I33,I48,I63)</f>
        <v>2034249</v>
      </c>
      <c r="J78" s="134">
        <f t="shared" si="74"/>
        <v>161</v>
      </c>
      <c r="K78" s="138">
        <f t="shared" ref="K78:K88" si="80">iferror(J78/F78,"")</f>
        <v>0.01253894081</v>
      </c>
      <c r="L78" s="139">
        <f t="shared" ref="L78:L88" si="81">iferror(I78/J78,"")</f>
        <v>12635.08696</v>
      </c>
      <c r="M78" s="134">
        <f t="shared" ref="M78:O78" si="75">SUM(M3,M18,M33,M48,M63)</f>
        <v>1530000</v>
      </c>
      <c r="N78" s="134">
        <f t="shared" si="75"/>
        <v>5</v>
      </c>
      <c r="O78" s="134">
        <f t="shared" si="75"/>
        <v>19</v>
      </c>
      <c r="P78" s="140">
        <f t="shared" ref="P78:P80" si="83">iferror(N78/J78,"")</f>
        <v>0.03105590062</v>
      </c>
      <c r="Q78" s="141">
        <f t="shared" ref="Q78:Q88" si="84">iferror(M78-I78,"")</f>
        <v>-504249</v>
      </c>
      <c r="R78" s="142">
        <f t="shared" ref="R78:R80" si="85">iferror(M78/I78,"")</f>
        <v>0.7521203157</v>
      </c>
      <c r="S78" s="143">
        <f t="shared" ref="S78:S80" si="86">iferror(Q78/I78,"")</f>
        <v>-0.2478796843</v>
      </c>
    </row>
    <row r="79">
      <c r="A79" s="27"/>
      <c r="B79" s="51" t="s">
        <v>25</v>
      </c>
      <c r="C79" s="51" t="s">
        <v>474</v>
      </c>
      <c r="D79" s="122"/>
      <c r="E79" s="144">
        <f t="shared" ref="E79:F79" si="76">SUM(E4,E19,E34,E49,E64)</f>
        <v>107378</v>
      </c>
      <c r="F79" s="144">
        <f t="shared" si="76"/>
        <v>6078</v>
      </c>
      <c r="G79" s="54">
        <f t="shared" si="77"/>
        <v>244.0315893</v>
      </c>
      <c r="H79" s="55">
        <f t="shared" si="78"/>
        <v>0.05660377358</v>
      </c>
      <c r="I79" s="144">
        <f t="shared" ref="I79:J79" si="79">SUM(I4,I19,I34,I49,I64)</f>
        <v>1483224</v>
      </c>
      <c r="J79" s="144">
        <f t="shared" si="79"/>
        <v>244</v>
      </c>
      <c r="K79" s="57">
        <f t="shared" si="80"/>
        <v>0.04014478447</v>
      </c>
      <c r="L79" s="58">
        <f t="shared" si="81"/>
        <v>6078.786885</v>
      </c>
      <c r="M79" s="144">
        <f t="shared" ref="M79:N79" si="82">SUM(M4,M19,M34,M49,M64)</f>
        <v>1020000</v>
      </c>
      <c r="N79" s="144">
        <f t="shared" si="82"/>
        <v>7</v>
      </c>
      <c r="O79" s="144">
        <v>18.0</v>
      </c>
      <c r="P79" s="59">
        <f t="shared" si="83"/>
        <v>0.02868852459</v>
      </c>
      <c r="Q79" s="148">
        <f t="shared" si="84"/>
        <v>-463224</v>
      </c>
      <c r="R79" s="100">
        <f t="shared" si="85"/>
        <v>0.6876911377</v>
      </c>
      <c r="S79" s="106">
        <f t="shared" si="86"/>
        <v>-0.3123088623</v>
      </c>
    </row>
    <row r="80">
      <c r="A80" s="27"/>
      <c r="B80" s="51" t="s">
        <v>27</v>
      </c>
      <c r="C80" s="144">
        <f>SUM(C5,C20,C35,C50,C65)</f>
        <v>8</v>
      </c>
      <c r="D80" s="110"/>
      <c r="E80" s="144">
        <f t="shared" ref="E80:F80" si="87">SUM(E5,E20,E35,E50,E65)</f>
        <v>156100</v>
      </c>
      <c r="F80" s="144">
        <f t="shared" si="87"/>
        <v>6888</v>
      </c>
      <c r="G80" s="54">
        <f t="shared" si="77"/>
        <v>150.0002904</v>
      </c>
      <c r="H80" s="55">
        <f t="shared" si="78"/>
        <v>0.04412556054</v>
      </c>
      <c r="I80" s="144">
        <f t="shared" ref="I80:J80" si="88">SUM(I5,I20,I35,I50,I65)</f>
        <v>1033202</v>
      </c>
      <c r="J80" s="144">
        <f t="shared" si="88"/>
        <v>130</v>
      </c>
      <c r="K80" s="57">
        <f t="shared" si="80"/>
        <v>0.01887340302</v>
      </c>
      <c r="L80" s="58">
        <f t="shared" si="81"/>
        <v>7947.707692</v>
      </c>
      <c r="M80" s="144">
        <f t="shared" ref="M80:O80" si="89">SUM(M5,M20,M35,M50,M65)</f>
        <v>960000</v>
      </c>
      <c r="N80" s="144">
        <f t="shared" si="89"/>
        <v>4</v>
      </c>
      <c r="O80" s="144">
        <f t="shared" si="89"/>
        <v>16</v>
      </c>
      <c r="P80" s="59">
        <f t="shared" si="83"/>
        <v>0.03076923077</v>
      </c>
      <c r="Q80" s="148">
        <f t="shared" si="84"/>
        <v>-73202</v>
      </c>
      <c r="R80" s="100">
        <f t="shared" si="85"/>
        <v>0.9291503501</v>
      </c>
      <c r="S80" s="106">
        <f t="shared" si="86"/>
        <v>-0.07084964992</v>
      </c>
    </row>
    <row r="81">
      <c r="A81" s="27"/>
      <c r="B81" s="51" t="s">
        <v>388</v>
      </c>
      <c r="C81" s="51"/>
      <c r="D81" s="53"/>
      <c r="E81" s="144">
        <f t="shared" ref="E81:F81" si="90">SUM(E6,E21,E36,E51,E66)</f>
        <v>2533</v>
      </c>
      <c r="F81" s="144">
        <f t="shared" si="90"/>
        <v>227</v>
      </c>
      <c r="G81" s="54">
        <f t="shared" si="77"/>
        <v>158.9118943</v>
      </c>
      <c r="H81" s="55">
        <f t="shared" si="78"/>
        <v>0.08961705488</v>
      </c>
      <c r="I81" s="144">
        <f t="shared" ref="I81:J81" si="91">SUM(I6,I21,I36,I51,I66)</f>
        <v>36073</v>
      </c>
      <c r="J81" s="144">
        <f t="shared" si="91"/>
        <v>4</v>
      </c>
      <c r="K81" s="57">
        <f t="shared" si="80"/>
        <v>0.01762114537</v>
      </c>
      <c r="L81" s="58">
        <f t="shared" si="81"/>
        <v>9018.25</v>
      </c>
      <c r="M81" s="144"/>
      <c r="N81" s="144"/>
      <c r="O81" s="144"/>
      <c r="P81" s="59"/>
      <c r="Q81" s="148">
        <f t="shared" si="84"/>
        <v>-36073</v>
      </c>
      <c r="R81" s="100"/>
      <c r="S81" s="106"/>
    </row>
    <row r="82">
      <c r="A82" s="27"/>
      <c r="B82" s="51" t="s">
        <v>28</v>
      </c>
      <c r="C82" s="51" t="s">
        <v>474</v>
      </c>
      <c r="D82" s="145"/>
      <c r="E82" s="144">
        <f t="shared" ref="E82:F82" si="92">SUM(E7,E22,E37,E52,E67)</f>
        <v>170375</v>
      </c>
      <c r="F82" s="144">
        <f t="shared" si="92"/>
        <v>8738</v>
      </c>
      <c r="G82" s="54">
        <f t="shared" si="77"/>
        <v>178.0849165</v>
      </c>
      <c r="H82" s="55">
        <f t="shared" si="78"/>
        <v>0.0512868672</v>
      </c>
      <c r="I82" s="144">
        <f t="shared" ref="I82:J82" si="93">SUM(I7,I22,I37,I52,I67)</f>
        <v>1556106</v>
      </c>
      <c r="J82" s="144">
        <f t="shared" si="93"/>
        <v>149</v>
      </c>
      <c r="K82" s="57">
        <f t="shared" si="80"/>
        <v>0.01705195697</v>
      </c>
      <c r="L82" s="58">
        <f t="shared" si="81"/>
        <v>10443.66443</v>
      </c>
      <c r="M82" s="144">
        <f t="shared" ref="M82:O82" si="94">SUM(M7,M22,M37,M52,M67)</f>
        <v>120000</v>
      </c>
      <c r="N82" s="144">
        <f t="shared" si="94"/>
        <v>1</v>
      </c>
      <c r="O82" s="144">
        <f t="shared" si="94"/>
        <v>3</v>
      </c>
      <c r="P82" s="59">
        <f t="shared" ref="P82:P83" si="98">iferror(N82/J82,"")</f>
        <v>0.006711409396</v>
      </c>
      <c r="Q82" s="148">
        <f t="shared" si="84"/>
        <v>-1436106</v>
      </c>
      <c r="R82" s="100">
        <f t="shared" ref="R82:R83" si="99">iferror(M82/I82,"")</f>
        <v>0.07711556925</v>
      </c>
      <c r="S82" s="106">
        <f t="shared" ref="S82:S83" si="100">iferror(Q82/I82,"")</f>
        <v>-0.9228844308</v>
      </c>
    </row>
    <row r="83">
      <c r="A83" s="27"/>
      <c r="B83" s="51" t="s">
        <v>524</v>
      </c>
      <c r="C83" s="51" t="s">
        <v>474</v>
      </c>
      <c r="D83" s="53"/>
      <c r="E83" s="144">
        <f t="shared" ref="E83:F83" si="95">SUM(E8,E23,E38,E53,E68)</f>
        <v>132181</v>
      </c>
      <c r="F83" s="144">
        <f t="shared" si="95"/>
        <v>9388</v>
      </c>
      <c r="G83" s="54">
        <f t="shared" si="77"/>
        <v>98.80027695</v>
      </c>
      <c r="H83" s="55">
        <f t="shared" si="78"/>
        <v>0.07102382339</v>
      </c>
      <c r="I83" s="144">
        <f t="shared" ref="I83:J83" si="96">SUM(I8,I23,I38,I53,I68)</f>
        <v>927537</v>
      </c>
      <c r="J83" s="144">
        <f t="shared" si="96"/>
        <v>118</v>
      </c>
      <c r="K83" s="57">
        <f t="shared" si="80"/>
        <v>0.01256923732</v>
      </c>
      <c r="L83" s="58">
        <f t="shared" si="81"/>
        <v>7860.483051</v>
      </c>
      <c r="M83" s="144">
        <f t="shared" ref="M83:O83" si="97">SUM(M8,M23,M38,M53,M68)</f>
        <v>1140000</v>
      </c>
      <c r="N83" s="144">
        <f t="shared" si="97"/>
        <v>7</v>
      </c>
      <c r="O83" s="144">
        <f t="shared" si="97"/>
        <v>18</v>
      </c>
      <c r="P83" s="59">
        <f t="shared" si="98"/>
        <v>0.0593220339</v>
      </c>
      <c r="Q83" s="148">
        <f t="shared" si="84"/>
        <v>212463</v>
      </c>
      <c r="R83" s="100">
        <f t="shared" si="99"/>
        <v>1.229061482</v>
      </c>
      <c r="S83" s="106">
        <f t="shared" si="100"/>
        <v>0.2290614822</v>
      </c>
    </row>
    <row r="84">
      <c r="A84" s="27"/>
      <c r="B84" s="51" t="s">
        <v>537</v>
      </c>
      <c r="C84" s="90"/>
      <c r="D84" s="89"/>
      <c r="E84" s="144">
        <f t="shared" ref="E84:F84" si="101">SUM(E9,E24,E39,E54,E69)</f>
        <v>23215</v>
      </c>
      <c r="F84" s="144">
        <f t="shared" si="101"/>
        <v>1142</v>
      </c>
      <c r="G84" s="54">
        <f t="shared" si="77"/>
        <v>217.3756567</v>
      </c>
      <c r="H84" s="55">
        <f t="shared" si="78"/>
        <v>0.04919233254</v>
      </c>
      <c r="I84" s="144">
        <f t="shared" ref="I84:J84" si="102">SUM(I9,I24,I39,I54,I69)</f>
        <v>248243</v>
      </c>
      <c r="J84" s="144">
        <f t="shared" si="102"/>
        <v>16</v>
      </c>
      <c r="K84" s="57">
        <f t="shared" si="80"/>
        <v>0.01401050788</v>
      </c>
      <c r="L84" s="58">
        <f t="shared" si="81"/>
        <v>15515.1875</v>
      </c>
      <c r="M84" s="144"/>
      <c r="N84" s="144"/>
      <c r="O84" s="144"/>
      <c r="P84" s="59"/>
      <c r="Q84" s="148">
        <f t="shared" si="84"/>
        <v>-248243</v>
      </c>
      <c r="R84" s="100"/>
      <c r="S84" s="106"/>
    </row>
    <row r="85">
      <c r="A85" s="27"/>
      <c r="B85" s="51" t="s">
        <v>390</v>
      </c>
      <c r="C85" s="90"/>
      <c r="D85" s="89"/>
      <c r="E85" s="144">
        <f t="shared" ref="E85:F85" si="103">SUM(E10,E25,E40,E55,E70)</f>
        <v>29260</v>
      </c>
      <c r="F85" s="144">
        <f t="shared" si="103"/>
        <v>1605</v>
      </c>
      <c r="G85" s="54">
        <f t="shared" si="77"/>
        <v>137.271028</v>
      </c>
      <c r="H85" s="55">
        <f t="shared" si="78"/>
        <v>0.0548530417</v>
      </c>
      <c r="I85" s="144">
        <f t="shared" ref="I85:J85" si="104">SUM(I10,I25,I40,I55,I70)</f>
        <v>220320</v>
      </c>
      <c r="J85" s="144">
        <f t="shared" si="104"/>
        <v>29</v>
      </c>
      <c r="K85" s="57">
        <f t="shared" si="80"/>
        <v>0.01806853583</v>
      </c>
      <c r="L85" s="58">
        <f t="shared" si="81"/>
        <v>7597.241379</v>
      </c>
      <c r="M85" s="144"/>
      <c r="N85" s="144"/>
      <c r="O85" s="144"/>
      <c r="P85" s="59"/>
      <c r="Q85" s="148">
        <f t="shared" si="84"/>
        <v>-220320</v>
      </c>
      <c r="R85" s="100"/>
      <c r="S85" s="106"/>
    </row>
    <row r="86">
      <c r="A86" s="27"/>
      <c r="B86" s="51" t="s">
        <v>538</v>
      </c>
      <c r="C86" s="51"/>
      <c r="D86" s="89"/>
      <c r="E86" s="144">
        <f t="shared" ref="E86:F86" si="105">SUM(E11,E26,E41,E56,E71)</f>
        <v>24917</v>
      </c>
      <c r="F86" s="144">
        <f t="shared" si="105"/>
        <v>1298</v>
      </c>
      <c r="G86" s="54">
        <f t="shared" si="77"/>
        <v>243.1070878</v>
      </c>
      <c r="H86" s="55">
        <f t="shared" si="78"/>
        <v>0.05209294859</v>
      </c>
      <c r="I86" s="144">
        <f t="shared" ref="I86:J86" si="106">SUM(I11,I26,I41,I56,I71)</f>
        <v>315553</v>
      </c>
      <c r="J86" s="144">
        <f t="shared" si="106"/>
        <v>18</v>
      </c>
      <c r="K86" s="57">
        <f t="shared" si="80"/>
        <v>0.01386748844</v>
      </c>
      <c r="L86" s="58">
        <f t="shared" si="81"/>
        <v>17530.72222</v>
      </c>
      <c r="M86" s="144"/>
      <c r="N86" s="144"/>
      <c r="O86" s="144"/>
      <c r="P86" s="59"/>
      <c r="Q86" s="148">
        <f t="shared" si="84"/>
        <v>-315553</v>
      </c>
      <c r="R86" s="100"/>
      <c r="S86" s="106"/>
    </row>
    <row r="87">
      <c r="A87" s="27"/>
      <c r="B87" s="51" t="s">
        <v>539</v>
      </c>
      <c r="C87" s="51"/>
      <c r="D87" s="89"/>
      <c r="E87" s="144">
        <f t="shared" ref="E87:F87" si="107">SUM(E12,E27,E42,E57,E72)</f>
        <v>48354</v>
      </c>
      <c r="F87" s="144">
        <f t="shared" si="107"/>
        <v>2761</v>
      </c>
      <c r="G87" s="54">
        <f t="shared" si="77"/>
        <v>128.0257153</v>
      </c>
      <c r="H87" s="55">
        <f t="shared" si="78"/>
        <v>0.05709972288</v>
      </c>
      <c r="I87" s="144">
        <f t="shared" ref="I87:J87" si="108">SUM(I12,I27,I42,I57,I72)</f>
        <v>353479</v>
      </c>
      <c r="J87" s="144">
        <f t="shared" si="108"/>
        <v>20</v>
      </c>
      <c r="K87" s="57">
        <f t="shared" si="80"/>
        <v>0.007243752264</v>
      </c>
      <c r="L87" s="58">
        <f t="shared" si="81"/>
        <v>17673.95</v>
      </c>
      <c r="M87" s="144"/>
      <c r="N87" s="144"/>
      <c r="O87" s="144"/>
      <c r="P87" s="59"/>
      <c r="Q87" s="148">
        <f t="shared" si="84"/>
        <v>-353479</v>
      </c>
      <c r="R87" s="100"/>
      <c r="S87" s="106"/>
    </row>
    <row r="88">
      <c r="A88" s="10"/>
      <c r="B88" s="51" t="s">
        <v>540</v>
      </c>
      <c r="C88" s="90"/>
      <c r="D88" s="89"/>
      <c r="E88" s="144">
        <f t="shared" ref="E88:F88" si="109">SUM(E13,E28,E43,E58,E73)</f>
        <v>1102</v>
      </c>
      <c r="F88" s="144">
        <f t="shared" si="109"/>
        <v>106</v>
      </c>
      <c r="G88" s="54">
        <f t="shared" si="77"/>
        <v>287.5943396</v>
      </c>
      <c r="H88" s="55">
        <f t="shared" si="78"/>
        <v>0.09618874773</v>
      </c>
      <c r="I88" s="144">
        <f t="shared" ref="I88:J88" si="110">SUM(I13,I28,I43,I58,I73)</f>
        <v>30485</v>
      </c>
      <c r="J88" s="144">
        <f t="shared" si="110"/>
        <v>11</v>
      </c>
      <c r="K88" s="57">
        <f t="shared" si="80"/>
        <v>0.1037735849</v>
      </c>
      <c r="L88" s="58">
        <f t="shared" si="81"/>
        <v>2771.363636</v>
      </c>
      <c r="M88" s="144"/>
      <c r="N88" s="144"/>
      <c r="O88" s="144"/>
      <c r="P88" s="59"/>
      <c r="Q88" s="148">
        <f t="shared" si="84"/>
        <v>-30485</v>
      </c>
      <c r="R88" s="100"/>
      <c r="S88" s="106"/>
    </row>
    <row r="89">
      <c r="A89" s="30" t="s">
        <v>29</v>
      </c>
      <c r="B89" s="149"/>
      <c r="C89" s="149"/>
      <c r="D89" s="149"/>
      <c r="E89" s="149"/>
      <c r="F89" s="149"/>
      <c r="G89" s="65">
        <f t="shared" ref="G89:H89" si="111">averageif(G78:G88,"&gt;0")</f>
        <v>181.9666729</v>
      </c>
      <c r="H89" s="66">
        <f t="shared" si="111"/>
        <v>0.06131677732</v>
      </c>
      <c r="I89" s="67"/>
      <c r="J89" s="68">
        <f>SUM(J78:J88)</f>
        <v>900</v>
      </c>
      <c r="K89" s="69">
        <f t="shared" ref="K89:L89" si="112">averageif(K78:K88,"&gt;0")</f>
        <v>0.0250693943</v>
      </c>
      <c r="L89" s="70">
        <f t="shared" si="112"/>
        <v>10461.13125</v>
      </c>
      <c r="M89" s="68">
        <f t="shared" ref="M89:O89" si="113">SUM(M78:M88)</f>
        <v>4770000</v>
      </c>
      <c r="N89" s="68">
        <f t="shared" si="113"/>
        <v>24</v>
      </c>
      <c r="O89" s="68">
        <f t="shared" si="113"/>
        <v>74</v>
      </c>
      <c r="P89" s="72">
        <f>averageif(P78:P88,"&gt;0")</f>
        <v>0.03130941985</v>
      </c>
      <c r="Q89" s="67"/>
      <c r="R89" s="72">
        <f t="shared" ref="R89:S89" si="114">averageif(R78:R88,"&gt;0")</f>
        <v>0.735027771</v>
      </c>
      <c r="S89" s="73">
        <f t="shared" si="114"/>
        <v>0.2290614822</v>
      </c>
    </row>
  </sheetData>
  <mergeCells count="36">
    <mergeCell ref="C16:I16"/>
    <mergeCell ref="J16:L16"/>
    <mergeCell ref="M16:S16"/>
    <mergeCell ref="A1:A2"/>
    <mergeCell ref="B1:B2"/>
    <mergeCell ref="C1:I1"/>
    <mergeCell ref="J1:L1"/>
    <mergeCell ref="M1:S1"/>
    <mergeCell ref="A4:A13"/>
    <mergeCell ref="A14:F14"/>
    <mergeCell ref="A16:A28"/>
    <mergeCell ref="B16:B17"/>
    <mergeCell ref="A29:F29"/>
    <mergeCell ref="B31:B32"/>
    <mergeCell ref="C31:I31"/>
    <mergeCell ref="J31:L31"/>
    <mergeCell ref="M31:S31"/>
    <mergeCell ref="A46:A58"/>
    <mergeCell ref="A61:A73"/>
    <mergeCell ref="B61:B62"/>
    <mergeCell ref="A74:F74"/>
    <mergeCell ref="A76:A88"/>
    <mergeCell ref="B76:B77"/>
    <mergeCell ref="C76:I76"/>
    <mergeCell ref="J76:L76"/>
    <mergeCell ref="C61:I61"/>
    <mergeCell ref="J61:L61"/>
    <mergeCell ref="M61:S61"/>
    <mergeCell ref="M76:S76"/>
    <mergeCell ref="A31:A43"/>
    <mergeCell ref="A44:F44"/>
    <mergeCell ref="B46:B47"/>
    <mergeCell ref="C46:I46"/>
    <mergeCell ref="J46:L46"/>
    <mergeCell ref="M46:S46"/>
    <mergeCell ref="A59:F59"/>
  </mergeCells>
  <conditionalFormatting sqref="A3 A16:A18 A31:A33 A46:A48 A61:A63">
    <cfRule type="notContainsBlanks" dxfId="0" priority="1">
      <formula>LEN(TRIM(A3))&gt;0</formula>
    </cfRule>
  </conditionalFormatting>
  <drawing r:id="rId4"/>
  <legacyDrawing r:id="rId5"/>
</worksheet>
</file>